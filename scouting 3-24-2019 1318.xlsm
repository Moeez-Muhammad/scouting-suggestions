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Riaz\Desktop\Moeez\@Archive\2018-2019\Programming\py-scouting-suggestions\"/>
    </mc:Choice>
  </mc:AlternateContent>
  <xr:revisionPtr revIDLastSave="0" documentId="13_ncr:1_{784D1926-494B-4AE5-AF52-53ED8784092D}" xr6:coauthVersionLast="41" xr6:coauthVersionMax="41" xr10:uidLastSave="{00000000-0000-0000-0000-000000000000}"/>
  <bookViews>
    <workbookView xWindow="-120" yWindow="-120" windowWidth="29040" windowHeight="16440" tabRatio="803" activeTab="3" xr2:uid="{86C8F276-7FB8-4C6C-A12A-5132E1768D42}"/>
  </bookViews>
  <sheets>
    <sheet name="Raw Data" sheetId="2" r:id="rId1"/>
    <sheet name="Penalty Data" sheetId="15" r:id="rId2"/>
    <sheet name="Next Match Alliances" sheetId="6" r:id="rId3"/>
    <sheet name="Abbreviated NMA" sheetId="13" r:id="rId4"/>
    <sheet name="Scouting Output Backup" sheetId="21" r:id="rId5"/>
    <sheet name="Scouting Output" sheetId="1" r:id="rId6"/>
    <sheet name="pick list" sheetId="14" r:id="rId7"/>
    <sheet name="Data Spitter" sheetId="8" r:id="rId8"/>
    <sheet name="EVENT DATA" sheetId="5" r:id="rId9"/>
    <sheet name="Data Validation" sheetId="3" r:id="rId10"/>
    <sheet name="How to use this spreadsheet" sheetId="11" r:id="rId11"/>
    <sheet name="Scouting Sheets" sheetId="7" r:id="rId12"/>
    <sheet name="Penalty scouting sheets" sheetId="17" r:id="rId13"/>
    <sheet name="Penalty + decision sheets" sheetId="20" r:id="rId14"/>
    <sheet name="Template Formulas" sheetId="18" r:id="rId15"/>
  </sheets>
  <functionGroups builtInGroupCount="19"/>
  <externalReferences>
    <externalReference r:id="rId16"/>
    <externalReference r:id="rId17"/>
    <externalReference r:id="rId18"/>
    <externalReference r:id="rId19"/>
  </externalReferences>
  <definedNames>
    <definedName name="_2assist" localSheetId="4">'Scouting Output Backup'!$AZ$21</definedName>
    <definedName name="_2assist">'Scouting Output'!$AZ$21</definedName>
    <definedName name="_2assistThreshold" localSheetId="4">'Scouting Output Backup'!$AZ$22</definedName>
    <definedName name="_2assistThreshold">'Scouting Output'!$AZ$22</definedName>
    <definedName name="_2auto" localSheetId="4">'Scouting Output Backup'!$AZ$14</definedName>
    <definedName name="_2auto">'Scouting Output'!$AZ$14</definedName>
    <definedName name="_2autoThreshold" localSheetId="4">'Scouting Output Backup'!$AZ$15</definedName>
    <definedName name="_2autoThreshold">'Scouting Output'!$AZ$15</definedName>
    <definedName name="_2cargo" localSheetId="4">'Scouting Output Backup'!$AZ$17</definedName>
    <definedName name="_2cargo">'Scouting Output'!$AZ$17</definedName>
    <definedName name="_2climb" localSheetId="4">'Scouting Output Backup'!$AZ$19</definedName>
    <definedName name="_2climb">'Scouting Output'!$AZ$19</definedName>
    <definedName name="_2climbThreshold" localSheetId="4">'Scouting Output Backup'!$AZ$20</definedName>
    <definedName name="_2climbThreshold">'Scouting Output'!$AZ$20</definedName>
    <definedName name="_2doesNothing" localSheetId="4">'Scouting Output Backup'!$AZ$28</definedName>
    <definedName name="_2doesNothing">'Scouting Output'!$AZ$28</definedName>
    <definedName name="_2doesNothingThreshold" localSheetId="4">'Scouting Output Backup'!$AZ$29</definedName>
    <definedName name="_2doesNothingThreshold">'Scouting Output'!$AZ$29</definedName>
    <definedName name="_2dropHatch" localSheetId="4">'Scouting Output Backup'!$AZ$24</definedName>
    <definedName name="_2dropHatch">'Scouting Output'!$AZ$24</definedName>
    <definedName name="_2hatch" localSheetId="4">'Scouting Output Backup'!$AZ$16</definedName>
    <definedName name="_2hatch">'Scouting Output'!$AZ$16</definedName>
    <definedName name="_2noAuto" localSheetId="4">'Scouting Output Backup'!$AZ$26</definedName>
    <definedName name="_2noAuto">'Scouting Output'!$AZ$26</definedName>
    <definedName name="_2noAutoThreshold" localSheetId="4">'Scouting Output Backup'!$AZ$27</definedName>
    <definedName name="_2noAutoThreshold">'Scouting Output'!$AZ$27</definedName>
    <definedName name="_2penalty" localSheetId="4">'Scouting Output Backup'!$AZ$23</definedName>
    <definedName name="_2penalty">'Scouting Output'!$AZ$23</definedName>
    <definedName name="_2rocket23" localSheetId="4">'Scouting Output Backup'!$AZ$18</definedName>
    <definedName name="_2rocket23">'Scouting Output'!$AZ$18</definedName>
    <definedName name="_2tippedBroke" localSheetId="4">'Scouting Output Backup'!$AZ$25</definedName>
    <definedName name="_2tippedBroke">'Scouting Output'!$AZ$25</definedName>
    <definedName name="assist" localSheetId="6">'Scouting Output'!$AQ$21</definedName>
    <definedName name="assist" localSheetId="4">'Scouting Output Backup'!$AQ$21</definedName>
    <definedName name="assist" localSheetId="14">'[1]Scouting Output'!$AQ$21</definedName>
    <definedName name="assist">'Scouting Output'!$AQ$21</definedName>
    <definedName name="assistThreshold" localSheetId="6">'Scouting Output'!$AQ$22</definedName>
    <definedName name="assistThreshold" localSheetId="4">'Scouting Output Backup'!$AQ$22</definedName>
    <definedName name="assistThreshold" localSheetId="14">'[1]Scouting Output'!$AQ$22</definedName>
    <definedName name="assistThreshold">'Scouting Output'!$AQ$22</definedName>
    <definedName name="auto" localSheetId="6">'Scouting Output'!$AQ$14</definedName>
    <definedName name="auto" localSheetId="4">'Scouting Output Backup'!$AQ$14</definedName>
    <definedName name="auto" localSheetId="14">'[1]Scouting Output'!$AQ$14</definedName>
    <definedName name="auto">'Scouting Output'!$AQ$14</definedName>
    <definedName name="autoThreshold" localSheetId="6">'Scouting Output'!$AQ$15</definedName>
    <definedName name="autoThreshold" localSheetId="4">'Scouting Output Backup'!$AQ$15</definedName>
    <definedName name="autoThreshold" localSheetId="14">'[1]Scouting Output'!$AQ$15</definedName>
    <definedName name="autoThreshold">'Scouting Output'!$AQ$15</definedName>
    <definedName name="cargo" localSheetId="6">'Scouting Output'!$AQ$17</definedName>
    <definedName name="cargo" localSheetId="4">'Scouting Output Backup'!$AQ$17</definedName>
    <definedName name="cargo" localSheetId="14">'[1]Scouting Output'!$AQ$17</definedName>
    <definedName name="cargo">'Scouting Output'!$AQ$17</definedName>
    <definedName name="cCargo" localSheetId="6">'Scouting Output'!$AW$14</definedName>
    <definedName name="cCargo" localSheetId="4">'Scouting Output Backup'!$AW$14</definedName>
    <definedName name="cCargo" localSheetId="14">'[1]Scouting Output'!$AW$14</definedName>
    <definedName name="cCargo">'Scouting Output'!$AW$14</definedName>
    <definedName name="climb" localSheetId="6">'Scouting Output'!$AQ$19</definedName>
    <definedName name="climb" localSheetId="4">'Scouting Output Backup'!$AQ$19</definedName>
    <definedName name="climb" localSheetId="14">'[1]Scouting Output'!$AQ$19</definedName>
    <definedName name="climb">'Scouting Output'!$AQ$19</definedName>
    <definedName name="climbThreshold" localSheetId="6">'Scouting Output'!$AQ$20</definedName>
    <definedName name="climbThreshold" localSheetId="4">'Scouting Output Backup'!$AQ$20</definedName>
    <definedName name="climbThreshold" localSheetId="14">'[1]Scouting Output'!$AQ$20</definedName>
    <definedName name="climbThreshold">'Scouting Output'!$AQ$20</definedName>
    <definedName name="cNoAuto" localSheetId="6">'Scouting Output'!$AW$19</definedName>
    <definedName name="cNoAuto" localSheetId="4">'Scouting Output Backup'!$AW$19</definedName>
    <definedName name="cNoAuto" localSheetId="14">'[1]Scouting Output'!$AW$19</definedName>
    <definedName name="cNoAuto">'Scouting Output'!$AW$19</definedName>
    <definedName name="cNoAutoThreshold" localSheetId="6">'Scouting Output'!$AW$20</definedName>
    <definedName name="cNoAutoThreshold" localSheetId="4">'Scouting Output Backup'!$AW$20</definedName>
    <definedName name="cNoAutoThreshold" localSheetId="14">'[1]Scouting Output'!$AW$20</definedName>
    <definedName name="cNoAutoThreshold">'Scouting Output'!$AW$20</definedName>
    <definedName name="cNoCargo" localSheetId="4">'Scouting Output Backup'!$AW$21</definedName>
    <definedName name="cNoCargo">'Scouting Output'!$AW$21</definedName>
    <definedName name="cNoCargoThreshold" localSheetId="4">'Scouting Output Backup'!$AW$22</definedName>
    <definedName name="cNoCargoThreshold">'Scouting Output'!$AW$22</definedName>
    <definedName name="cPenalty" localSheetId="6">'Scouting Output'!$AW$17</definedName>
    <definedName name="cPenalty" localSheetId="4">'Scouting Output Backup'!$AW$17</definedName>
    <definedName name="cPenalty" localSheetId="14">'[1]Scouting Output'!$AW$17</definedName>
    <definedName name="cPenalty">'Scouting Output'!$AW$17</definedName>
    <definedName name="cRocket23" localSheetId="6">'Scouting Output'!$AW$15</definedName>
    <definedName name="cRocket23" localSheetId="4">'Scouting Output Backup'!$AW$15</definedName>
    <definedName name="cRocket23" localSheetId="14">'[1]Scouting Output'!$AW$15</definedName>
    <definedName name="cRocket23">'Scouting Output'!$AW$15</definedName>
    <definedName name="cSandstorm" localSheetId="6">'Scouting Output'!$AW$16</definedName>
    <definedName name="cSandstorm" localSheetId="4">'Scouting Output Backup'!$AW$16</definedName>
    <definedName name="cSandstorm" localSheetId="14">'[1]Scouting Output'!$AW$16</definedName>
    <definedName name="cSandstorm">'Scouting Output'!$AW$16</definedName>
    <definedName name="cTippedBroke" localSheetId="6">'Scouting Output'!$AW$18</definedName>
    <definedName name="cTippedBroke" localSheetId="4">'Scouting Output Backup'!$AW$18</definedName>
    <definedName name="cTippedBroke" localSheetId="14">'[1]Scouting Output'!$AW$18</definedName>
    <definedName name="cTippedBroke">'Scouting Output'!$AW$18</definedName>
    <definedName name="doesNothing" localSheetId="6">'Scouting Output'!$AQ$28</definedName>
    <definedName name="doesNothing" localSheetId="4">'Scouting Output Backup'!$AQ$28</definedName>
    <definedName name="doesNothing" localSheetId="14">'[1]Scouting Output'!$AQ$28</definedName>
    <definedName name="doesNothing">'Scouting Output'!$AQ$28</definedName>
    <definedName name="doesNothingThreshold" localSheetId="6">'Scouting Output'!$AQ$29</definedName>
    <definedName name="doesNothingThreshold" localSheetId="4">'Scouting Output Backup'!$AQ$29</definedName>
    <definedName name="doesNothingThreshold" localSheetId="14">'[1]Scouting Output'!$AQ$29</definedName>
    <definedName name="doesNothingThreshold">'Scouting Output'!$AQ$29</definedName>
    <definedName name="dropHatch" localSheetId="6">'Scouting Output'!$AQ$24</definedName>
    <definedName name="dropHatch" localSheetId="4">'Scouting Output Backup'!$AQ$24</definedName>
    <definedName name="dropHatch" localSheetId="14">'[1]Scouting Output'!$AQ$24</definedName>
    <definedName name="dropHatch">'Scouting Output'!$AQ$24</definedName>
    <definedName name="hatch" localSheetId="6">'Scouting Output'!$AQ$16</definedName>
    <definedName name="hatch" localSheetId="4">'Scouting Output Backup'!$AQ$16</definedName>
    <definedName name="hatch" localSheetId="14">'[1]Scouting Output'!$AQ$16</definedName>
    <definedName name="hatch">'Scouting Output'!$AQ$16</definedName>
    <definedName name="hDropHatch" localSheetId="6">'Scouting Output'!$AT$18</definedName>
    <definedName name="hDropHatch" localSheetId="4">'Scouting Output Backup'!$AT$18</definedName>
    <definedName name="hDropHatch" localSheetId="14">'[1]Scouting Output'!$AT$18</definedName>
    <definedName name="hDropHatch">'Scouting Output'!$AT$18</definedName>
    <definedName name="hFloorHatch" localSheetId="6">'Scouting Output'!$AT$22</definedName>
    <definedName name="hFloorHatch" localSheetId="4">'Scouting Output Backup'!$AT$22</definedName>
    <definedName name="hFloorHatch" localSheetId="14">'[1]Scouting Output'!$AT$22</definedName>
    <definedName name="hFloorHatch">'Scouting Output'!$AT$22</definedName>
    <definedName name="hFloorHatchThreshold" localSheetId="6">'Scouting Output'!$AT$23</definedName>
    <definedName name="hFloorHatchThreshold" localSheetId="4">'Scouting Output Backup'!$AT$23</definedName>
    <definedName name="hFloorHatchThreshold" localSheetId="14">'[1]Scouting Output'!$AT$23</definedName>
    <definedName name="hFloorHatchThreshold">'Scouting Output'!$AT$23</definedName>
    <definedName name="hHatch" localSheetId="6">'Scouting Output'!$AT$14</definedName>
    <definedName name="hHatch" localSheetId="4">'Scouting Output Backup'!$AT$14</definedName>
    <definedName name="hHatch" localSheetId="14">'[1]Scouting Output'!$AT$14</definedName>
    <definedName name="hHatch">'Scouting Output'!$AT$14</definedName>
    <definedName name="hNoAuto" localSheetId="6">'Scouting Output'!$AT$20</definedName>
    <definedName name="hNoAuto" localSheetId="4">'Scouting Output Backup'!$AT$20</definedName>
    <definedName name="hNoAuto" localSheetId="14">'[1]Scouting Output'!$AT$20</definedName>
    <definedName name="hNoAuto">'Scouting Output'!$AT$20</definedName>
    <definedName name="hNoAutoThreshold" localSheetId="6">'Scouting Output'!$AT$21</definedName>
    <definedName name="hNoAutoThreshold" localSheetId="4">'Scouting Output Backup'!$AT$21</definedName>
    <definedName name="hNoAutoThreshold" localSheetId="14">'[1]Scouting Output'!$AT$21</definedName>
    <definedName name="hNoAutoThreshold">'Scouting Output'!$AT$21</definedName>
    <definedName name="hNoHatch" localSheetId="4">'Scouting Output Backup'!$AT$24</definedName>
    <definedName name="hNoHatch">'Scouting Output'!$AT$24</definedName>
    <definedName name="hNoHatchThreshold" localSheetId="4">'Scouting Output Backup'!$AT$25</definedName>
    <definedName name="hNoHatchThreshold">'Scouting Output'!$AT$25</definedName>
    <definedName name="hPenalty" localSheetId="6">'Scouting Output'!$AT$17</definedName>
    <definedName name="hPenalty" localSheetId="4">'Scouting Output Backup'!$AT$17</definedName>
    <definedName name="hPenalty" localSheetId="14">'[1]Scouting Output'!$AT$17</definedName>
    <definedName name="hPenalty">'Scouting Output'!$AT$17</definedName>
    <definedName name="hRocket23" localSheetId="6">'Scouting Output'!$AT$15</definedName>
    <definedName name="hRocket23" localSheetId="4">'Scouting Output Backup'!$AT$15</definedName>
    <definedName name="hRocket23" localSheetId="14">'[1]Scouting Output'!$AT$15</definedName>
    <definedName name="hRocket23">'Scouting Output'!$AT$15</definedName>
    <definedName name="hSandstorm" localSheetId="6">'Scouting Output'!$AT$16</definedName>
    <definedName name="hSandstorm" localSheetId="4">'Scouting Output Backup'!$AT$16</definedName>
    <definedName name="hSandstorm" localSheetId="14">'[1]Scouting Output'!$AT$16</definedName>
    <definedName name="hSandstorm">'Scouting Output'!$AT$16</definedName>
    <definedName name="hTippedBroke" localSheetId="6">'Scouting Output'!$AT$19</definedName>
    <definedName name="hTippedBroke" localSheetId="4">'Scouting Output Backup'!$AT$19</definedName>
    <definedName name="hTippedBroke" localSheetId="14">'[1]Scouting Output'!$AT$19</definedName>
    <definedName name="hTippedBroke">'Scouting Output'!$AT$19</definedName>
    <definedName name="Look">[2]VLOOKUP!$A:$U</definedName>
    <definedName name="noAuto" localSheetId="6">'Scouting Output'!$AQ$26</definedName>
    <definedName name="noAuto" localSheetId="4">'Scouting Output Backup'!$AQ$26</definedName>
    <definedName name="noAuto" localSheetId="14">'[1]Scouting Output'!$AQ$26</definedName>
    <definedName name="noAuto">'Scouting Output'!$AQ$26</definedName>
    <definedName name="noAutoThreshold" localSheetId="6">'Scouting Output'!$AQ$27</definedName>
    <definedName name="noAutoThreshold" localSheetId="4">'Scouting Output Backup'!$AQ$27</definedName>
    <definedName name="noAutoThreshold" localSheetId="14">'[1]Scouting Output'!$AQ$27</definedName>
    <definedName name="noAutoThreshold">'Scouting Output'!$AQ$27</definedName>
    <definedName name="penalty" localSheetId="6">'Scouting Output'!$AQ$23</definedName>
    <definedName name="penalty" localSheetId="4">'Scouting Output Backup'!$AQ$23</definedName>
    <definedName name="penalty" localSheetId="14">'[1]Scouting Output'!$AQ$23</definedName>
    <definedName name="penalty">'Scouting Output'!$AQ$23</definedName>
    <definedName name="rocket23" localSheetId="6">'Scouting Output'!$AQ$18</definedName>
    <definedName name="rocket23" localSheetId="4">'Scouting Output Backup'!$AQ$18</definedName>
    <definedName name="rocket23" localSheetId="14">'[1]Scouting Output'!$AQ$18</definedName>
    <definedName name="rocket23">'Scouting Output'!$AQ$18</definedName>
    <definedName name="rocket2and3" localSheetId="4">'Scouting Output Backup'!$AQ$18</definedName>
    <definedName name="rocket2and3">'Scouting Output'!$AQ$18</definedName>
    <definedName name="sandstorm" localSheetId="4">'Scouting Output Backup'!$AT$16</definedName>
    <definedName name="sandstorm">'Scouting Output'!$AT$16</definedName>
    <definedName name="Second_Desirability" localSheetId="4">'Scouting Output Backup'!$AN$3</definedName>
    <definedName name="Second_Desirability">'Scouting Output'!$AN$3</definedName>
    <definedName name="tippedBroke" localSheetId="6">'Scouting Output'!$AQ$25</definedName>
    <definedName name="tippedBroke" localSheetId="4">'Scouting Output Backup'!$AQ$25</definedName>
    <definedName name="tippedBroke" localSheetId="14">'[1]Scouting Output'!$AQ$25</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4" i="14" l="1"/>
  <c r="G46" i="14"/>
  <c r="G47" i="14"/>
  <c r="G48" i="14"/>
  <c r="G12" i="14"/>
  <c r="G49" i="14"/>
  <c r="G50" i="14"/>
  <c r="G51" i="14"/>
  <c r="G52" i="14"/>
  <c r="G53" i="14"/>
  <c r="G54" i="14"/>
  <c r="G14" i="14"/>
  <c r="G55" i="14"/>
  <c r="G10" i="14"/>
  <c r="G56" i="14"/>
  <c r="G23" i="14"/>
  <c r="G57" i="14"/>
  <c r="G113" i="14"/>
  <c r="G11" i="14"/>
  <c r="G7" i="14"/>
  <c r="G58" i="14"/>
  <c r="G19" i="14"/>
  <c r="G45" i="14"/>
  <c r="G59" i="14"/>
  <c r="G112" i="14"/>
  <c r="G26" i="14"/>
  <c r="G111" i="14"/>
  <c r="G60" i="14"/>
  <c r="G30" i="14"/>
  <c r="G20" i="14"/>
  <c r="G61" i="14"/>
  <c r="G62" i="14"/>
  <c r="G63" i="14"/>
  <c r="G8" i="14"/>
  <c r="G25" i="14"/>
  <c r="G39" i="14"/>
  <c r="G64" i="14"/>
  <c r="G65" i="14"/>
  <c r="G43" i="14"/>
  <c r="G66" i="14"/>
  <c r="G42" i="14"/>
  <c r="G67" i="14"/>
  <c r="G31" i="14"/>
  <c r="G68" i="14"/>
  <c r="G69" i="14"/>
  <c r="G21" i="14"/>
  <c r="G70" i="14"/>
  <c r="G71" i="14"/>
  <c r="G22" i="14"/>
  <c r="G5" i="14"/>
  <c r="G72" i="14"/>
  <c r="G73" i="14"/>
  <c r="G6" i="14"/>
  <c r="G74" i="14"/>
  <c r="G75" i="14"/>
  <c r="G76" i="14"/>
  <c r="G3" i="14"/>
  <c r="G15" i="14"/>
  <c r="G37" i="14"/>
  <c r="G77" i="14"/>
  <c r="G78" i="14"/>
  <c r="G79" i="14"/>
  <c r="G40" i="14"/>
  <c r="G80" i="14"/>
  <c r="G81" i="14"/>
  <c r="G110" i="14"/>
  <c r="G24" i="14"/>
  <c r="G82" i="14"/>
  <c r="G13" i="14"/>
  <c r="G83" i="14"/>
  <c r="G84" i="14"/>
  <c r="G85" i="14"/>
  <c r="G86" i="14"/>
  <c r="G87" i="14"/>
  <c r="G33" i="14"/>
  <c r="G88" i="14"/>
  <c r="G89" i="14"/>
  <c r="G90" i="14"/>
  <c r="G36" i="14"/>
  <c r="G91" i="14"/>
  <c r="G34" i="14"/>
  <c r="G92" i="14"/>
  <c r="G93" i="14"/>
  <c r="G32" i="14"/>
  <c r="G28" i="14"/>
  <c r="G16" i="14"/>
  <c r="G38" i="14"/>
  <c r="G94" i="14"/>
  <c r="G95" i="14"/>
  <c r="G114" i="14"/>
  <c r="G96" i="14"/>
  <c r="G41" i="14"/>
  <c r="G97" i="14"/>
  <c r="G98" i="14"/>
  <c r="G99" i="14"/>
  <c r="G9" i="14"/>
  <c r="G100" i="14"/>
  <c r="G27" i="14"/>
  <c r="G101" i="14"/>
  <c r="G102" i="14"/>
  <c r="G35" i="14"/>
  <c r="G103" i="14"/>
  <c r="G17" i="14"/>
  <c r="G104" i="14"/>
  <c r="G105" i="14"/>
  <c r="G44" i="14"/>
  <c r="G29" i="14"/>
  <c r="G115" i="14"/>
  <c r="G106" i="14"/>
  <c r="G18" i="14"/>
  <c r="G107" i="14"/>
  <c r="G108" i="14"/>
  <c r="G109" i="14"/>
  <c r="F4" i="14"/>
  <c r="F46" i="14"/>
  <c r="F47" i="14"/>
  <c r="F48" i="14"/>
  <c r="F12" i="14"/>
  <c r="F49" i="14"/>
  <c r="F50" i="14"/>
  <c r="F51" i="14"/>
  <c r="F52" i="14"/>
  <c r="F53" i="14"/>
  <c r="F54" i="14"/>
  <c r="F14" i="14"/>
  <c r="F55" i="14"/>
  <c r="F10" i="14"/>
  <c r="F56" i="14"/>
  <c r="F23" i="14"/>
  <c r="F57" i="14"/>
  <c r="F113" i="14"/>
  <c r="F11" i="14"/>
  <c r="F7" i="14"/>
  <c r="F58" i="14"/>
  <c r="F19" i="14"/>
  <c r="F45" i="14"/>
  <c r="F59" i="14"/>
  <c r="F112" i="14"/>
  <c r="F26" i="14"/>
  <c r="F111" i="14"/>
  <c r="F60" i="14"/>
  <c r="F30" i="14"/>
  <c r="F20" i="14"/>
  <c r="F61" i="14"/>
  <c r="F62" i="14"/>
  <c r="F63" i="14"/>
  <c r="F8" i="14"/>
  <c r="F25" i="14"/>
  <c r="F39" i="14"/>
  <c r="F64" i="14"/>
  <c r="F65" i="14"/>
  <c r="F43" i="14"/>
  <c r="F66" i="14"/>
  <c r="F42" i="14"/>
  <c r="F67" i="14"/>
  <c r="F31" i="14"/>
  <c r="F68" i="14"/>
  <c r="F69" i="14"/>
  <c r="F21" i="14"/>
  <c r="F70" i="14"/>
  <c r="F71" i="14"/>
  <c r="F22" i="14"/>
  <c r="F5" i="14"/>
  <c r="F72" i="14"/>
  <c r="F73" i="14"/>
  <c r="F6" i="14"/>
  <c r="F74" i="14"/>
  <c r="F75" i="14"/>
  <c r="F76" i="14"/>
  <c r="F3" i="14"/>
  <c r="F15" i="14"/>
  <c r="F37" i="14"/>
  <c r="F77" i="14"/>
  <c r="F78" i="14"/>
  <c r="F79" i="14"/>
  <c r="F40" i="14"/>
  <c r="F80" i="14"/>
  <c r="F81" i="14"/>
  <c r="F110" i="14"/>
  <c r="F24" i="14"/>
  <c r="F82" i="14"/>
  <c r="F13" i="14"/>
  <c r="F83" i="14"/>
  <c r="F84" i="14"/>
  <c r="F85" i="14"/>
  <c r="F86" i="14"/>
  <c r="F87" i="14"/>
  <c r="F33" i="14"/>
  <c r="F88" i="14"/>
  <c r="F89" i="14"/>
  <c r="F90" i="14"/>
  <c r="F36" i="14"/>
  <c r="F91" i="14"/>
  <c r="F34" i="14"/>
  <c r="F92" i="14"/>
  <c r="F93" i="14"/>
  <c r="F32" i="14"/>
  <c r="F28" i="14"/>
  <c r="F16" i="14"/>
  <c r="F38" i="14"/>
  <c r="F94" i="14"/>
  <c r="F95" i="14"/>
  <c r="F114" i="14"/>
  <c r="F96" i="14"/>
  <c r="F41" i="14"/>
  <c r="F97" i="14"/>
  <c r="F98" i="14"/>
  <c r="F99" i="14"/>
  <c r="F9" i="14"/>
  <c r="F100" i="14"/>
  <c r="F27" i="14"/>
  <c r="F101" i="14"/>
  <c r="F102" i="14"/>
  <c r="F35" i="14"/>
  <c r="F103" i="14"/>
  <c r="F17" i="14"/>
  <c r="F104" i="14"/>
  <c r="F105" i="14"/>
  <c r="F44" i="14"/>
  <c r="F29" i="14"/>
  <c r="F115" i="14"/>
  <c r="F106" i="14"/>
  <c r="F18" i="14"/>
  <c r="F107" i="14"/>
  <c r="F108" i="14"/>
  <c r="F109" i="14"/>
  <c r="E4" i="14"/>
  <c r="E46" i="14"/>
  <c r="E47" i="14"/>
  <c r="E48" i="14"/>
  <c r="E12" i="14"/>
  <c r="E49" i="14"/>
  <c r="E50" i="14"/>
  <c r="E51" i="14"/>
  <c r="E52" i="14"/>
  <c r="E53" i="14"/>
  <c r="E54" i="14"/>
  <c r="E14" i="14"/>
  <c r="E55" i="14"/>
  <c r="E10" i="14"/>
  <c r="E56" i="14"/>
  <c r="E23" i="14"/>
  <c r="E57" i="14"/>
  <c r="E113" i="14"/>
  <c r="E11" i="14"/>
  <c r="E7" i="14"/>
  <c r="E58" i="14"/>
  <c r="E19" i="14"/>
  <c r="E45" i="14"/>
  <c r="E59" i="14"/>
  <c r="E112" i="14"/>
  <c r="E26" i="14"/>
  <c r="E111" i="14"/>
  <c r="E60" i="14"/>
  <c r="E30" i="14"/>
  <c r="E20" i="14"/>
  <c r="E61" i="14"/>
  <c r="E62" i="14"/>
  <c r="E63" i="14"/>
  <c r="E8" i="14"/>
  <c r="E25" i="14"/>
  <c r="E39" i="14"/>
  <c r="E64" i="14"/>
  <c r="E65" i="14"/>
  <c r="E43" i="14"/>
  <c r="E66" i="14"/>
  <c r="E42" i="14"/>
  <c r="E67" i="14"/>
  <c r="E31" i="14"/>
  <c r="E68" i="14"/>
  <c r="E69" i="14"/>
  <c r="E21" i="14"/>
  <c r="E70" i="14"/>
  <c r="E71" i="14"/>
  <c r="E22" i="14"/>
  <c r="E5" i="14"/>
  <c r="E72" i="14"/>
  <c r="E73" i="14"/>
  <c r="E6" i="14"/>
  <c r="E74" i="14"/>
  <c r="E75" i="14"/>
  <c r="E76" i="14"/>
  <c r="E3" i="14"/>
  <c r="E15" i="14"/>
  <c r="E37" i="14"/>
  <c r="E77" i="14"/>
  <c r="E78" i="14"/>
  <c r="E79" i="14"/>
  <c r="E40" i="14"/>
  <c r="E80" i="14"/>
  <c r="E81" i="14"/>
  <c r="E110" i="14"/>
  <c r="E24" i="14"/>
  <c r="E82" i="14"/>
  <c r="E13" i="14"/>
  <c r="E83" i="14"/>
  <c r="E84" i="14"/>
  <c r="E85" i="14"/>
  <c r="E86" i="14"/>
  <c r="E87" i="14"/>
  <c r="E33" i="14"/>
  <c r="E88" i="14"/>
  <c r="E89" i="14"/>
  <c r="E90" i="14"/>
  <c r="E36" i="14"/>
  <c r="E91" i="14"/>
  <c r="E34" i="14"/>
  <c r="E92" i="14"/>
  <c r="E93" i="14"/>
  <c r="E32" i="14"/>
  <c r="E28" i="14"/>
  <c r="E16" i="14"/>
  <c r="E38" i="14"/>
  <c r="E94" i="14"/>
  <c r="E95" i="14"/>
  <c r="E114" i="14"/>
  <c r="E96" i="14"/>
  <c r="E41" i="14"/>
  <c r="E97" i="14"/>
  <c r="E98" i="14"/>
  <c r="E99" i="14"/>
  <c r="E9" i="14"/>
  <c r="E100" i="14"/>
  <c r="E27" i="14"/>
  <c r="E101" i="14"/>
  <c r="E102" i="14"/>
  <c r="E35" i="14"/>
  <c r="E103" i="14"/>
  <c r="E17" i="14"/>
  <c r="E104" i="14"/>
  <c r="E105" i="14"/>
  <c r="E44" i="14"/>
  <c r="E29" i="14"/>
  <c r="E115" i="14"/>
  <c r="E106" i="14"/>
  <c r="E18" i="14"/>
  <c r="E107" i="14"/>
  <c r="E108" i="14"/>
  <c r="E109" i="14"/>
  <c r="D4" i="14"/>
  <c r="D46" i="14"/>
  <c r="D47" i="14"/>
  <c r="D48" i="14"/>
  <c r="D12" i="14"/>
  <c r="D49" i="14"/>
  <c r="D50" i="14"/>
  <c r="D51" i="14"/>
  <c r="D52" i="14"/>
  <c r="D53" i="14"/>
  <c r="D54" i="14"/>
  <c r="D14" i="14"/>
  <c r="D55" i="14"/>
  <c r="D10" i="14"/>
  <c r="D56" i="14"/>
  <c r="D23" i="14"/>
  <c r="D57" i="14"/>
  <c r="D113" i="14"/>
  <c r="D11" i="14"/>
  <c r="D7" i="14"/>
  <c r="D58" i="14"/>
  <c r="D19" i="14"/>
  <c r="D45" i="14"/>
  <c r="D59" i="14"/>
  <c r="D112" i="14"/>
  <c r="D26" i="14"/>
  <c r="D111" i="14"/>
  <c r="D60" i="14"/>
  <c r="D30" i="14"/>
  <c r="D20" i="14"/>
  <c r="D61" i="14"/>
  <c r="D62" i="14"/>
  <c r="D63" i="14"/>
  <c r="D8" i="14"/>
  <c r="D25" i="14"/>
  <c r="D39" i="14"/>
  <c r="D64" i="14"/>
  <c r="D65" i="14"/>
  <c r="D43" i="14"/>
  <c r="D66" i="14"/>
  <c r="D42" i="14"/>
  <c r="D67" i="14"/>
  <c r="D31" i="14"/>
  <c r="D68" i="14"/>
  <c r="D69" i="14"/>
  <c r="D21" i="14"/>
  <c r="D70" i="14"/>
  <c r="D71" i="14"/>
  <c r="D22" i="14"/>
  <c r="D5" i="14"/>
  <c r="D72" i="14"/>
  <c r="D73" i="14"/>
  <c r="D6" i="14"/>
  <c r="D74" i="14"/>
  <c r="D75" i="14"/>
  <c r="D76" i="14"/>
  <c r="D3" i="14"/>
  <c r="D15" i="14"/>
  <c r="D37" i="14"/>
  <c r="D77" i="14"/>
  <c r="D78" i="14"/>
  <c r="D79" i="14"/>
  <c r="D40" i="14"/>
  <c r="D80" i="14"/>
  <c r="D81" i="14"/>
  <c r="D110" i="14"/>
  <c r="D24" i="14"/>
  <c r="D82" i="14"/>
  <c r="D13" i="14"/>
  <c r="D83" i="14"/>
  <c r="D84" i="14"/>
  <c r="D85" i="14"/>
  <c r="D86" i="14"/>
  <c r="D87" i="14"/>
  <c r="D33" i="14"/>
  <c r="D88" i="14"/>
  <c r="D89" i="14"/>
  <c r="D90" i="14"/>
  <c r="D36" i="14"/>
  <c r="D91" i="14"/>
  <c r="D34" i="14"/>
  <c r="D92" i="14"/>
  <c r="D93" i="14"/>
  <c r="D32" i="14"/>
  <c r="D28" i="14"/>
  <c r="D16" i="14"/>
  <c r="D38" i="14"/>
  <c r="D94" i="14"/>
  <c r="D95" i="14"/>
  <c r="D114" i="14"/>
  <c r="D96" i="14"/>
  <c r="D41" i="14"/>
  <c r="D97" i="14"/>
  <c r="D98" i="14"/>
  <c r="D99" i="14"/>
  <c r="D9" i="14"/>
  <c r="D100" i="14"/>
  <c r="D27" i="14"/>
  <c r="D101" i="14"/>
  <c r="D102" i="14"/>
  <c r="D35" i="14"/>
  <c r="D103" i="14"/>
  <c r="D17" i="14"/>
  <c r="D104" i="14"/>
  <c r="D105" i="14"/>
  <c r="D44" i="14"/>
  <c r="D29" i="14"/>
  <c r="D115" i="14"/>
  <c r="D106" i="14"/>
  <c r="D18" i="14"/>
  <c r="D107" i="14"/>
  <c r="D108" i="14"/>
  <c r="D109" i="14"/>
  <c r="C4" i="14"/>
  <c r="C46" i="14"/>
  <c r="C47" i="14"/>
  <c r="C48" i="14"/>
  <c r="C12" i="14"/>
  <c r="C49" i="14"/>
  <c r="C50" i="14"/>
  <c r="C51" i="14"/>
  <c r="C52" i="14"/>
  <c r="C53" i="14"/>
  <c r="C54" i="14"/>
  <c r="C14" i="14"/>
  <c r="C55" i="14"/>
  <c r="C10" i="14"/>
  <c r="C56" i="14"/>
  <c r="C23" i="14"/>
  <c r="C57" i="14"/>
  <c r="C113" i="14"/>
  <c r="C11" i="14"/>
  <c r="C7" i="14"/>
  <c r="C58" i="14"/>
  <c r="C19" i="14"/>
  <c r="C45" i="14"/>
  <c r="C59" i="14"/>
  <c r="C112" i="14"/>
  <c r="C26" i="14"/>
  <c r="C111" i="14"/>
  <c r="C60" i="14"/>
  <c r="C30" i="14"/>
  <c r="C20" i="14"/>
  <c r="C61" i="14"/>
  <c r="C62" i="14"/>
  <c r="C63" i="14"/>
  <c r="C8" i="14"/>
  <c r="C25" i="14"/>
  <c r="C39" i="14"/>
  <c r="C64" i="14"/>
  <c r="C65" i="14"/>
  <c r="C43" i="14"/>
  <c r="C66" i="14"/>
  <c r="C42" i="14"/>
  <c r="C67" i="14"/>
  <c r="C31" i="14"/>
  <c r="C68" i="14"/>
  <c r="C69" i="14"/>
  <c r="C21" i="14"/>
  <c r="C70" i="14"/>
  <c r="C71" i="14"/>
  <c r="C22" i="14"/>
  <c r="C5" i="14"/>
  <c r="C72" i="14"/>
  <c r="C73" i="14"/>
  <c r="C6" i="14"/>
  <c r="C74" i="14"/>
  <c r="C75" i="14"/>
  <c r="C76" i="14"/>
  <c r="C3" i="14"/>
  <c r="C15" i="14"/>
  <c r="C37" i="14"/>
  <c r="C77" i="14"/>
  <c r="C78" i="14"/>
  <c r="C79" i="14"/>
  <c r="C40" i="14"/>
  <c r="C80" i="14"/>
  <c r="C81" i="14"/>
  <c r="C110" i="14"/>
  <c r="C24" i="14"/>
  <c r="C82" i="14"/>
  <c r="C13" i="14"/>
  <c r="C83" i="14"/>
  <c r="C84" i="14"/>
  <c r="C85" i="14"/>
  <c r="C86" i="14"/>
  <c r="C87" i="14"/>
  <c r="C33" i="14"/>
  <c r="C88" i="14"/>
  <c r="C89" i="14"/>
  <c r="C90" i="14"/>
  <c r="C36" i="14"/>
  <c r="C91" i="14"/>
  <c r="C34" i="14"/>
  <c r="C92" i="14"/>
  <c r="C93" i="14"/>
  <c r="C32" i="14"/>
  <c r="C28" i="14"/>
  <c r="C16" i="14"/>
  <c r="C38" i="14"/>
  <c r="C94" i="14"/>
  <c r="C95" i="14"/>
  <c r="C114" i="14"/>
  <c r="C96" i="14"/>
  <c r="C41" i="14"/>
  <c r="C97" i="14"/>
  <c r="C98" i="14"/>
  <c r="C99" i="14"/>
  <c r="C9" i="14"/>
  <c r="C100" i="14"/>
  <c r="C27" i="14"/>
  <c r="C101" i="14"/>
  <c r="C102" i="14"/>
  <c r="C35" i="14"/>
  <c r="C103" i="14"/>
  <c r="C17" i="14"/>
  <c r="C104" i="14"/>
  <c r="C105" i="14"/>
  <c r="C44" i="14"/>
  <c r="C29" i="14"/>
  <c r="C115" i="14"/>
  <c r="C106" i="14"/>
  <c r="C18" i="14"/>
  <c r="C107" i="14"/>
  <c r="C108" i="14"/>
  <c r="C109" i="14"/>
  <c r="AM115" i="1"/>
  <c r="AM114" i="1"/>
  <c r="AM113" i="1"/>
  <c r="AM112" i="1"/>
  <c r="AM111" i="1"/>
  <c r="AM110" i="1"/>
  <c r="AM109" i="1"/>
  <c r="AM108" i="1"/>
  <c r="AM107" i="1"/>
  <c r="AM106" i="1"/>
  <c r="AM105" i="1"/>
  <c r="AM104" i="1"/>
  <c r="AM103" i="1"/>
  <c r="AM102" i="1"/>
  <c r="AM101" i="1"/>
  <c r="AM100" i="1"/>
  <c r="AM99" i="1"/>
  <c r="AM98" i="1"/>
  <c r="AM97" i="1"/>
  <c r="AM96" i="1"/>
  <c r="AM95" i="1"/>
  <c r="AM94" i="1"/>
  <c r="AM93" i="1"/>
  <c r="AM92" i="1"/>
  <c r="AM91" i="1"/>
  <c r="AM90" i="1"/>
  <c r="AM89" i="1"/>
  <c r="AM88" i="1"/>
  <c r="AM87" i="1"/>
  <c r="AM86" i="1"/>
  <c r="AM85" i="1"/>
  <c r="AM84" i="1"/>
  <c r="AM83" i="1"/>
  <c r="AM82" i="1"/>
  <c r="AM81" i="1"/>
  <c r="AM80" i="1"/>
  <c r="AM79" i="1"/>
  <c r="AM78" i="1"/>
  <c r="AM77" i="1"/>
  <c r="AM76" i="1"/>
  <c r="AM75" i="1"/>
  <c r="AM74" i="1"/>
  <c r="AM73" i="1"/>
  <c r="AM72" i="1"/>
  <c r="AM71" i="1"/>
  <c r="AM70" i="1"/>
  <c r="AM69" i="1"/>
  <c r="AM68" i="1"/>
  <c r="AM67" i="1"/>
  <c r="AM66" i="1"/>
  <c r="AM65" i="1"/>
  <c r="AM64" i="1"/>
  <c r="AM63" i="1"/>
  <c r="AM62" i="1"/>
  <c r="AM61" i="1"/>
  <c r="AM60" i="1"/>
  <c r="AM59" i="1"/>
  <c r="AM58" i="1"/>
  <c r="AM57" i="1"/>
  <c r="AM56" i="1"/>
  <c r="AM55" i="1"/>
  <c r="AM54" i="1"/>
  <c r="AM53" i="1"/>
  <c r="AM52" i="1"/>
  <c r="AM51" i="1"/>
  <c r="AM50" i="1"/>
  <c r="AM49" i="1"/>
  <c r="AM48" i="1"/>
  <c r="AM47" i="1"/>
  <c r="AM46" i="1"/>
  <c r="AM45" i="1"/>
  <c r="AM44" i="1"/>
  <c r="AM43" i="1"/>
  <c r="AM42" i="1"/>
  <c r="AM41" i="1"/>
  <c r="AM40" i="1"/>
  <c r="AM39" i="1"/>
  <c r="AM38" i="1"/>
  <c r="AM37" i="1"/>
  <c r="AM36" i="1"/>
  <c r="AM35" i="1"/>
  <c r="AM34" i="1"/>
  <c r="AM33" i="1"/>
  <c r="AM32" i="1"/>
  <c r="AM31" i="1"/>
  <c r="AM30" i="1"/>
  <c r="AM29" i="1"/>
  <c r="AM28" i="1"/>
  <c r="AM27" i="1"/>
  <c r="AM26" i="1"/>
  <c r="AM25" i="1"/>
  <c r="AM24" i="1"/>
  <c r="AM23" i="1"/>
  <c r="AM22" i="1"/>
  <c r="AM21" i="1"/>
  <c r="AM20" i="1"/>
  <c r="AM19" i="1"/>
  <c r="AM18" i="1"/>
  <c r="AM17" i="1"/>
  <c r="AM16" i="1"/>
  <c r="AM15" i="1"/>
  <c r="AM14" i="1"/>
  <c r="AM13" i="1"/>
  <c r="AM12" i="1"/>
  <c r="AM11" i="1"/>
  <c r="AM10" i="1"/>
  <c r="AM9" i="1"/>
  <c r="AM8" i="1"/>
  <c r="AM7" i="1"/>
  <c r="AM6" i="1"/>
  <c r="AM5" i="1"/>
  <c r="AM4" i="1"/>
  <c r="AM3" i="1"/>
  <c r="AL115" i="1"/>
  <c r="AL114" i="1"/>
  <c r="AL113" i="1"/>
  <c r="AL112" i="1"/>
  <c r="AL111" i="1"/>
  <c r="AL110" i="1"/>
  <c r="AL109" i="1"/>
  <c r="AL108" i="1"/>
  <c r="AL107" i="1"/>
  <c r="AL106" i="1"/>
  <c r="AL105" i="1"/>
  <c r="AL104" i="1"/>
  <c r="AL103" i="1"/>
  <c r="AL102" i="1"/>
  <c r="AL101" i="1"/>
  <c r="AL100" i="1"/>
  <c r="AL99" i="1"/>
  <c r="AL98" i="1"/>
  <c r="AL97" i="1"/>
  <c r="AL96" i="1"/>
  <c r="AL95" i="1"/>
  <c r="AL94" i="1"/>
  <c r="AL93" i="1"/>
  <c r="AL92" i="1"/>
  <c r="AL91" i="1"/>
  <c r="AL90" i="1"/>
  <c r="AL89" i="1"/>
  <c r="AL88" i="1"/>
  <c r="AL87" i="1"/>
  <c r="AL86" i="1"/>
  <c r="AL85" i="1"/>
  <c r="AL84" i="1"/>
  <c r="AL83" i="1"/>
  <c r="AL82" i="1"/>
  <c r="AL81" i="1"/>
  <c r="AL80" i="1"/>
  <c r="AL79" i="1"/>
  <c r="AL78" i="1"/>
  <c r="AL77" i="1"/>
  <c r="AL76" i="1"/>
  <c r="AL75" i="1"/>
  <c r="AL74" i="1"/>
  <c r="AL73" i="1"/>
  <c r="AL72"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9" i="1"/>
  <c r="AL8" i="1"/>
  <c r="AL7" i="1"/>
  <c r="AL6" i="1"/>
  <c r="AL5" i="1"/>
  <c r="AL4" i="1"/>
  <c r="AL3" i="1"/>
  <c r="AK115" i="1"/>
  <c r="AK114" i="1"/>
  <c r="AK113" i="1"/>
  <c r="AK112" i="1"/>
  <c r="AK111" i="1"/>
  <c r="AK110" i="1"/>
  <c r="AK109" i="1"/>
  <c r="AK108" i="1"/>
  <c r="AK107" i="1"/>
  <c r="AK106" i="1"/>
  <c r="AK105" i="1"/>
  <c r="AK104" i="1"/>
  <c r="AK103" i="1"/>
  <c r="AK102" i="1"/>
  <c r="AK101" i="1"/>
  <c r="AK100" i="1"/>
  <c r="AK99" i="1"/>
  <c r="AK98" i="1"/>
  <c r="AK97" i="1"/>
  <c r="AK96" i="1"/>
  <c r="AK95" i="1"/>
  <c r="AK94" i="1"/>
  <c r="AK93" i="1"/>
  <c r="AK92" i="1"/>
  <c r="AK91" i="1"/>
  <c r="AK90" i="1"/>
  <c r="AK89" i="1"/>
  <c r="AK88" i="1"/>
  <c r="AK87" i="1"/>
  <c r="AK86" i="1"/>
  <c r="AK85" i="1"/>
  <c r="AK84" i="1"/>
  <c r="AK83" i="1"/>
  <c r="AK82" i="1"/>
  <c r="AK81" i="1"/>
  <c r="AK80" i="1"/>
  <c r="AK79" i="1"/>
  <c r="AK78" i="1"/>
  <c r="AK77" i="1"/>
  <c r="AK76" i="1"/>
  <c r="AK75" i="1"/>
  <c r="AK74" i="1"/>
  <c r="AK73" i="1"/>
  <c r="AK72" i="1"/>
  <c r="AK71" i="1"/>
  <c r="AK70" i="1"/>
  <c r="AK69" i="1"/>
  <c r="AK68" i="1"/>
  <c r="AK67" i="1"/>
  <c r="AK66" i="1"/>
  <c r="AK65" i="1"/>
  <c r="AK64" i="1"/>
  <c r="AK63" i="1"/>
  <c r="AK62" i="1"/>
  <c r="AK61" i="1"/>
  <c r="AK60" i="1"/>
  <c r="AK59" i="1"/>
  <c r="AK58" i="1"/>
  <c r="AK57" i="1"/>
  <c r="AK56" i="1"/>
  <c r="AK55" i="1"/>
  <c r="AK54" i="1"/>
  <c r="AK53" i="1"/>
  <c r="AK52" i="1"/>
  <c r="AK51" i="1"/>
  <c r="AK50" i="1"/>
  <c r="AK49" i="1"/>
  <c r="AK48" i="1"/>
  <c r="AK47" i="1"/>
  <c r="AK46" i="1"/>
  <c r="AK45" i="1"/>
  <c r="AK44" i="1"/>
  <c r="AK43" i="1"/>
  <c r="AK42" i="1"/>
  <c r="AK41" i="1"/>
  <c r="AK40" i="1"/>
  <c r="AK39" i="1"/>
  <c r="AK38" i="1"/>
  <c r="AK37" i="1"/>
  <c r="AK36" i="1"/>
  <c r="AK35" i="1"/>
  <c r="AK34" i="1"/>
  <c r="AK33" i="1"/>
  <c r="AK32" i="1"/>
  <c r="AK31" i="1"/>
  <c r="AK30" i="1"/>
  <c r="AK29" i="1"/>
  <c r="AK28" i="1"/>
  <c r="AK27" i="1"/>
  <c r="AK26" i="1"/>
  <c r="AK25" i="1"/>
  <c r="AK24" i="1"/>
  <c r="AK23" i="1"/>
  <c r="AK22" i="1"/>
  <c r="AK21" i="1"/>
  <c r="AK20" i="1"/>
  <c r="AK19" i="1"/>
  <c r="AK18" i="1"/>
  <c r="AK17" i="1"/>
  <c r="AK16" i="1"/>
  <c r="AK15" i="1"/>
  <c r="AK14" i="1"/>
  <c r="AK13" i="1"/>
  <c r="AK12" i="1"/>
  <c r="AK11" i="1"/>
  <c r="AK10" i="1"/>
  <c r="AK9" i="1"/>
  <c r="AK8" i="1"/>
  <c r="AK7" i="1"/>
  <c r="AK6" i="1"/>
  <c r="AK5" i="1"/>
  <c r="AK4" i="1"/>
  <c r="AK3" i="1"/>
  <c r="AJ115" i="1"/>
  <c r="AJ114" i="1"/>
  <c r="AJ113" i="1"/>
  <c r="AJ112" i="1"/>
  <c r="AJ111" i="1"/>
  <c r="AJ110" i="1"/>
  <c r="AJ109" i="1"/>
  <c r="AJ108" i="1"/>
  <c r="AJ107" i="1"/>
  <c r="AJ106" i="1"/>
  <c r="AJ105" i="1"/>
  <c r="AJ104" i="1"/>
  <c r="AJ103" i="1"/>
  <c r="AJ102" i="1"/>
  <c r="AJ101" i="1"/>
  <c r="AJ100" i="1"/>
  <c r="AJ99" i="1"/>
  <c r="AJ98" i="1"/>
  <c r="AJ97" i="1"/>
  <c r="AJ96" i="1"/>
  <c r="AJ95" i="1"/>
  <c r="AJ94" i="1"/>
  <c r="AJ93" i="1"/>
  <c r="AJ92" i="1"/>
  <c r="AJ91" i="1"/>
  <c r="AJ90" i="1"/>
  <c r="AJ89" i="1"/>
  <c r="AJ88" i="1"/>
  <c r="AJ87" i="1"/>
  <c r="AJ86" i="1"/>
  <c r="AJ85" i="1"/>
  <c r="AJ84" i="1"/>
  <c r="AJ83" i="1"/>
  <c r="AJ82" i="1"/>
  <c r="AJ81" i="1"/>
  <c r="AJ80" i="1"/>
  <c r="AJ79" i="1"/>
  <c r="AJ78" i="1"/>
  <c r="AJ77" i="1"/>
  <c r="AJ76" i="1"/>
  <c r="AJ75" i="1"/>
  <c r="AJ74" i="1"/>
  <c r="AJ73" i="1"/>
  <c r="AJ72" i="1"/>
  <c r="AJ71" i="1"/>
  <c r="AJ70" i="1"/>
  <c r="AJ69" i="1"/>
  <c r="AJ68" i="1"/>
  <c r="AJ67" i="1"/>
  <c r="AJ66" i="1"/>
  <c r="AJ65" i="1"/>
  <c r="AJ64" i="1"/>
  <c r="AJ63" i="1"/>
  <c r="AJ62" i="1"/>
  <c r="AJ61" i="1"/>
  <c r="AJ60" i="1"/>
  <c r="AJ59" i="1"/>
  <c r="AJ58" i="1"/>
  <c r="AJ57" i="1"/>
  <c r="AJ56" i="1"/>
  <c r="AJ55" i="1"/>
  <c r="AJ54" i="1"/>
  <c r="AJ53" i="1"/>
  <c r="AJ52" i="1"/>
  <c r="AJ51" i="1"/>
  <c r="AJ50" i="1"/>
  <c r="AJ49" i="1"/>
  <c r="AJ48" i="1"/>
  <c r="AJ47" i="1"/>
  <c r="AJ46" i="1"/>
  <c r="AJ45" i="1"/>
  <c r="AJ44" i="1"/>
  <c r="AJ43" i="1"/>
  <c r="AJ42" i="1"/>
  <c r="AJ41" i="1"/>
  <c r="AJ40" i="1"/>
  <c r="AJ39" i="1"/>
  <c r="AJ38" i="1"/>
  <c r="AJ37" i="1"/>
  <c r="AJ36" i="1"/>
  <c r="AJ35" i="1"/>
  <c r="AJ34" i="1"/>
  <c r="AJ33" i="1"/>
  <c r="AJ32" i="1"/>
  <c r="AJ31" i="1"/>
  <c r="AJ30" i="1"/>
  <c r="AJ29" i="1"/>
  <c r="AJ28" i="1"/>
  <c r="AJ27" i="1"/>
  <c r="AJ26" i="1"/>
  <c r="AJ25" i="1"/>
  <c r="AJ24" i="1"/>
  <c r="AJ23" i="1"/>
  <c r="AJ22" i="1"/>
  <c r="AJ21" i="1"/>
  <c r="AJ20" i="1"/>
  <c r="AJ19" i="1"/>
  <c r="AJ18" i="1"/>
  <c r="AJ17" i="1"/>
  <c r="AJ16" i="1"/>
  <c r="AJ15" i="1"/>
  <c r="AJ14" i="1"/>
  <c r="AJ13" i="1"/>
  <c r="AJ12" i="1"/>
  <c r="AJ11" i="1"/>
  <c r="AJ10" i="1"/>
  <c r="AJ9" i="1"/>
  <c r="AJ8" i="1"/>
  <c r="AJ7" i="1"/>
  <c r="AJ6" i="1"/>
  <c r="AJ5" i="1"/>
  <c r="AJ4" i="1"/>
  <c r="AJ3" i="1"/>
  <c r="AI115" i="1"/>
  <c r="AI114" i="1"/>
  <c r="AI113" i="1"/>
  <c r="AI112" i="1"/>
  <c r="AI111" i="1"/>
  <c r="AI110" i="1"/>
  <c r="AI109" i="1"/>
  <c r="AI108" i="1"/>
  <c r="AI107" i="1"/>
  <c r="AI106" i="1"/>
  <c r="AI105" i="1"/>
  <c r="AI104" i="1"/>
  <c r="AI103" i="1"/>
  <c r="AI102" i="1"/>
  <c r="AI101" i="1"/>
  <c r="AI100" i="1"/>
  <c r="AI99" i="1"/>
  <c r="AI98" i="1"/>
  <c r="AI97" i="1"/>
  <c r="AI96" i="1"/>
  <c r="AI95" i="1"/>
  <c r="AI94" i="1"/>
  <c r="AI93" i="1"/>
  <c r="AI92" i="1"/>
  <c r="AI91" i="1"/>
  <c r="AI90" i="1"/>
  <c r="AI89" i="1"/>
  <c r="AI88" i="1"/>
  <c r="AI87" i="1"/>
  <c r="AI86" i="1"/>
  <c r="AI85" i="1"/>
  <c r="AI84" i="1"/>
  <c r="AI83" i="1"/>
  <c r="AI82" i="1"/>
  <c r="AI81" i="1"/>
  <c r="AI80" i="1"/>
  <c r="AI79" i="1"/>
  <c r="AI78" i="1"/>
  <c r="AI77" i="1"/>
  <c r="AI76" i="1"/>
  <c r="AI75" i="1"/>
  <c r="AI74" i="1"/>
  <c r="AI73" i="1"/>
  <c r="AI72" i="1"/>
  <c r="AI71" i="1"/>
  <c r="AI70" i="1"/>
  <c r="AI69" i="1"/>
  <c r="AI68" i="1"/>
  <c r="AI67" i="1"/>
  <c r="AI66" i="1"/>
  <c r="AI65" i="1"/>
  <c r="AI64" i="1"/>
  <c r="AI63" i="1"/>
  <c r="AI62" i="1"/>
  <c r="AI61" i="1"/>
  <c r="AI60" i="1"/>
  <c r="AI59" i="1"/>
  <c r="AI58" i="1"/>
  <c r="AI57" i="1"/>
  <c r="AI56" i="1"/>
  <c r="AI55" i="1"/>
  <c r="AI54" i="1"/>
  <c r="AI53" i="1"/>
  <c r="AI52" i="1"/>
  <c r="AI51" i="1"/>
  <c r="AI50" i="1"/>
  <c r="AI49" i="1"/>
  <c r="AI48" i="1"/>
  <c r="AI47" i="1"/>
  <c r="AI46" i="1"/>
  <c r="AI45" i="1"/>
  <c r="AI44" i="1"/>
  <c r="AI43" i="1"/>
  <c r="AI42" i="1"/>
  <c r="AI41" i="1"/>
  <c r="AI40" i="1"/>
  <c r="AI39" i="1"/>
  <c r="AI38" i="1"/>
  <c r="AI37" i="1"/>
  <c r="AI36" i="1"/>
  <c r="AI35" i="1"/>
  <c r="AI34" i="1"/>
  <c r="AI33" i="1"/>
  <c r="AI32" i="1"/>
  <c r="AI31" i="1"/>
  <c r="AI30" i="1"/>
  <c r="AI29" i="1"/>
  <c r="AI28" i="1"/>
  <c r="AI27" i="1"/>
  <c r="AI26" i="1"/>
  <c r="AI25" i="1"/>
  <c r="AI24" i="1"/>
  <c r="AI23" i="1"/>
  <c r="AI22" i="1"/>
  <c r="AI21" i="1"/>
  <c r="AI20" i="1"/>
  <c r="AI19" i="1"/>
  <c r="AI18" i="1"/>
  <c r="AI17" i="1"/>
  <c r="AI16" i="1"/>
  <c r="AI15" i="1"/>
  <c r="AI14" i="1"/>
  <c r="AI13" i="1"/>
  <c r="AI12" i="1"/>
  <c r="AI11" i="1"/>
  <c r="AI10" i="1"/>
  <c r="AI9" i="1"/>
  <c r="AI8" i="1"/>
  <c r="AI7" i="1"/>
  <c r="AI6" i="1"/>
  <c r="AI5" i="1"/>
  <c r="AI4" i="1"/>
  <c r="AI3"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H7" i="1"/>
  <c r="AH6" i="1"/>
  <c r="AH5" i="1"/>
  <c r="AH4" i="1"/>
  <c r="AH3" i="1"/>
  <c r="AG115" i="1"/>
  <c r="AG114" i="1"/>
  <c r="AG113" i="1"/>
  <c r="AG112" i="1"/>
  <c r="AG111" i="1"/>
  <c r="AG110" i="1"/>
  <c r="AG109" i="1"/>
  <c r="AG108" i="1"/>
  <c r="AG107" i="1"/>
  <c r="AG106" i="1"/>
  <c r="AG105" i="1"/>
  <c r="AG104" i="1"/>
  <c r="AG103" i="1"/>
  <c r="AG102" i="1"/>
  <c r="AG101" i="1"/>
  <c r="AG100" i="1"/>
  <c r="AG99" i="1"/>
  <c r="AG98" i="1"/>
  <c r="AG97" i="1"/>
  <c r="AG96" i="1"/>
  <c r="AG95" i="1"/>
  <c r="AG94" i="1"/>
  <c r="AG93" i="1"/>
  <c r="AG92" i="1"/>
  <c r="AG91" i="1"/>
  <c r="AG90" i="1"/>
  <c r="AG89" i="1"/>
  <c r="AG88" i="1"/>
  <c r="AG87" i="1"/>
  <c r="AG86" i="1"/>
  <c r="AG85" i="1"/>
  <c r="AG84" i="1"/>
  <c r="AG83" i="1"/>
  <c r="AG82" i="1"/>
  <c r="AG81" i="1"/>
  <c r="AG80" i="1"/>
  <c r="AG79" i="1"/>
  <c r="AG78" i="1"/>
  <c r="AG77" i="1"/>
  <c r="AG76" i="1"/>
  <c r="AG75" i="1"/>
  <c r="AG74" i="1"/>
  <c r="AG73" i="1"/>
  <c r="AG72" i="1"/>
  <c r="AG71" i="1"/>
  <c r="AG70" i="1"/>
  <c r="AG69" i="1"/>
  <c r="AG68" i="1"/>
  <c r="AG67" i="1"/>
  <c r="AG66" i="1"/>
  <c r="AG65" i="1"/>
  <c r="AG64" i="1"/>
  <c r="AG63" i="1"/>
  <c r="AG62" i="1"/>
  <c r="AG61" i="1"/>
  <c r="AG60" i="1"/>
  <c r="AG59" i="1"/>
  <c r="AG58" i="1"/>
  <c r="AG57" i="1"/>
  <c r="AG56" i="1"/>
  <c r="AG55" i="1"/>
  <c r="AG54" i="1"/>
  <c r="AG53" i="1"/>
  <c r="AG52" i="1"/>
  <c r="AG51" i="1"/>
  <c r="AG50" i="1"/>
  <c r="AG49" i="1"/>
  <c r="AG48" i="1"/>
  <c r="AG47" i="1"/>
  <c r="AG46" i="1"/>
  <c r="AG45" i="1"/>
  <c r="AG44" i="1"/>
  <c r="AG43" i="1"/>
  <c r="AG42" i="1"/>
  <c r="AG41" i="1"/>
  <c r="AG40" i="1"/>
  <c r="AG39" i="1"/>
  <c r="AG38" i="1"/>
  <c r="AG37" i="1"/>
  <c r="AG36" i="1"/>
  <c r="AG35" i="1"/>
  <c r="AG34" i="1"/>
  <c r="AG33" i="1"/>
  <c r="AG32" i="1"/>
  <c r="AG31" i="1"/>
  <c r="AG30" i="1"/>
  <c r="AG29" i="1"/>
  <c r="AG28" i="1"/>
  <c r="AG27" i="1"/>
  <c r="AG26" i="1"/>
  <c r="AG25" i="1"/>
  <c r="AG24" i="1"/>
  <c r="AG23" i="1"/>
  <c r="AG22" i="1"/>
  <c r="AG21" i="1"/>
  <c r="AG20" i="1"/>
  <c r="AG19" i="1"/>
  <c r="AG18" i="1"/>
  <c r="AG17" i="1"/>
  <c r="AG16" i="1"/>
  <c r="AG15" i="1"/>
  <c r="AG14" i="1"/>
  <c r="AG13" i="1"/>
  <c r="AG12" i="1"/>
  <c r="AG11" i="1"/>
  <c r="AG10" i="1"/>
  <c r="AG9" i="1"/>
  <c r="AG8" i="1"/>
  <c r="AG7" i="1"/>
  <c r="AG6" i="1"/>
  <c r="AG5" i="1"/>
  <c r="AG4" i="1"/>
  <c r="AG3" i="1"/>
  <c r="AF115" i="1"/>
  <c r="AF114" i="1"/>
  <c r="AF113" i="1"/>
  <c r="AF112" i="1"/>
  <c r="AF111" i="1"/>
  <c r="AF110" i="1"/>
  <c r="AF109" i="1"/>
  <c r="AF108" i="1"/>
  <c r="AF107" i="1"/>
  <c r="AF106" i="1"/>
  <c r="AF105" i="1"/>
  <c r="AF104" i="1"/>
  <c r="AF103" i="1"/>
  <c r="AF102" i="1"/>
  <c r="AF101" i="1"/>
  <c r="AF100" i="1"/>
  <c r="AF99" i="1"/>
  <c r="AF98" i="1"/>
  <c r="AF97" i="1"/>
  <c r="AF96" i="1"/>
  <c r="AF95" i="1"/>
  <c r="AF94" i="1"/>
  <c r="AF93" i="1"/>
  <c r="AF92" i="1"/>
  <c r="AF91" i="1"/>
  <c r="AF90" i="1"/>
  <c r="AF89" i="1"/>
  <c r="AF88" i="1"/>
  <c r="AF87" i="1"/>
  <c r="AF86" i="1"/>
  <c r="AF85" i="1"/>
  <c r="AF84" i="1"/>
  <c r="AF83" i="1"/>
  <c r="AF82" i="1"/>
  <c r="AF81" i="1"/>
  <c r="AF80" i="1"/>
  <c r="AF79" i="1"/>
  <c r="AF78" i="1"/>
  <c r="AF77" i="1"/>
  <c r="AF76" i="1"/>
  <c r="AF75" i="1"/>
  <c r="AF74" i="1"/>
  <c r="AF73" i="1"/>
  <c r="AF72" i="1"/>
  <c r="AF71" i="1"/>
  <c r="AF70" i="1"/>
  <c r="AF69" i="1"/>
  <c r="AF68" i="1"/>
  <c r="AF67" i="1"/>
  <c r="AF66" i="1"/>
  <c r="AF65" i="1"/>
  <c r="AF64" i="1"/>
  <c r="AF63" i="1"/>
  <c r="AF62" i="1"/>
  <c r="AF61" i="1"/>
  <c r="AF60" i="1"/>
  <c r="AF59" i="1"/>
  <c r="AF58" i="1"/>
  <c r="AF57" i="1"/>
  <c r="AF56" i="1"/>
  <c r="AF55" i="1"/>
  <c r="AF54" i="1"/>
  <c r="AF53" i="1"/>
  <c r="AF52" i="1"/>
  <c r="AF51" i="1"/>
  <c r="AF50" i="1"/>
  <c r="AF49" i="1"/>
  <c r="AF48" i="1"/>
  <c r="AF47" i="1"/>
  <c r="AF46" i="1"/>
  <c r="AF45" i="1"/>
  <c r="AF44" i="1"/>
  <c r="AF43" i="1"/>
  <c r="AF42" i="1"/>
  <c r="AF41" i="1"/>
  <c r="AF40" i="1"/>
  <c r="AF39" i="1"/>
  <c r="AF38" i="1"/>
  <c r="AF37" i="1"/>
  <c r="AF36" i="1"/>
  <c r="AF35" i="1"/>
  <c r="AF34" i="1"/>
  <c r="AF33" i="1"/>
  <c r="AF32" i="1"/>
  <c r="AF31" i="1"/>
  <c r="AF30" i="1"/>
  <c r="AF29" i="1"/>
  <c r="AF28" i="1"/>
  <c r="AF27" i="1"/>
  <c r="AF26" i="1"/>
  <c r="AF25" i="1"/>
  <c r="AF24" i="1"/>
  <c r="AF23" i="1"/>
  <c r="AF22" i="1"/>
  <c r="AF21" i="1"/>
  <c r="AF20" i="1"/>
  <c r="AF19" i="1"/>
  <c r="AF18" i="1"/>
  <c r="AF17" i="1"/>
  <c r="AF16" i="1"/>
  <c r="AF15" i="1"/>
  <c r="AF14" i="1"/>
  <c r="AF13" i="1"/>
  <c r="AF12" i="1"/>
  <c r="AF11" i="1"/>
  <c r="AF10" i="1"/>
  <c r="AF9" i="1"/>
  <c r="AF8" i="1"/>
  <c r="AF7" i="1"/>
  <c r="AF6" i="1"/>
  <c r="AF5" i="1"/>
  <c r="AF4" i="1"/>
  <c r="AF3" i="1"/>
  <c r="AE115" i="1"/>
  <c r="AE114" i="1"/>
  <c r="AE113" i="1"/>
  <c r="AE112" i="1"/>
  <c r="AE111" i="1"/>
  <c r="AE110" i="1"/>
  <c r="AE109" i="1"/>
  <c r="AE108" i="1"/>
  <c r="AE107" i="1"/>
  <c r="AE106" i="1"/>
  <c r="AE105" i="1"/>
  <c r="AE104"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AE4" i="1"/>
  <c r="AE3"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D8" i="1"/>
  <c r="AD7" i="1"/>
  <c r="AD6" i="1"/>
  <c r="AD5" i="1"/>
  <c r="AD4" i="1"/>
  <c r="AD3" i="1"/>
  <c r="AC115" i="1"/>
  <c r="AC114" i="1"/>
  <c r="AC113" i="1"/>
  <c r="AC112" i="1"/>
  <c r="AC111" i="1"/>
  <c r="AC110" i="1"/>
  <c r="AC109" i="1"/>
  <c r="AC108" i="1"/>
  <c r="AC107" i="1"/>
  <c r="AC106" i="1"/>
  <c r="AC105" i="1"/>
  <c r="AC104" i="1"/>
  <c r="AC103" i="1"/>
  <c r="AC102" i="1"/>
  <c r="AC101" i="1"/>
  <c r="AC100" i="1"/>
  <c r="AC99" i="1"/>
  <c r="AC98" i="1"/>
  <c r="AC97" i="1"/>
  <c r="AC96" i="1"/>
  <c r="AC95" i="1"/>
  <c r="AC94" i="1"/>
  <c r="AC93" i="1"/>
  <c r="AC92" i="1"/>
  <c r="AC91" i="1"/>
  <c r="AC90" i="1"/>
  <c r="AC89" i="1"/>
  <c r="AC88" i="1"/>
  <c r="AC87" i="1"/>
  <c r="AC86" i="1"/>
  <c r="AC85" i="1"/>
  <c r="AC84" i="1"/>
  <c r="AC83" i="1"/>
  <c r="AC82" i="1"/>
  <c r="AC81" i="1"/>
  <c r="AC80" i="1"/>
  <c r="AC79" i="1"/>
  <c r="AC78" i="1"/>
  <c r="AC77" i="1"/>
  <c r="AC76" i="1"/>
  <c r="AC75" i="1"/>
  <c r="AC74" i="1"/>
  <c r="AC73" i="1"/>
  <c r="AC72" i="1"/>
  <c r="AC71" i="1"/>
  <c r="AC70" i="1"/>
  <c r="AC69" i="1"/>
  <c r="AC68" i="1"/>
  <c r="AC67" i="1"/>
  <c r="AC66" i="1"/>
  <c r="AC65" i="1"/>
  <c r="AC64" i="1"/>
  <c r="AC63" i="1"/>
  <c r="AC62" i="1"/>
  <c r="AC61" i="1"/>
  <c r="AC60" i="1"/>
  <c r="AC59" i="1"/>
  <c r="AC58" i="1"/>
  <c r="AC57" i="1"/>
  <c r="AC56" i="1"/>
  <c r="AC55" i="1"/>
  <c r="AC54" i="1"/>
  <c r="AC53" i="1"/>
  <c r="AC52" i="1"/>
  <c r="AC51" i="1"/>
  <c r="AC50" i="1"/>
  <c r="AC49" i="1"/>
  <c r="AC48" i="1"/>
  <c r="AC47" i="1"/>
  <c r="AC46" i="1"/>
  <c r="AC45" i="1"/>
  <c r="AC44" i="1"/>
  <c r="AC43" i="1"/>
  <c r="AC42" i="1"/>
  <c r="AC41" i="1"/>
  <c r="AC40" i="1"/>
  <c r="AC39" i="1"/>
  <c r="AC38" i="1"/>
  <c r="AC37" i="1"/>
  <c r="AC36" i="1"/>
  <c r="AC35" i="1"/>
  <c r="AC34" i="1"/>
  <c r="AC33" i="1"/>
  <c r="AC32" i="1"/>
  <c r="AC31" i="1"/>
  <c r="AC30" i="1"/>
  <c r="AC29" i="1"/>
  <c r="AC28" i="1"/>
  <c r="AC27" i="1"/>
  <c r="AC26" i="1"/>
  <c r="AC25" i="1"/>
  <c r="AC24" i="1"/>
  <c r="AC23" i="1"/>
  <c r="AC22" i="1"/>
  <c r="AC21" i="1"/>
  <c r="AC20" i="1"/>
  <c r="AC19" i="1"/>
  <c r="AC18" i="1"/>
  <c r="AC17" i="1"/>
  <c r="AC16" i="1"/>
  <c r="AC15" i="1"/>
  <c r="AC14" i="1"/>
  <c r="AC13" i="1"/>
  <c r="AC12" i="1"/>
  <c r="AC11" i="1"/>
  <c r="AC10" i="1"/>
  <c r="AC9" i="1"/>
  <c r="AC8" i="1"/>
  <c r="AC7" i="1"/>
  <c r="AC6" i="1"/>
  <c r="AC5" i="1"/>
  <c r="AC4" i="1"/>
  <c r="AC3"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AB8" i="1"/>
  <c r="AB7" i="1"/>
  <c r="AB6" i="1"/>
  <c r="AB5" i="1"/>
  <c r="AB4" i="1"/>
  <c r="AB3"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AA51" i="1"/>
  <c r="AA50" i="1"/>
  <c r="AA49" i="1"/>
  <c r="AA48" i="1"/>
  <c r="AA47" i="1"/>
  <c r="AA46" i="1"/>
  <c r="AA45" i="1"/>
  <c r="AA44" i="1"/>
  <c r="AA43" i="1"/>
  <c r="AA4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AA6" i="1"/>
  <c r="AA5" i="1"/>
  <c r="AA4" i="1"/>
  <c r="AA3"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Z8" i="1"/>
  <c r="Z7" i="1"/>
  <c r="Z6" i="1"/>
  <c r="Z5" i="1"/>
  <c r="Z4" i="1"/>
  <c r="Z3"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Y9" i="1"/>
  <c r="Y8" i="1"/>
  <c r="Y7" i="1"/>
  <c r="Y6" i="1"/>
  <c r="Y5" i="1"/>
  <c r="Y4" i="1"/>
  <c r="Y3"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X8" i="1"/>
  <c r="X7" i="1"/>
  <c r="X6" i="1"/>
  <c r="X5" i="1"/>
  <c r="X4" i="1"/>
  <c r="X3" i="1"/>
  <c r="W115" i="1" a="1"/>
  <c r="W115" i="1" s="1"/>
  <c r="W114" i="1" a="1"/>
  <c r="W114" i="1" s="1"/>
  <c r="W113" i="1" a="1"/>
  <c r="W113" i="1" s="1"/>
  <c r="W112" i="1" a="1"/>
  <c r="W112" i="1" s="1"/>
  <c r="W111" i="1" a="1"/>
  <c r="W111" i="1" s="1"/>
  <c r="W110" i="1" a="1"/>
  <c r="W110" i="1" s="1"/>
  <c r="W109" i="1" a="1"/>
  <c r="W109" i="1" s="1"/>
  <c r="W108" i="1" a="1"/>
  <c r="W108" i="1" s="1"/>
  <c r="W107" i="1" a="1"/>
  <c r="W107" i="1" s="1"/>
  <c r="W106" i="1" a="1"/>
  <c r="W106" i="1" s="1"/>
  <c r="W105" i="1" a="1"/>
  <c r="W105" i="1" s="1"/>
  <c r="W104" i="1" a="1"/>
  <c r="W104" i="1" s="1"/>
  <c r="W103" i="1" a="1"/>
  <c r="W103" i="1" s="1"/>
  <c r="W102" i="1" a="1"/>
  <c r="W102" i="1" s="1"/>
  <c r="W101" i="1" a="1"/>
  <c r="W101" i="1" s="1"/>
  <c r="W100" i="1" a="1"/>
  <c r="W100" i="1" s="1"/>
  <c r="W99" i="1" a="1"/>
  <c r="W99" i="1" s="1"/>
  <c r="W98" i="1" a="1"/>
  <c r="W98" i="1" s="1"/>
  <c r="W97" i="1" a="1"/>
  <c r="W97" i="1" s="1"/>
  <c r="W96" i="1" a="1"/>
  <c r="W96" i="1" s="1"/>
  <c r="W95" i="1" a="1"/>
  <c r="W95" i="1" s="1"/>
  <c r="W94" i="1" a="1"/>
  <c r="W94" i="1" s="1"/>
  <c r="W93" i="1" a="1"/>
  <c r="W93" i="1" s="1"/>
  <c r="W92" i="1" a="1"/>
  <c r="W92" i="1" s="1"/>
  <c r="W91" i="1" a="1"/>
  <c r="W91" i="1" s="1"/>
  <c r="W90" i="1" a="1"/>
  <c r="W90" i="1" s="1"/>
  <c r="W89" i="1" a="1"/>
  <c r="W89" i="1" s="1"/>
  <c r="W88" i="1" a="1"/>
  <c r="W88" i="1" s="1"/>
  <c r="W87" i="1" a="1"/>
  <c r="W87" i="1" s="1"/>
  <c r="W86" i="1" a="1"/>
  <c r="W86" i="1" s="1"/>
  <c r="W85" i="1" a="1"/>
  <c r="W85" i="1" s="1"/>
  <c r="W84" i="1" a="1"/>
  <c r="W84" i="1" s="1"/>
  <c r="W83" i="1" a="1"/>
  <c r="W83" i="1" s="1"/>
  <c r="W82" i="1" a="1"/>
  <c r="W82" i="1" s="1"/>
  <c r="W81" i="1" a="1"/>
  <c r="W81" i="1" s="1"/>
  <c r="W80" i="1" a="1"/>
  <c r="W80" i="1" s="1"/>
  <c r="W79" i="1" a="1"/>
  <c r="W79" i="1" s="1"/>
  <c r="W78" i="1" a="1"/>
  <c r="W78" i="1" s="1"/>
  <c r="W77" i="1" a="1"/>
  <c r="W77" i="1" s="1"/>
  <c r="W76" i="1" a="1"/>
  <c r="W76" i="1" s="1"/>
  <c r="W75" i="1" a="1"/>
  <c r="W75" i="1" s="1"/>
  <c r="W74" i="1" a="1"/>
  <c r="W74" i="1" s="1"/>
  <c r="W73" i="1" a="1"/>
  <c r="W73" i="1" s="1"/>
  <c r="W72" i="1" a="1"/>
  <c r="W72" i="1" s="1"/>
  <c r="W71" i="1" a="1"/>
  <c r="W71" i="1" s="1"/>
  <c r="W70" i="1" a="1"/>
  <c r="W70" i="1" s="1"/>
  <c r="W69" i="1" a="1"/>
  <c r="W69" i="1" s="1"/>
  <c r="W68" i="1" a="1"/>
  <c r="W68" i="1" s="1"/>
  <c r="W67" i="1" a="1"/>
  <c r="W67" i="1" s="1"/>
  <c r="W66" i="1" a="1"/>
  <c r="W66" i="1" s="1"/>
  <c r="W65" i="1" a="1"/>
  <c r="W65" i="1" s="1"/>
  <c r="W64" i="1" a="1"/>
  <c r="W64" i="1" s="1"/>
  <c r="W63" i="1" a="1"/>
  <c r="W63" i="1" s="1"/>
  <c r="W62" i="1" a="1"/>
  <c r="W62" i="1" s="1"/>
  <c r="W61" i="1" a="1"/>
  <c r="W61" i="1" s="1"/>
  <c r="W60" i="1" a="1"/>
  <c r="W60" i="1" s="1"/>
  <c r="W59" i="1" a="1"/>
  <c r="W59" i="1" s="1"/>
  <c r="W58" i="1" a="1"/>
  <c r="W58" i="1" s="1"/>
  <c r="W57" i="1" a="1"/>
  <c r="W57" i="1" s="1"/>
  <c r="W56" i="1" a="1"/>
  <c r="W56" i="1" s="1"/>
  <c r="W55" i="1" a="1"/>
  <c r="W55" i="1" s="1"/>
  <c r="W54" i="1" a="1"/>
  <c r="W54" i="1" s="1"/>
  <c r="W53" i="1" a="1"/>
  <c r="W53" i="1" s="1"/>
  <c r="W52" i="1" a="1"/>
  <c r="W52" i="1" s="1"/>
  <c r="W51" i="1" a="1"/>
  <c r="W51" i="1" s="1"/>
  <c r="W50" i="1" a="1"/>
  <c r="W50" i="1" s="1"/>
  <c r="W49" i="1" a="1"/>
  <c r="W49" i="1" s="1"/>
  <c r="W48" i="1" a="1"/>
  <c r="W48" i="1" s="1"/>
  <c r="W47" i="1" a="1"/>
  <c r="W47" i="1" s="1"/>
  <c r="W46" i="1" a="1"/>
  <c r="W46" i="1" s="1"/>
  <c r="W45" i="1" a="1"/>
  <c r="W45" i="1" s="1"/>
  <c r="W44" i="1" a="1"/>
  <c r="W44" i="1" s="1"/>
  <c r="W43" i="1" a="1"/>
  <c r="W43" i="1" s="1"/>
  <c r="W42" i="1" a="1"/>
  <c r="W42" i="1" s="1"/>
  <c r="W41" i="1" a="1"/>
  <c r="W41" i="1" s="1"/>
  <c r="W40" i="1" a="1"/>
  <c r="W40" i="1" s="1"/>
  <c r="W39" i="1" a="1"/>
  <c r="W39" i="1" s="1"/>
  <c r="W38" i="1" a="1"/>
  <c r="W38" i="1" s="1"/>
  <c r="W37" i="1" a="1"/>
  <c r="W37" i="1" s="1"/>
  <c r="W36" i="1" a="1"/>
  <c r="W36" i="1" s="1"/>
  <c r="W35" i="1" a="1"/>
  <c r="W35" i="1" s="1"/>
  <c r="W34" i="1" a="1"/>
  <c r="W34" i="1" s="1"/>
  <c r="W33" i="1" a="1"/>
  <c r="W33" i="1" s="1"/>
  <c r="W32" i="1" a="1"/>
  <c r="W32" i="1" s="1"/>
  <c r="W31" i="1" a="1"/>
  <c r="W31" i="1" s="1"/>
  <c r="W30" i="1" a="1"/>
  <c r="W30" i="1" s="1"/>
  <c r="W29" i="1" a="1"/>
  <c r="W29" i="1" s="1"/>
  <c r="W28" i="1" a="1"/>
  <c r="W28" i="1" s="1"/>
  <c r="W27" i="1" a="1"/>
  <c r="W27" i="1" s="1"/>
  <c r="W26" i="1" a="1"/>
  <c r="W26" i="1" s="1"/>
  <c r="W25" i="1" a="1"/>
  <c r="W25" i="1" s="1"/>
  <c r="W24" i="1" a="1"/>
  <c r="W24" i="1" s="1"/>
  <c r="W23" i="1" a="1"/>
  <c r="W23" i="1" s="1"/>
  <c r="W22" i="1" a="1"/>
  <c r="W22" i="1" s="1"/>
  <c r="W21" i="1" a="1"/>
  <c r="W21" i="1" s="1"/>
  <c r="W20" i="1" a="1"/>
  <c r="W20" i="1" s="1"/>
  <c r="W19" i="1" a="1"/>
  <c r="W19" i="1" s="1"/>
  <c r="W18" i="1" a="1"/>
  <c r="W18" i="1" s="1"/>
  <c r="W17" i="1" a="1"/>
  <c r="W17" i="1" s="1"/>
  <c r="W16" i="1" a="1"/>
  <c r="W16" i="1" s="1"/>
  <c r="W15" i="1" a="1"/>
  <c r="W15" i="1" s="1"/>
  <c r="W14" i="1" a="1"/>
  <c r="W14" i="1" s="1"/>
  <c r="W13" i="1" a="1"/>
  <c r="W13" i="1" s="1"/>
  <c r="W12" i="1" a="1"/>
  <c r="W12" i="1" s="1"/>
  <c r="W11" i="1" a="1"/>
  <c r="W11" i="1" s="1"/>
  <c r="W10" i="1" a="1"/>
  <c r="W10" i="1" s="1"/>
  <c r="W9" i="1" a="1"/>
  <c r="W9" i="1" s="1"/>
  <c r="W8" i="1" a="1"/>
  <c r="W8" i="1" s="1"/>
  <c r="W7" i="1" a="1"/>
  <c r="W7" i="1" s="1"/>
  <c r="W6" i="1" a="1"/>
  <c r="W6" i="1" s="1"/>
  <c r="W5" i="1" a="1"/>
  <c r="W5" i="1" s="1"/>
  <c r="W4" i="1" a="1"/>
  <c r="W4" i="1" s="1"/>
  <c r="W3" i="1" a="1"/>
  <c r="W3" i="1" s="1"/>
  <c r="V115" i="1"/>
  <c r="V114" i="1"/>
  <c r="V113" i="1"/>
  <c r="V112" i="1"/>
  <c r="V111" i="1"/>
  <c r="V110" i="1"/>
  <c r="V109" i="1"/>
  <c r="V108" i="1"/>
  <c r="V107" i="1"/>
  <c r="V106" i="1"/>
  <c r="V105" i="1"/>
  <c r="V104"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V4" i="1"/>
  <c r="V3" i="1"/>
  <c r="U115" i="1"/>
  <c r="U114" i="1"/>
  <c r="U113" i="1"/>
  <c r="U112" i="1"/>
  <c r="U111" i="1"/>
  <c r="U110" i="1"/>
  <c r="U109" i="1"/>
  <c r="U108" i="1"/>
  <c r="U107" i="1"/>
  <c r="U106" i="1"/>
  <c r="U105" i="1"/>
  <c r="U104" i="1"/>
  <c r="U103" i="1"/>
  <c r="U102" i="1"/>
  <c r="U101" i="1"/>
  <c r="U100" i="1"/>
  <c r="U99" i="1"/>
  <c r="U98" i="1"/>
  <c r="U97" i="1"/>
  <c r="U96" i="1"/>
  <c r="U95"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6" i="1"/>
  <c r="U25" i="1"/>
  <c r="U24" i="1"/>
  <c r="U23" i="1"/>
  <c r="U22" i="1"/>
  <c r="U21" i="1"/>
  <c r="U20" i="1"/>
  <c r="U19" i="1"/>
  <c r="U18" i="1"/>
  <c r="U17" i="1"/>
  <c r="U16" i="1"/>
  <c r="U15" i="1"/>
  <c r="U14" i="1"/>
  <c r="U13" i="1"/>
  <c r="U12" i="1"/>
  <c r="U11" i="1"/>
  <c r="U10" i="1"/>
  <c r="U9" i="1"/>
  <c r="U8" i="1"/>
  <c r="U7" i="1"/>
  <c r="U6" i="1"/>
  <c r="U5" i="1"/>
  <c r="U4" i="1"/>
  <c r="U3"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D25" i="1" s="1"/>
  <c r="T24" i="1"/>
  <c r="T23" i="1"/>
  <c r="T22" i="1"/>
  <c r="T21" i="1"/>
  <c r="T20" i="1"/>
  <c r="T19" i="1"/>
  <c r="T18" i="1"/>
  <c r="T17" i="1"/>
  <c r="T16" i="1"/>
  <c r="T15" i="1"/>
  <c r="T14" i="1"/>
  <c r="T13" i="1"/>
  <c r="T12" i="1"/>
  <c r="T11" i="1"/>
  <c r="T10" i="1"/>
  <c r="T9" i="1"/>
  <c r="T8" i="1"/>
  <c r="T7" i="1"/>
  <c r="T6" i="1"/>
  <c r="T5" i="1"/>
  <c r="T4" i="1"/>
  <c r="T3"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D37" i="1" s="1"/>
  <c r="S36" i="1"/>
  <c r="S35" i="1"/>
  <c r="S34" i="1"/>
  <c r="S33" i="1"/>
  <c r="D33" i="1" s="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R115" i="1" a="1"/>
  <c r="R115" i="1" s="1"/>
  <c r="R114" i="1" a="1"/>
  <c r="R114" i="1" s="1"/>
  <c r="R113" i="1" a="1"/>
  <c r="R113" i="1" s="1"/>
  <c r="R112" i="1" a="1"/>
  <c r="R112" i="1" s="1"/>
  <c r="R111" i="1" a="1"/>
  <c r="R111" i="1" s="1"/>
  <c r="R110" i="1" a="1"/>
  <c r="R110" i="1" s="1"/>
  <c r="R109" i="1" a="1"/>
  <c r="R109" i="1" s="1"/>
  <c r="R108" i="1" a="1"/>
  <c r="R108" i="1" s="1"/>
  <c r="R107" i="1" a="1"/>
  <c r="R107" i="1" s="1"/>
  <c r="R106" i="1" a="1"/>
  <c r="R106" i="1" s="1"/>
  <c r="R105" i="1" a="1"/>
  <c r="R105" i="1" s="1"/>
  <c r="R104" i="1" a="1"/>
  <c r="R104" i="1" s="1"/>
  <c r="R103" i="1" a="1"/>
  <c r="R103" i="1" s="1"/>
  <c r="R102" i="1" a="1"/>
  <c r="R102" i="1" s="1"/>
  <c r="R101" i="1" a="1"/>
  <c r="R101" i="1" s="1"/>
  <c r="R100" i="1" a="1"/>
  <c r="R100" i="1" s="1"/>
  <c r="R99" i="1" a="1"/>
  <c r="R99" i="1" s="1"/>
  <c r="R98" i="1" a="1"/>
  <c r="R98" i="1" s="1"/>
  <c r="R97" i="1" a="1"/>
  <c r="R97" i="1" s="1"/>
  <c r="R96" i="1" a="1"/>
  <c r="R96" i="1" s="1"/>
  <c r="R95" i="1" a="1"/>
  <c r="R95" i="1" s="1"/>
  <c r="R94" i="1" a="1"/>
  <c r="R94" i="1" s="1"/>
  <c r="R93" i="1" a="1"/>
  <c r="R93" i="1" s="1"/>
  <c r="R92" i="1" a="1"/>
  <c r="R92" i="1" s="1"/>
  <c r="R91" i="1" a="1"/>
  <c r="R91" i="1" s="1"/>
  <c r="R90" i="1" a="1"/>
  <c r="R90" i="1" s="1"/>
  <c r="R89" i="1" a="1"/>
  <c r="R89" i="1" s="1"/>
  <c r="R88" i="1" a="1"/>
  <c r="R88" i="1" s="1"/>
  <c r="R87" i="1" a="1"/>
  <c r="R87" i="1" s="1"/>
  <c r="R86" i="1" a="1"/>
  <c r="R86" i="1" s="1"/>
  <c r="R85" i="1" a="1"/>
  <c r="R85" i="1" s="1"/>
  <c r="R84" i="1" a="1"/>
  <c r="R84" i="1" s="1"/>
  <c r="R83" i="1" a="1"/>
  <c r="R83" i="1" s="1"/>
  <c r="R82" i="1" a="1"/>
  <c r="R82" i="1" s="1"/>
  <c r="R81" i="1" a="1"/>
  <c r="R81" i="1" s="1"/>
  <c r="R80" i="1" a="1"/>
  <c r="R80" i="1" s="1"/>
  <c r="R79" i="1" a="1"/>
  <c r="R79" i="1" s="1"/>
  <c r="R78" i="1" a="1"/>
  <c r="R78" i="1" s="1"/>
  <c r="R77" i="1" a="1"/>
  <c r="R77" i="1" s="1"/>
  <c r="R76" i="1" a="1"/>
  <c r="R76" i="1" s="1"/>
  <c r="R75" i="1" a="1"/>
  <c r="R75" i="1" s="1"/>
  <c r="R74" i="1" a="1"/>
  <c r="R74" i="1" s="1"/>
  <c r="R73" i="1" a="1"/>
  <c r="R73" i="1" s="1"/>
  <c r="R72" i="1" a="1"/>
  <c r="R72" i="1" s="1"/>
  <c r="R71" i="1" a="1"/>
  <c r="R71" i="1" s="1"/>
  <c r="R70" i="1" a="1"/>
  <c r="R70" i="1" s="1"/>
  <c r="R69" i="1" a="1"/>
  <c r="R69" i="1" s="1"/>
  <c r="R68" i="1" a="1"/>
  <c r="R68" i="1" s="1"/>
  <c r="R67" i="1" a="1"/>
  <c r="R67" i="1" s="1"/>
  <c r="R66" i="1" a="1"/>
  <c r="R66" i="1" s="1"/>
  <c r="R65" i="1" a="1"/>
  <c r="R65" i="1" s="1"/>
  <c r="R64" i="1" a="1"/>
  <c r="R64" i="1" s="1"/>
  <c r="R63" i="1" a="1"/>
  <c r="R63" i="1" s="1"/>
  <c r="R62" i="1" a="1"/>
  <c r="R62" i="1" s="1"/>
  <c r="R61" i="1" a="1"/>
  <c r="R61" i="1" s="1"/>
  <c r="R60" i="1" a="1"/>
  <c r="R60" i="1" s="1"/>
  <c r="R59" i="1" a="1"/>
  <c r="R59" i="1" s="1"/>
  <c r="R58" i="1" a="1"/>
  <c r="R58" i="1" s="1"/>
  <c r="R57" i="1" a="1"/>
  <c r="R57" i="1" s="1"/>
  <c r="R56" i="1" a="1"/>
  <c r="R56" i="1" s="1"/>
  <c r="R55" i="1" a="1"/>
  <c r="R55" i="1" s="1"/>
  <c r="R54" i="1" a="1"/>
  <c r="R54" i="1" s="1"/>
  <c r="R53" i="1" a="1"/>
  <c r="R53" i="1" s="1"/>
  <c r="R52" i="1" a="1"/>
  <c r="R52" i="1" s="1"/>
  <c r="R51" i="1" a="1"/>
  <c r="R51" i="1" s="1"/>
  <c r="R50" i="1" a="1"/>
  <c r="R50" i="1" s="1"/>
  <c r="R49" i="1" a="1"/>
  <c r="R49" i="1" s="1"/>
  <c r="R48" i="1" a="1"/>
  <c r="R48" i="1" s="1"/>
  <c r="R47" i="1" a="1"/>
  <c r="R47" i="1" s="1"/>
  <c r="R46" i="1" a="1"/>
  <c r="R46" i="1" s="1"/>
  <c r="R45" i="1" a="1"/>
  <c r="R45" i="1" s="1"/>
  <c r="R44" i="1" a="1"/>
  <c r="R44" i="1" s="1"/>
  <c r="R43" i="1" a="1"/>
  <c r="R43" i="1" s="1"/>
  <c r="R42" i="1" a="1"/>
  <c r="R42" i="1" s="1"/>
  <c r="R41" i="1" a="1"/>
  <c r="R41" i="1" s="1"/>
  <c r="R40" i="1" a="1"/>
  <c r="R40" i="1" s="1"/>
  <c r="R39" i="1" a="1"/>
  <c r="R39" i="1" s="1"/>
  <c r="R38" i="1" a="1"/>
  <c r="R38" i="1" s="1"/>
  <c r="R37" i="1" a="1"/>
  <c r="R37" i="1" s="1"/>
  <c r="R36" i="1" a="1"/>
  <c r="R36" i="1" s="1"/>
  <c r="R35" i="1" a="1"/>
  <c r="R35" i="1" s="1"/>
  <c r="R34" i="1" a="1"/>
  <c r="R34" i="1" s="1"/>
  <c r="R33" i="1" a="1"/>
  <c r="R33" i="1" s="1"/>
  <c r="R32" i="1" a="1"/>
  <c r="R32" i="1" s="1"/>
  <c r="R31" i="1" a="1"/>
  <c r="R31" i="1" s="1"/>
  <c r="R30" i="1" a="1"/>
  <c r="R30" i="1" s="1"/>
  <c r="R29" i="1" a="1"/>
  <c r="R29" i="1" s="1"/>
  <c r="R28" i="1" a="1"/>
  <c r="R28" i="1" s="1"/>
  <c r="R27" i="1" a="1"/>
  <c r="R27" i="1" s="1"/>
  <c r="R26" i="1" a="1"/>
  <c r="R26" i="1" s="1"/>
  <c r="R25" i="1" a="1"/>
  <c r="R25" i="1" s="1"/>
  <c r="R24" i="1" a="1"/>
  <c r="R24" i="1" s="1"/>
  <c r="R23" i="1" a="1"/>
  <c r="R23" i="1" s="1"/>
  <c r="R22" i="1" a="1"/>
  <c r="R22" i="1" s="1"/>
  <c r="R21" i="1" a="1"/>
  <c r="R21" i="1" s="1"/>
  <c r="R20" i="1" a="1"/>
  <c r="R20" i="1" s="1"/>
  <c r="R19" i="1" a="1"/>
  <c r="R19" i="1" s="1"/>
  <c r="R18" i="1" a="1"/>
  <c r="R18" i="1" s="1"/>
  <c r="R17" i="1" a="1"/>
  <c r="R17" i="1" s="1"/>
  <c r="R16" i="1" a="1"/>
  <c r="R16" i="1" s="1"/>
  <c r="R15" i="1" a="1"/>
  <c r="R15" i="1" s="1"/>
  <c r="R14" i="1" a="1"/>
  <c r="R14" i="1" s="1"/>
  <c r="R13" i="1" a="1"/>
  <c r="R13" i="1" s="1"/>
  <c r="R12" i="1" a="1"/>
  <c r="R12" i="1" s="1"/>
  <c r="R11" i="1" a="1"/>
  <c r="R11" i="1" s="1"/>
  <c r="R10" i="1" a="1"/>
  <c r="R10" i="1" s="1"/>
  <c r="R9" i="1" a="1"/>
  <c r="R9" i="1" s="1"/>
  <c r="R8" i="1" a="1"/>
  <c r="R8" i="1" s="1"/>
  <c r="R7" i="1" a="1"/>
  <c r="R7" i="1" s="1"/>
  <c r="R6" i="1" a="1"/>
  <c r="R6" i="1" s="1"/>
  <c r="R5" i="1" a="1"/>
  <c r="R5" i="1" s="1"/>
  <c r="R4" i="1" a="1"/>
  <c r="R4" i="1" s="1"/>
  <c r="R3" i="1" a="1"/>
  <c r="R3" i="1" s="1"/>
  <c r="Q115" i="1" a="1"/>
  <c r="Q115" i="1" s="1"/>
  <c r="Q114" i="1" a="1"/>
  <c r="Q114" i="1" s="1"/>
  <c r="Q113" i="1" a="1"/>
  <c r="Q113" i="1" s="1"/>
  <c r="Q112" i="1" a="1"/>
  <c r="Q112" i="1" s="1"/>
  <c r="Q111" i="1" a="1"/>
  <c r="Q111" i="1" s="1"/>
  <c r="Q110" i="1" a="1"/>
  <c r="Q110" i="1" s="1"/>
  <c r="Q109" i="1" a="1"/>
  <c r="Q109" i="1" s="1"/>
  <c r="Q108" i="1" a="1"/>
  <c r="Q108" i="1" s="1"/>
  <c r="Q107" i="1" a="1"/>
  <c r="Q107" i="1" s="1"/>
  <c r="Q106" i="1" a="1"/>
  <c r="Q106" i="1" s="1"/>
  <c r="Q105" i="1" a="1"/>
  <c r="Q105" i="1" s="1"/>
  <c r="Q104" i="1" a="1"/>
  <c r="Q104" i="1" s="1"/>
  <c r="Q103" i="1" a="1"/>
  <c r="Q103" i="1" s="1"/>
  <c r="Q102" i="1" a="1"/>
  <c r="Q102" i="1" s="1"/>
  <c r="Q101" i="1" a="1"/>
  <c r="Q101" i="1" s="1"/>
  <c r="Q100" i="1" a="1"/>
  <c r="Q100" i="1" s="1"/>
  <c r="Q99" i="1" a="1"/>
  <c r="Q99" i="1" s="1"/>
  <c r="Q98" i="1" a="1"/>
  <c r="Q98" i="1" s="1"/>
  <c r="Q97" i="1" a="1"/>
  <c r="Q97" i="1" s="1"/>
  <c r="Q96" i="1" a="1"/>
  <c r="Q96" i="1" s="1"/>
  <c r="Q95" i="1" a="1"/>
  <c r="Q95" i="1" s="1"/>
  <c r="Q94" i="1" a="1"/>
  <c r="Q94" i="1" s="1"/>
  <c r="Q93" i="1" a="1"/>
  <c r="Q93" i="1" s="1"/>
  <c r="Q92" i="1" a="1"/>
  <c r="Q92" i="1" s="1"/>
  <c r="Q91" i="1" a="1"/>
  <c r="Q91" i="1" s="1"/>
  <c r="Q90" i="1" a="1"/>
  <c r="Q90" i="1" s="1"/>
  <c r="Q89" i="1" a="1"/>
  <c r="Q89" i="1" s="1"/>
  <c r="Q88" i="1" a="1"/>
  <c r="Q88" i="1" s="1"/>
  <c r="Q87" i="1" a="1"/>
  <c r="Q87" i="1" s="1"/>
  <c r="Q86" i="1" a="1"/>
  <c r="Q86" i="1" s="1"/>
  <c r="Q85" i="1" a="1"/>
  <c r="Q85" i="1" s="1"/>
  <c r="Q84" i="1" a="1"/>
  <c r="Q84" i="1" s="1"/>
  <c r="Q83" i="1" a="1"/>
  <c r="Q83" i="1" s="1"/>
  <c r="Q82" i="1" a="1"/>
  <c r="Q82" i="1" s="1"/>
  <c r="Q81" i="1" a="1"/>
  <c r="Q81" i="1" s="1"/>
  <c r="Q80" i="1" a="1"/>
  <c r="Q80" i="1" s="1"/>
  <c r="Q79" i="1" a="1"/>
  <c r="Q79" i="1" s="1"/>
  <c r="Q78" i="1" a="1"/>
  <c r="Q78" i="1" s="1"/>
  <c r="Q77" i="1" a="1"/>
  <c r="Q77" i="1" s="1"/>
  <c r="Q76" i="1" a="1"/>
  <c r="Q76" i="1" s="1"/>
  <c r="Q75" i="1" a="1"/>
  <c r="Q75" i="1" s="1"/>
  <c r="Q74" i="1" a="1"/>
  <c r="Q74" i="1" s="1"/>
  <c r="Q73" i="1" a="1"/>
  <c r="Q73" i="1" s="1"/>
  <c r="Q72" i="1" a="1"/>
  <c r="Q72" i="1" s="1"/>
  <c r="Q71" i="1" a="1"/>
  <c r="Q71" i="1" s="1"/>
  <c r="Q70" i="1" a="1"/>
  <c r="Q70" i="1" s="1"/>
  <c r="Q69" i="1" a="1"/>
  <c r="Q69" i="1" s="1"/>
  <c r="Q68" i="1" a="1"/>
  <c r="Q68" i="1" s="1"/>
  <c r="Q67" i="1" a="1"/>
  <c r="Q67" i="1" s="1"/>
  <c r="Q66" i="1" a="1"/>
  <c r="Q66" i="1" s="1"/>
  <c r="Q65" i="1" a="1"/>
  <c r="Q65" i="1" s="1"/>
  <c r="Q64" i="1" a="1"/>
  <c r="Q64" i="1" s="1"/>
  <c r="Q63" i="1" a="1"/>
  <c r="Q63" i="1" s="1"/>
  <c r="Q62" i="1" a="1"/>
  <c r="Q62" i="1" s="1"/>
  <c r="Q61" i="1" a="1"/>
  <c r="Q61" i="1" s="1"/>
  <c r="Q60" i="1" a="1"/>
  <c r="Q60" i="1" s="1"/>
  <c r="Q59" i="1" a="1"/>
  <c r="Q59" i="1" s="1"/>
  <c r="Q58" i="1" a="1"/>
  <c r="Q58" i="1" s="1"/>
  <c r="Q57" i="1" a="1"/>
  <c r="Q57" i="1" s="1"/>
  <c r="Q56" i="1" a="1"/>
  <c r="Q56" i="1" s="1"/>
  <c r="Q55" i="1" a="1"/>
  <c r="Q55" i="1" s="1"/>
  <c r="Q54" i="1" a="1"/>
  <c r="Q54" i="1" s="1"/>
  <c r="Q53" i="1" a="1"/>
  <c r="Q53" i="1" s="1"/>
  <c r="Q52" i="1" a="1"/>
  <c r="Q52" i="1" s="1"/>
  <c r="Q51" i="1" a="1"/>
  <c r="Q51" i="1" s="1"/>
  <c r="Q50" i="1" a="1"/>
  <c r="Q50" i="1" s="1"/>
  <c r="Q49" i="1" a="1"/>
  <c r="Q49" i="1" s="1"/>
  <c r="Q48" i="1" a="1"/>
  <c r="Q48" i="1" s="1"/>
  <c r="Q47" i="1" a="1"/>
  <c r="Q47" i="1" s="1"/>
  <c r="Q46" i="1" a="1"/>
  <c r="Q46" i="1" s="1"/>
  <c r="Q45" i="1" a="1"/>
  <c r="Q45" i="1" s="1"/>
  <c r="Q44" i="1" a="1"/>
  <c r="Q44" i="1" s="1"/>
  <c r="Q43" i="1" a="1"/>
  <c r="Q43" i="1" s="1"/>
  <c r="Q42" i="1" a="1"/>
  <c r="Q42" i="1" s="1"/>
  <c r="Q41" i="1" a="1"/>
  <c r="Q41" i="1" s="1"/>
  <c r="Q40" i="1" a="1"/>
  <c r="Q40" i="1" s="1"/>
  <c r="Q39" i="1" a="1"/>
  <c r="Q39" i="1" s="1"/>
  <c r="Q38" i="1" a="1"/>
  <c r="Q38" i="1" s="1"/>
  <c r="Q37" i="1" a="1"/>
  <c r="Q37" i="1" s="1"/>
  <c r="Q36" i="1" a="1"/>
  <c r="Q36" i="1" s="1"/>
  <c r="Q35" i="1" a="1"/>
  <c r="Q35" i="1" s="1"/>
  <c r="Q34" i="1" a="1"/>
  <c r="Q34" i="1" s="1"/>
  <c r="Q33" i="1" a="1"/>
  <c r="Q33" i="1" s="1"/>
  <c r="Q32" i="1" a="1"/>
  <c r="Q32" i="1" s="1"/>
  <c r="Q31" i="1" a="1"/>
  <c r="Q31" i="1" s="1"/>
  <c r="Q30" i="1" a="1"/>
  <c r="Q30" i="1" s="1"/>
  <c r="Q29" i="1" a="1"/>
  <c r="Q29" i="1" s="1"/>
  <c r="Q28" i="1" a="1"/>
  <c r="Q28" i="1" s="1"/>
  <c r="Q27" i="1" a="1"/>
  <c r="Q27" i="1" s="1"/>
  <c r="Q26" i="1" a="1"/>
  <c r="Q26" i="1" s="1"/>
  <c r="Q25" i="1" a="1"/>
  <c r="Q25" i="1" s="1"/>
  <c r="Q24" i="1" a="1"/>
  <c r="Q24" i="1" s="1"/>
  <c r="Q23" i="1" a="1"/>
  <c r="Q23" i="1" s="1"/>
  <c r="Q22" i="1" a="1"/>
  <c r="Q22" i="1" s="1"/>
  <c r="Q21" i="1" a="1"/>
  <c r="Q21" i="1" s="1"/>
  <c r="Q20" i="1" a="1"/>
  <c r="Q20" i="1" s="1"/>
  <c r="Q19" i="1" a="1"/>
  <c r="Q19" i="1" s="1"/>
  <c r="Q18" i="1" a="1"/>
  <c r="Q18" i="1" s="1"/>
  <c r="Q17" i="1" a="1"/>
  <c r="Q17" i="1" s="1"/>
  <c r="Q16" i="1" a="1"/>
  <c r="Q16" i="1" s="1"/>
  <c r="Q15" i="1" a="1"/>
  <c r="Q15" i="1" s="1"/>
  <c r="Q14" i="1" a="1"/>
  <c r="Q14" i="1" s="1"/>
  <c r="Q13" i="1" a="1"/>
  <c r="Q13" i="1" s="1"/>
  <c r="Q12" i="1" a="1"/>
  <c r="Q12" i="1" s="1"/>
  <c r="Q11" i="1" a="1"/>
  <c r="Q11" i="1" s="1"/>
  <c r="Q10" i="1" a="1"/>
  <c r="Q10" i="1" s="1"/>
  <c r="Q9" i="1" a="1"/>
  <c r="Q9" i="1" s="1"/>
  <c r="Q8" i="1" a="1"/>
  <c r="Q8" i="1" s="1"/>
  <c r="Q7" i="1" a="1"/>
  <c r="Q7" i="1" s="1"/>
  <c r="Q6" i="1" a="1"/>
  <c r="Q6" i="1" s="1"/>
  <c r="Q5" i="1" a="1"/>
  <c r="Q5" i="1" s="1"/>
  <c r="Q4" i="1" a="1"/>
  <c r="Q4" i="1" s="1"/>
  <c r="Q3" i="1" a="1"/>
  <c r="Q3" i="1" s="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L115" i="1" a="1"/>
  <c r="L115" i="1" s="1"/>
  <c r="L114" i="1" a="1"/>
  <c r="L114" i="1" s="1"/>
  <c r="L113" i="1" a="1"/>
  <c r="L113" i="1" s="1"/>
  <c r="L112" i="1" a="1"/>
  <c r="L112" i="1" s="1"/>
  <c r="L111" i="1" a="1"/>
  <c r="L111" i="1" s="1"/>
  <c r="L110" i="1" a="1"/>
  <c r="L110" i="1" s="1"/>
  <c r="L109" i="1" a="1"/>
  <c r="L109" i="1" s="1"/>
  <c r="L108" i="1" a="1"/>
  <c r="L108" i="1" s="1"/>
  <c r="L107" i="1" a="1"/>
  <c r="L107" i="1" s="1"/>
  <c r="L106" i="1" a="1"/>
  <c r="L106" i="1" s="1"/>
  <c r="L105" i="1" a="1"/>
  <c r="L105" i="1" s="1"/>
  <c r="L104" i="1" a="1"/>
  <c r="L104" i="1" s="1"/>
  <c r="L103" i="1" a="1"/>
  <c r="L103" i="1" s="1"/>
  <c r="L102" i="1" a="1"/>
  <c r="L102" i="1" s="1"/>
  <c r="L101" i="1" a="1"/>
  <c r="L101" i="1" s="1"/>
  <c r="L100" i="1" a="1"/>
  <c r="L100" i="1" s="1"/>
  <c r="L99" i="1" a="1"/>
  <c r="L99" i="1" s="1"/>
  <c r="L98" i="1" a="1"/>
  <c r="L98" i="1" s="1"/>
  <c r="L97" i="1" a="1"/>
  <c r="L97" i="1" s="1"/>
  <c r="L96" i="1" a="1"/>
  <c r="L96" i="1" s="1"/>
  <c r="L95" i="1" a="1"/>
  <c r="L95" i="1" s="1"/>
  <c r="L94" i="1" a="1"/>
  <c r="L94" i="1" s="1"/>
  <c r="L93" i="1" a="1"/>
  <c r="L93" i="1" s="1"/>
  <c r="L92" i="1" a="1"/>
  <c r="L92" i="1" s="1"/>
  <c r="L91" i="1" a="1"/>
  <c r="L91" i="1" s="1"/>
  <c r="L90" i="1" a="1"/>
  <c r="L90" i="1" s="1"/>
  <c r="L89" i="1" a="1"/>
  <c r="L89" i="1" s="1"/>
  <c r="L88" i="1" a="1"/>
  <c r="L88" i="1" s="1"/>
  <c r="L87" i="1" a="1"/>
  <c r="L87" i="1" s="1"/>
  <c r="L86" i="1" a="1"/>
  <c r="L86" i="1" s="1"/>
  <c r="L85" i="1" a="1"/>
  <c r="L85" i="1" s="1"/>
  <c r="L84" i="1" a="1"/>
  <c r="L84" i="1" s="1"/>
  <c r="L83" i="1" a="1"/>
  <c r="L83" i="1" s="1"/>
  <c r="L82" i="1" a="1"/>
  <c r="L82" i="1" s="1"/>
  <c r="L81" i="1" a="1"/>
  <c r="L81" i="1" s="1"/>
  <c r="L80" i="1" a="1"/>
  <c r="L80" i="1" s="1"/>
  <c r="L79" i="1" a="1"/>
  <c r="L79" i="1" s="1"/>
  <c r="L78" i="1" a="1"/>
  <c r="L78" i="1" s="1"/>
  <c r="L77" i="1" a="1"/>
  <c r="L77" i="1" s="1"/>
  <c r="L76" i="1" a="1"/>
  <c r="L76" i="1" s="1"/>
  <c r="L75" i="1" a="1"/>
  <c r="L75" i="1" s="1"/>
  <c r="L74" i="1" a="1"/>
  <c r="L74" i="1" s="1"/>
  <c r="L73" i="1" a="1"/>
  <c r="L73" i="1" s="1"/>
  <c r="L72" i="1" a="1"/>
  <c r="L72" i="1" s="1"/>
  <c r="L71" i="1" a="1"/>
  <c r="L71" i="1" s="1"/>
  <c r="L70" i="1" a="1"/>
  <c r="L70" i="1" s="1"/>
  <c r="L69" i="1" a="1"/>
  <c r="L69" i="1" s="1"/>
  <c r="L68" i="1" a="1"/>
  <c r="L68" i="1" s="1"/>
  <c r="L67" i="1" a="1"/>
  <c r="L67" i="1" s="1"/>
  <c r="L66" i="1" a="1"/>
  <c r="L66" i="1" s="1"/>
  <c r="L65" i="1" a="1"/>
  <c r="L65" i="1" s="1"/>
  <c r="L64" i="1" a="1"/>
  <c r="L64" i="1" s="1"/>
  <c r="L63" i="1" a="1"/>
  <c r="L63" i="1" s="1"/>
  <c r="L62" i="1" a="1"/>
  <c r="L62" i="1" s="1"/>
  <c r="L61" i="1" a="1"/>
  <c r="L61" i="1" s="1"/>
  <c r="L60" i="1" a="1"/>
  <c r="L60" i="1" s="1"/>
  <c r="L59" i="1" a="1"/>
  <c r="L59" i="1" s="1"/>
  <c r="L58" i="1" a="1"/>
  <c r="L58" i="1" s="1"/>
  <c r="L57" i="1" a="1"/>
  <c r="L57" i="1" s="1"/>
  <c r="L56" i="1" a="1"/>
  <c r="L56" i="1" s="1"/>
  <c r="L55" i="1" a="1"/>
  <c r="L55" i="1" s="1"/>
  <c r="L54" i="1" a="1"/>
  <c r="L54" i="1" s="1"/>
  <c r="L53" i="1" a="1"/>
  <c r="L53" i="1" s="1"/>
  <c r="L52" i="1" a="1"/>
  <c r="L52" i="1" s="1"/>
  <c r="L51" i="1" a="1"/>
  <c r="L51" i="1" s="1"/>
  <c r="L50" i="1" a="1"/>
  <c r="L50" i="1" s="1"/>
  <c r="L49" i="1" a="1"/>
  <c r="L49" i="1" s="1"/>
  <c r="L48" i="1" a="1"/>
  <c r="L48" i="1" s="1"/>
  <c r="L47" i="1" a="1"/>
  <c r="L47" i="1" s="1"/>
  <c r="L46" i="1" a="1"/>
  <c r="L46" i="1" s="1"/>
  <c r="L45" i="1" a="1"/>
  <c r="L45" i="1" s="1"/>
  <c r="L44" i="1" a="1"/>
  <c r="L44" i="1" s="1"/>
  <c r="L43" i="1" a="1"/>
  <c r="L43" i="1" s="1"/>
  <c r="L42" i="1" a="1"/>
  <c r="L42" i="1" s="1"/>
  <c r="L41" i="1" a="1"/>
  <c r="L41" i="1" s="1"/>
  <c r="L40" i="1" a="1"/>
  <c r="L40" i="1" s="1"/>
  <c r="L39" i="1" a="1"/>
  <c r="L39" i="1" s="1"/>
  <c r="L38" i="1" a="1"/>
  <c r="L38" i="1" s="1"/>
  <c r="L37" i="1" a="1"/>
  <c r="L37" i="1" s="1"/>
  <c r="L36" i="1" a="1"/>
  <c r="L36" i="1" s="1"/>
  <c r="L35" i="1" a="1"/>
  <c r="L35" i="1" s="1"/>
  <c r="L34" i="1" a="1"/>
  <c r="L34" i="1" s="1"/>
  <c r="L33" i="1" a="1"/>
  <c r="L33" i="1" s="1"/>
  <c r="L32" i="1" a="1"/>
  <c r="L32" i="1" s="1"/>
  <c r="L31" i="1" a="1"/>
  <c r="L31" i="1" s="1"/>
  <c r="L30" i="1" a="1"/>
  <c r="L30" i="1" s="1"/>
  <c r="L29" i="1" a="1"/>
  <c r="L29" i="1" s="1"/>
  <c r="L28" i="1" a="1"/>
  <c r="L28" i="1" s="1"/>
  <c r="L27" i="1" a="1"/>
  <c r="L27" i="1" s="1"/>
  <c r="L26" i="1" a="1"/>
  <c r="L26" i="1" s="1"/>
  <c r="L25" i="1" a="1"/>
  <c r="L25" i="1" s="1"/>
  <c r="L24" i="1" a="1"/>
  <c r="L24" i="1" s="1"/>
  <c r="L23" i="1" a="1"/>
  <c r="L23" i="1" s="1"/>
  <c r="L22" i="1" a="1"/>
  <c r="L22" i="1" s="1"/>
  <c r="L21" i="1" a="1"/>
  <c r="L21" i="1" s="1"/>
  <c r="L20" i="1" a="1"/>
  <c r="L20" i="1" s="1"/>
  <c r="L19" i="1" a="1"/>
  <c r="L19" i="1" s="1"/>
  <c r="L18" i="1" a="1"/>
  <c r="L18" i="1" s="1"/>
  <c r="L17" i="1" a="1"/>
  <c r="L17" i="1" s="1"/>
  <c r="L16" i="1" a="1"/>
  <c r="L16" i="1" s="1"/>
  <c r="L15" i="1" a="1"/>
  <c r="L15" i="1" s="1"/>
  <c r="L14" i="1" a="1"/>
  <c r="L14" i="1" s="1"/>
  <c r="L13" i="1" a="1"/>
  <c r="L13" i="1" s="1"/>
  <c r="L12" i="1" a="1"/>
  <c r="L12" i="1" s="1"/>
  <c r="L11" i="1" a="1"/>
  <c r="L11" i="1" s="1"/>
  <c r="L10" i="1" a="1"/>
  <c r="L10" i="1" s="1"/>
  <c r="L9" i="1" a="1"/>
  <c r="L9" i="1" s="1"/>
  <c r="L8" i="1" a="1"/>
  <c r="L8" i="1" s="1"/>
  <c r="L7" i="1" a="1"/>
  <c r="L7" i="1" s="1"/>
  <c r="L6" i="1" a="1"/>
  <c r="L6" i="1" s="1"/>
  <c r="L5" i="1" a="1"/>
  <c r="L5" i="1" s="1"/>
  <c r="L4" i="1" a="1"/>
  <c r="L4" i="1" s="1"/>
  <c r="L3" i="1" a="1"/>
  <c r="L3" i="1" s="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I115" i="1"/>
  <c r="I114" i="1"/>
  <c r="I113" i="1"/>
  <c r="I112" i="1"/>
  <c r="I111" i="1"/>
  <c r="I110" i="1"/>
  <c r="I109" i="1"/>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G115" i="1" a="1"/>
  <c r="G115" i="1" s="1"/>
  <c r="G114" i="1" a="1"/>
  <c r="G114" i="1" s="1"/>
  <c r="G113" i="1" a="1"/>
  <c r="G113" i="1" s="1"/>
  <c r="G112" i="1" a="1"/>
  <c r="G112" i="1" s="1"/>
  <c r="G111" i="1" a="1"/>
  <c r="G111" i="1" s="1"/>
  <c r="G110" i="1" a="1"/>
  <c r="G110" i="1" s="1"/>
  <c r="G109" i="1" a="1"/>
  <c r="G109" i="1" s="1"/>
  <c r="G108" i="1" a="1"/>
  <c r="G108" i="1" s="1"/>
  <c r="G107" i="1" a="1"/>
  <c r="G107" i="1" s="1"/>
  <c r="G106" i="1" a="1"/>
  <c r="G106" i="1" s="1"/>
  <c r="G105" i="1" a="1"/>
  <c r="G105" i="1" s="1"/>
  <c r="G104" i="1" a="1"/>
  <c r="G104" i="1" s="1"/>
  <c r="G103" i="1" a="1"/>
  <c r="G103" i="1" s="1"/>
  <c r="G102" i="1" a="1"/>
  <c r="G102" i="1" s="1"/>
  <c r="G101" i="1" a="1"/>
  <c r="G101" i="1" s="1"/>
  <c r="G100" i="1" a="1"/>
  <c r="G100" i="1" s="1"/>
  <c r="G99" i="1" a="1"/>
  <c r="G99" i="1" s="1"/>
  <c r="G98" i="1" a="1"/>
  <c r="G98" i="1" s="1"/>
  <c r="G97" i="1" a="1"/>
  <c r="G97" i="1" s="1"/>
  <c r="G96" i="1" a="1"/>
  <c r="G96" i="1" s="1"/>
  <c r="G95" i="1" a="1"/>
  <c r="G95" i="1" s="1"/>
  <c r="G94" i="1" a="1"/>
  <c r="G94" i="1" s="1"/>
  <c r="G93" i="1" a="1"/>
  <c r="G93" i="1" s="1"/>
  <c r="G92" i="1" a="1"/>
  <c r="G92" i="1" s="1"/>
  <c r="G91" i="1" a="1"/>
  <c r="G91" i="1" s="1"/>
  <c r="G90" i="1" a="1"/>
  <c r="G90" i="1" s="1"/>
  <c r="G89" i="1" a="1"/>
  <c r="G89" i="1" s="1"/>
  <c r="G88" i="1" a="1"/>
  <c r="G88" i="1" s="1"/>
  <c r="G87" i="1" a="1"/>
  <c r="G87" i="1" s="1"/>
  <c r="G86" i="1" a="1"/>
  <c r="G86" i="1" s="1"/>
  <c r="G85" i="1" a="1"/>
  <c r="G85" i="1" s="1"/>
  <c r="G84" i="1" a="1"/>
  <c r="G84" i="1" s="1"/>
  <c r="G83" i="1" a="1"/>
  <c r="G83" i="1" s="1"/>
  <c r="G82" i="1" a="1"/>
  <c r="G82" i="1" s="1"/>
  <c r="G81" i="1" a="1"/>
  <c r="G81" i="1" s="1"/>
  <c r="G80" i="1" a="1"/>
  <c r="G80" i="1" s="1"/>
  <c r="G79" i="1" a="1"/>
  <c r="G79" i="1" s="1"/>
  <c r="G78" i="1" a="1"/>
  <c r="G78" i="1" s="1"/>
  <c r="G77" i="1" a="1"/>
  <c r="G77" i="1" s="1"/>
  <c r="G76" i="1" a="1"/>
  <c r="G76" i="1" s="1"/>
  <c r="G75" i="1" a="1"/>
  <c r="G75" i="1" s="1"/>
  <c r="G74" i="1" a="1"/>
  <c r="G74" i="1" s="1"/>
  <c r="G73" i="1" a="1"/>
  <c r="G73" i="1" s="1"/>
  <c r="G72" i="1" a="1"/>
  <c r="G72" i="1" s="1"/>
  <c r="G71" i="1" a="1"/>
  <c r="G71" i="1" s="1"/>
  <c r="G70" i="1" a="1"/>
  <c r="G70" i="1" s="1"/>
  <c r="G69" i="1" a="1"/>
  <c r="G69" i="1" s="1"/>
  <c r="G68" i="1" a="1"/>
  <c r="G68" i="1" s="1"/>
  <c r="G67" i="1" a="1"/>
  <c r="G67" i="1" s="1"/>
  <c r="G66" i="1" a="1"/>
  <c r="G66" i="1" s="1"/>
  <c r="G65" i="1" a="1"/>
  <c r="G65" i="1" s="1"/>
  <c r="G64" i="1" a="1"/>
  <c r="G64" i="1" s="1"/>
  <c r="G63" i="1" a="1"/>
  <c r="G63" i="1" s="1"/>
  <c r="G62" i="1" a="1"/>
  <c r="G62" i="1" s="1"/>
  <c r="G61" i="1" a="1"/>
  <c r="G61" i="1" s="1"/>
  <c r="G60" i="1" a="1"/>
  <c r="G60" i="1" s="1"/>
  <c r="G59" i="1" a="1"/>
  <c r="G59" i="1" s="1"/>
  <c r="G58" i="1" a="1"/>
  <c r="G58" i="1" s="1"/>
  <c r="G57" i="1" a="1"/>
  <c r="G57" i="1" s="1"/>
  <c r="G56" i="1" a="1"/>
  <c r="G56" i="1" s="1"/>
  <c r="G55" i="1" a="1"/>
  <c r="G55" i="1" s="1"/>
  <c r="G54" i="1" a="1"/>
  <c r="G54" i="1" s="1"/>
  <c r="G53" i="1" a="1"/>
  <c r="G53" i="1" s="1"/>
  <c r="G52" i="1" a="1"/>
  <c r="G52" i="1" s="1"/>
  <c r="G51" i="1" a="1"/>
  <c r="G51" i="1" s="1"/>
  <c r="G50" i="1" a="1"/>
  <c r="G50" i="1" s="1"/>
  <c r="G49" i="1" a="1"/>
  <c r="G49" i="1" s="1"/>
  <c r="G48" i="1" a="1"/>
  <c r="G48" i="1" s="1"/>
  <c r="G47" i="1" a="1"/>
  <c r="G47" i="1" s="1"/>
  <c r="G46" i="1" a="1"/>
  <c r="G46" i="1" s="1"/>
  <c r="G45" i="1" a="1"/>
  <c r="G45" i="1" s="1"/>
  <c r="G44" i="1" a="1"/>
  <c r="G44" i="1" s="1"/>
  <c r="G43" i="1" a="1"/>
  <c r="G43" i="1" s="1"/>
  <c r="G42" i="1" a="1"/>
  <c r="G42" i="1" s="1"/>
  <c r="G41" i="1" a="1"/>
  <c r="G41" i="1" s="1"/>
  <c r="G40" i="1" a="1"/>
  <c r="G40" i="1" s="1"/>
  <c r="G39" i="1" a="1"/>
  <c r="G39" i="1" s="1"/>
  <c r="G38" i="1" a="1"/>
  <c r="G38" i="1" s="1"/>
  <c r="G37" i="1" a="1"/>
  <c r="G37" i="1" s="1"/>
  <c r="G36" i="1" a="1"/>
  <c r="G36" i="1" s="1"/>
  <c r="G35" i="1" a="1"/>
  <c r="G35" i="1" s="1"/>
  <c r="G34" i="1" a="1"/>
  <c r="G34" i="1" s="1"/>
  <c r="G33" i="1" a="1"/>
  <c r="G33" i="1" s="1"/>
  <c r="G32" i="1" a="1"/>
  <c r="G32" i="1" s="1"/>
  <c r="G31" i="1" a="1"/>
  <c r="G31" i="1" s="1"/>
  <c r="G30" i="1" a="1"/>
  <c r="G30" i="1" s="1"/>
  <c r="G29" i="1" a="1"/>
  <c r="G29" i="1" s="1"/>
  <c r="G28" i="1" a="1"/>
  <c r="G28" i="1" s="1"/>
  <c r="G27" i="1" a="1"/>
  <c r="G27" i="1" s="1"/>
  <c r="G26" i="1" a="1"/>
  <c r="G26" i="1" s="1"/>
  <c r="G25" i="1" a="1"/>
  <c r="G25" i="1" s="1"/>
  <c r="G24" i="1" a="1"/>
  <c r="G24" i="1" s="1"/>
  <c r="G23" i="1" a="1"/>
  <c r="G23" i="1" s="1"/>
  <c r="G22" i="1" a="1"/>
  <c r="G22" i="1" s="1"/>
  <c r="G21" i="1" a="1"/>
  <c r="G21" i="1" s="1"/>
  <c r="G20" i="1" a="1"/>
  <c r="G20" i="1" s="1"/>
  <c r="G19" i="1" a="1"/>
  <c r="G19" i="1" s="1"/>
  <c r="G18" i="1" a="1"/>
  <c r="G18" i="1" s="1"/>
  <c r="G17" i="1" a="1"/>
  <c r="G17" i="1" s="1"/>
  <c r="G16" i="1" a="1"/>
  <c r="G16" i="1" s="1"/>
  <c r="G15" i="1" a="1"/>
  <c r="G15" i="1" s="1"/>
  <c r="G14" i="1" a="1"/>
  <c r="G14" i="1" s="1"/>
  <c r="G13" i="1" a="1"/>
  <c r="G13" i="1" s="1"/>
  <c r="G12" i="1" a="1"/>
  <c r="G12" i="1" s="1"/>
  <c r="G11" i="1" a="1"/>
  <c r="G11" i="1" s="1"/>
  <c r="G10" i="1" a="1"/>
  <c r="G10" i="1" s="1"/>
  <c r="G9" i="1" a="1"/>
  <c r="G9" i="1" s="1"/>
  <c r="G8" i="1" a="1"/>
  <c r="G8" i="1" s="1"/>
  <c r="G7" i="1" a="1"/>
  <c r="G7" i="1" s="1"/>
  <c r="G6" i="1" a="1"/>
  <c r="G6" i="1" s="1"/>
  <c r="G5" i="1" a="1"/>
  <c r="G5" i="1" s="1"/>
  <c r="G4" i="1" a="1"/>
  <c r="G4" i="1" s="1"/>
  <c r="G3" i="1" a="1"/>
  <c r="G3" i="1" s="1"/>
  <c r="F115" i="1" a="1"/>
  <c r="F115" i="1" s="1"/>
  <c r="F114" i="1" a="1"/>
  <c r="F114" i="1" s="1"/>
  <c r="F113" i="1" a="1"/>
  <c r="F113" i="1" s="1"/>
  <c r="F112" i="1" a="1"/>
  <c r="F112" i="1" s="1"/>
  <c r="F111" i="1" a="1"/>
  <c r="F111" i="1" s="1"/>
  <c r="F110" i="1" a="1"/>
  <c r="F110" i="1" s="1"/>
  <c r="F109" i="1" a="1"/>
  <c r="F109" i="1" s="1"/>
  <c r="F108" i="1" a="1"/>
  <c r="F108" i="1" s="1"/>
  <c r="F107" i="1" a="1"/>
  <c r="F107" i="1" s="1"/>
  <c r="F106" i="1" a="1"/>
  <c r="F106" i="1" s="1"/>
  <c r="F105" i="1" a="1"/>
  <c r="F105" i="1" s="1"/>
  <c r="F104" i="1" a="1"/>
  <c r="F104" i="1" s="1"/>
  <c r="F103" i="1" a="1"/>
  <c r="F103" i="1" s="1"/>
  <c r="F102" i="1" a="1"/>
  <c r="F102" i="1" s="1"/>
  <c r="F101" i="1" a="1"/>
  <c r="F101" i="1" s="1"/>
  <c r="F100" i="1" a="1"/>
  <c r="F100" i="1" s="1"/>
  <c r="F99" i="1" a="1"/>
  <c r="F99" i="1" s="1"/>
  <c r="F98" i="1" a="1"/>
  <c r="F98" i="1" s="1"/>
  <c r="F97" i="1" a="1"/>
  <c r="F97" i="1" s="1"/>
  <c r="F96" i="1" a="1"/>
  <c r="F96" i="1" s="1"/>
  <c r="F95" i="1" a="1"/>
  <c r="F95" i="1" s="1"/>
  <c r="F94" i="1" a="1"/>
  <c r="F94" i="1" s="1"/>
  <c r="F93" i="1" a="1"/>
  <c r="F93" i="1" s="1"/>
  <c r="F92" i="1" a="1"/>
  <c r="F92" i="1" s="1"/>
  <c r="F91" i="1" a="1"/>
  <c r="F91" i="1" s="1"/>
  <c r="F90" i="1" a="1"/>
  <c r="F90" i="1" s="1"/>
  <c r="F89" i="1" a="1"/>
  <c r="F89" i="1" s="1"/>
  <c r="F88" i="1" a="1"/>
  <c r="F88" i="1" s="1"/>
  <c r="F87" i="1" a="1"/>
  <c r="F87" i="1" s="1"/>
  <c r="F86" i="1" a="1"/>
  <c r="F86" i="1" s="1"/>
  <c r="F85" i="1" a="1"/>
  <c r="F85" i="1" s="1"/>
  <c r="F84" i="1" a="1"/>
  <c r="F84" i="1" s="1"/>
  <c r="F83" i="1" a="1"/>
  <c r="F83" i="1" s="1"/>
  <c r="F82" i="1" a="1"/>
  <c r="F82" i="1" s="1"/>
  <c r="F81" i="1" a="1"/>
  <c r="F81" i="1" s="1"/>
  <c r="F80" i="1" a="1"/>
  <c r="F80" i="1" s="1"/>
  <c r="F79" i="1" a="1"/>
  <c r="F79" i="1" s="1"/>
  <c r="F78" i="1" a="1"/>
  <c r="F78" i="1" s="1"/>
  <c r="F77" i="1" a="1"/>
  <c r="F77" i="1" s="1"/>
  <c r="F76" i="1" a="1"/>
  <c r="F76" i="1" s="1"/>
  <c r="F75" i="1" a="1"/>
  <c r="F75" i="1" s="1"/>
  <c r="F74" i="1" a="1"/>
  <c r="F74" i="1" s="1"/>
  <c r="F73" i="1" a="1"/>
  <c r="F73" i="1" s="1"/>
  <c r="F72" i="1" a="1"/>
  <c r="F72" i="1" s="1"/>
  <c r="F71" i="1" a="1"/>
  <c r="F71" i="1" s="1"/>
  <c r="F70" i="1" a="1"/>
  <c r="F70" i="1" s="1"/>
  <c r="F69" i="1" a="1"/>
  <c r="F69" i="1" s="1"/>
  <c r="F68" i="1" a="1"/>
  <c r="F68" i="1" s="1"/>
  <c r="F67" i="1" a="1"/>
  <c r="F67" i="1" s="1"/>
  <c r="F66" i="1" a="1"/>
  <c r="F66" i="1" s="1"/>
  <c r="F65" i="1" a="1"/>
  <c r="F65" i="1" s="1"/>
  <c r="F64" i="1" a="1"/>
  <c r="F64" i="1" s="1"/>
  <c r="F63" i="1" a="1"/>
  <c r="F63" i="1" s="1"/>
  <c r="F62" i="1" a="1"/>
  <c r="F62" i="1" s="1"/>
  <c r="F61" i="1" a="1"/>
  <c r="F61" i="1" s="1"/>
  <c r="F60" i="1" a="1"/>
  <c r="F60" i="1" s="1"/>
  <c r="F59" i="1" a="1"/>
  <c r="F59" i="1" s="1"/>
  <c r="F58" i="1" a="1"/>
  <c r="F58" i="1" s="1"/>
  <c r="F57" i="1" a="1"/>
  <c r="F57" i="1" s="1"/>
  <c r="F56" i="1" a="1"/>
  <c r="F56" i="1" s="1"/>
  <c r="F55" i="1" a="1"/>
  <c r="F55" i="1" s="1"/>
  <c r="F54" i="1" a="1"/>
  <c r="F54" i="1" s="1"/>
  <c r="F53" i="1" a="1"/>
  <c r="F53" i="1" s="1"/>
  <c r="F52" i="1" a="1"/>
  <c r="F52" i="1" s="1"/>
  <c r="F51" i="1" a="1"/>
  <c r="F51" i="1" s="1"/>
  <c r="F50" i="1" a="1"/>
  <c r="F50" i="1" s="1"/>
  <c r="F49" i="1" a="1"/>
  <c r="F49" i="1" s="1"/>
  <c r="F48" i="1" a="1"/>
  <c r="F48" i="1" s="1"/>
  <c r="F47" i="1" a="1"/>
  <c r="F47" i="1" s="1"/>
  <c r="F46" i="1" a="1"/>
  <c r="F46" i="1" s="1"/>
  <c r="F45" i="1" a="1"/>
  <c r="F45" i="1" s="1"/>
  <c r="F44" i="1" a="1"/>
  <c r="F44" i="1" s="1"/>
  <c r="F43" i="1" a="1"/>
  <c r="F43" i="1" s="1"/>
  <c r="F42" i="1" a="1"/>
  <c r="F42" i="1" s="1"/>
  <c r="F41" i="1" a="1"/>
  <c r="F41" i="1" s="1"/>
  <c r="F40" i="1" a="1"/>
  <c r="F40" i="1" s="1"/>
  <c r="F39" i="1" a="1"/>
  <c r="F39" i="1" s="1"/>
  <c r="F38" i="1" a="1"/>
  <c r="F38" i="1" s="1"/>
  <c r="F37" i="1" a="1"/>
  <c r="F37" i="1" s="1"/>
  <c r="F36" i="1" a="1"/>
  <c r="F36" i="1" s="1"/>
  <c r="F35" i="1" a="1"/>
  <c r="F35" i="1" s="1"/>
  <c r="F34" i="1" a="1"/>
  <c r="F34" i="1" s="1"/>
  <c r="F33" i="1" a="1"/>
  <c r="F33" i="1" s="1"/>
  <c r="F32" i="1" a="1"/>
  <c r="F32" i="1" s="1"/>
  <c r="F31" i="1" a="1"/>
  <c r="F31" i="1" s="1"/>
  <c r="F30" i="1" a="1"/>
  <c r="F30" i="1" s="1"/>
  <c r="F29" i="1" a="1"/>
  <c r="F29" i="1" s="1"/>
  <c r="F28" i="1" a="1"/>
  <c r="F28" i="1" s="1"/>
  <c r="F27" i="1" a="1"/>
  <c r="F27" i="1" s="1"/>
  <c r="F26" i="1" a="1"/>
  <c r="F26" i="1" s="1"/>
  <c r="F25" i="1" a="1"/>
  <c r="F25" i="1" s="1"/>
  <c r="F24" i="1" a="1"/>
  <c r="F24" i="1" s="1"/>
  <c r="F23" i="1" a="1"/>
  <c r="F23" i="1" s="1"/>
  <c r="F22" i="1" a="1"/>
  <c r="F22" i="1" s="1"/>
  <c r="F21" i="1" a="1"/>
  <c r="F21" i="1" s="1"/>
  <c r="F20" i="1" a="1"/>
  <c r="F20" i="1" s="1"/>
  <c r="F19" i="1" a="1"/>
  <c r="F19" i="1" s="1"/>
  <c r="F18" i="1" a="1"/>
  <c r="F18" i="1" s="1"/>
  <c r="F17" i="1" a="1"/>
  <c r="F17" i="1" s="1"/>
  <c r="F16" i="1" a="1"/>
  <c r="F16" i="1" s="1"/>
  <c r="F15" i="1" a="1"/>
  <c r="F15" i="1" s="1"/>
  <c r="F14" i="1" a="1"/>
  <c r="F14" i="1" s="1"/>
  <c r="F13" i="1" a="1"/>
  <c r="F13" i="1" s="1"/>
  <c r="F12" i="1" a="1"/>
  <c r="F12" i="1" s="1"/>
  <c r="F11" i="1" a="1"/>
  <c r="F11" i="1" s="1"/>
  <c r="F10" i="1" a="1"/>
  <c r="F10" i="1" s="1"/>
  <c r="F9" i="1" a="1"/>
  <c r="F9" i="1" s="1"/>
  <c r="F8" i="1" a="1"/>
  <c r="F8" i="1" s="1"/>
  <c r="F7" i="1" a="1"/>
  <c r="F7" i="1" s="1"/>
  <c r="F6" i="1" a="1"/>
  <c r="F6" i="1" s="1"/>
  <c r="F5" i="1" a="1"/>
  <c r="F5" i="1" s="1"/>
  <c r="F4" i="1" a="1"/>
  <c r="F4" i="1" s="1"/>
  <c r="F3" i="1" a="1"/>
  <c r="F3" i="1" s="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6" i="1"/>
  <c r="D35" i="1"/>
  <c r="D34" i="1"/>
  <c r="D31" i="1"/>
  <c r="D30" i="1"/>
  <c r="D29" i="1"/>
  <c r="D26" i="1"/>
  <c r="D22" i="1"/>
  <c r="D18" i="1"/>
  <c r="D15" i="1"/>
  <c r="D14" i="1"/>
  <c r="D10" i="1"/>
  <c r="D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1" i="1"/>
  <c r="C30" i="1"/>
  <c r="C26" i="1"/>
  <c r="C22" i="1"/>
  <c r="C18" i="1"/>
  <c r="C14" i="1"/>
  <c r="C10" i="1"/>
  <c r="C6" i="1"/>
  <c r="C17" i="1" l="1"/>
  <c r="D17" i="1"/>
  <c r="C33" i="1"/>
  <c r="C5" i="1"/>
  <c r="D28" i="1"/>
  <c r="D32" i="1"/>
  <c r="D7" i="1"/>
  <c r="C7" i="1"/>
  <c r="D3" i="1"/>
  <c r="D11" i="1"/>
  <c r="D5" i="1"/>
  <c r="D9" i="1"/>
  <c r="D13" i="1"/>
  <c r="C29" i="1"/>
  <c r="C11" i="1"/>
  <c r="D23" i="1"/>
  <c r="D27" i="1"/>
  <c r="D19" i="1"/>
  <c r="C23" i="1"/>
  <c r="D21" i="1"/>
  <c r="D4" i="1"/>
  <c r="D8" i="1"/>
  <c r="D12" i="1"/>
  <c r="D24" i="1"/>
  <c r="D20" i="1"/>
  <c r="C13" i="1"/>
  <c r="C21" i="1"/>
  <c r="C28" i="1"/>
  <c r="C32" i="1"/>
  <c r="C25" i="1"/>
  <c r="C27" i="1"/>
  <c r="C15" i="1"/>
  <c r="C9" i="1"/>
  <c r="C3" i="1"/>
  <c r="C19" i="1"/>
  <c r="D16" i="1"/>
  <c r="C4" i="1"/>
  <c r="C8" i="1"/>
  <c r="C12" i="1"/>
  <c r="C16" i="1"/>
  <c r="C20" i="1"/>
  <c r="C24" i="1"/>
  <c r="B9" i="6"/>
  <c r="B19" i="6"/>
  <c r="AK19" i="6" s="1"/>
  <c r="B18" i="6"/>
  <c r="AJ18" i="6" s="1"/>
  <c r="B17" i="6"/>
  <c r="B11" i="6"/>
  <c r="B10" i="6"/>
  <c r="AK10" i="6" s="1"/>
  <c r="F27" i="18" a="1"/>
  <c r="F27" i="18"/>
  <c r="AJ90" i="21"/>
  <c r="AI90" i="21"/>
  <c r="AH90" i="21"/>
  <c r="AM90" i="21" s="1"/>
  <c r="AG90" i="21"/>
  <c r="AF90" i="21"/>
  <c r="AE90" i="21"/>
  <c r="AD90" i="21"/>
  <c r="AC90" i="21"/>
  <c r="AB90" i="21"/>
  <c r="AA90" i="21"/>
  <c r="Z90" i="21"/>
  <c r="Y90" i="21"/>
  <c r="X90" i="21"/>
  <c r="W90" i="21"/>
  <c r="V90" i="21"/>
  <c r="U90" i="21"/>
  <c r="T90" i="21"/>
  <c r="S90" i="21"/>
  <c r="D90" i="21" s="1"/>
  <c r="R90" i="21"/>
  <c r="Q90" i="21"/>
  <c r="P90" i="21"/>
  <c r="O90" i="21"/>
  <c r="N90" i="21"/>
  <c r="M90" i="21"/>
  <c r="L90" i="21"/>
  <c r="K90" i="21"/>
  <c r="J90" i="21"/>
  <c r="I90" i="21"/>
  <c r="H90" i="21"/>
  <c r="G90" i="21"/>
  <c r="F90" i="21"/>
  <c r="E90" i="21"/>
  <c r="AJ89" i="21"/>
  <c r="AI89" i="21"/>
  <c r="AH89" i="21"/>
  <c r="AM89" i="21" s="1"/>
  <c r="AG89" i="21"/>
  <c r="AF89" i="21"/>
  <c r="AE89" i="21"/>
  <c r="AD89" i="21"/>
  <c r="AC89" i="21"/>
  <c r="AB89" i="21"/>
  <c r="AA89" i="21"/>
  <c r="Z89" i="21"/>
  <c r="Y89" i="21"/>
  <c r="X89" i="21"/>
  <c r="W89" i="21"/>
  <c r="V89" i="21"/>
  <c r="U89" i="21"/>
  <c r="T89" i="21"/>
  <c r="S89" i="21"/>
  <c r="R89" i="21"/>
  <c r="Q89" i="21"/>
  <c r="P89" i="21"/>
  <c r="O89" i="21"/>
  <c r="N89" i="21"/>
  <c r="M89" i="21"/>
  <c r="L89" i="21"/>
  <c r="K89" i="21"/>
  <c r="J89" i="21"/>
  <c r="I89" i="21"/>
  <c r="H89" i="21"/>
  <c r="G89" i="21"/>
  <c r="F89" i="21"/>
  <c r="E89" i="21"/>
  <c r="AJ88" i="21"/>
  <c r="AI88" i="21"/>
  <c r="AH88" i="21"/>
  <c r="AM88" i="21" s="1"/>
  <c r="AG88" i="21"/>
  <c r="AF88" i="21"/>
  <c r="AE88" i="21"/>
  <c r="AD88" i="21"/>
  <c r="AC88" i="21"/>
  <c r="AB88" i="21"/>
  <c r="AA88" i="21"/>
  <c r="Z88" i="21"/>
  <c r="Y88" i="21"/>
  <c r="X88" i="21"/>
  <c r="W88" i="21"/>
  <c r="V88" i="21"/>
  <c r="U88" i="21"/>
  <c r="T88" i="21"/>
  <c r="S88" i="21"/>
  <c r="R88" i="21"/>
  <c r="Q88" i="21"/>
  <c r="P88" i="21"/>
  <c r="O88" i="21"/>
  <c r="N88" i="21"/>
  <c r="M88" i="21"/>
  <c r="L88" i="21"/>
  <c r="K88" i="21"/>
  <c r="J88" i="21"/>
  <c r="I88" i="21"/>
  <c r="H88" i="21"/>
  <c r="G88" i="21"/>
  <c r="F88" i="21"/>
  <c r="E88" i="21"/>
  <c r="AJ87" i="21"/>
  <c r="AI87" i="21"/>
  <c r="AH87" i="21"/>
  <c r="AG87" i="21"/>
  <c r="AF87" i="21"/>
  <c r="AE87" i="21"/>
  <c r="AD87" i="21"/>
  <c r="AC87" i="21"/>
  <c r="AB87" i="21"/>
  <c r="AA87" i="21"/>
  <c r="Z87" i="21"/>
  <c r="Y87" i="21"/>
  <c r="X87" i="21"/>
  <c r="W87" i="21"/>
  <c r="V87" i="21"/>
  <c r="U87" i="21"/>
  <c r="T87" i="21"/>
  <c r="S87" i="21"/>
  <c r="D87" i="21" s="1"/>
  <c r="R87" i="21"/>
  <c r="Q87" i="21"/>
  <c r="P87" i="21"/>
  <c r="O87" i="21"/>
  <c r="AM87" i="21" s="1"/>
  <c r="N87" i="21"/>
  <c r="M87" i="21"/>
  <c r="L87" i="21"/>
  <c r="K87" i="21"/>
  <c r="J87" i="21"/>
  <c r="I87" i="21"/>
  <c r="H87" i="21"/>
  <c r="G87" i="21"/>
  <c r="F87" i="21"/>
  <c r="E87" i="21"/>
  <c r="AJ86" i="21"/>
  <c r="AI86" i="21"/>
  <c r="AH86" i="21"/>
  <c r="AM86" i="21" s="1"/>
  <c r="AG86" i="21"/>
  <c r="AF86" i="21"/>
  <c r="AE86" i="21"/>
  <c r="AD86" i="21"/>
  <c r="AC86" i="21"/>
  <c r="AB86" i="21"/>
  <c r="AA86" i="21"/>
  <c r="Z86" i="21"/>
  <c r="Y86" i="21"/>
  <c r="X86" i="21"/>
  <c r="W86" i="21"/>
  <c r="V86" i="21"/>
  <c r="U86" i="21"/>
  <c r="T86" i="21"/>
  <c r="S86" i="21"/>
  <c r="D86" i="21" s="1"/>
  <c r="R86" i="21"/>
  <c r="Q86" i="21"/>
  <c r="P86" i="21"/>
  <c r="O86" i="21"/>
  <c r="N86" i="21"/>
  <c r="M86" i="21"/>
  <c r="L86" i="21"/>
  <c r="K86" i="21"/>
  <c r="J86" i="21"/>
  <c r="I86" i="21"/>
  <c r="H86" i="21"/>
  <c r="G86" i="21"/>
  <c r="F86" i="21"/>
  <c r="E86" i="21"/>
  <c r="AJ85" i="21"/>
  <c r="AI85" i="21"/>
  <c r="AH85" i="21"/>
  <c r="AM85" i="21" s="1"/>
  <c r="AG85" i="21"/>
  <c r="AF85" i="21"/>
  <c r="AE85" i="21"/>
  <c r="AD85" i="21"/>
  <c r="AC85" i="21"/>
  <c r="AB85" i="21"/>
  <c r="AA85" i="21"/>
  <c r="Z85" i="21"/>
  <c r="Y85" i="21"/>
  <c r="X85" i="21"/>
  <c r="W85" i="21"/>
  <c r="V85" i="21"/>
  <c r="U85" i="21"/>
  <c r="T85" i="21"/>
  <c r="S85" i="21"/>
  <c r="R85" i="21"/>
  <c r="Q85" i="21"/>
  <c r="P85" i="21"/>
  <c r="O85" i="21"/>
  <c r="N85" i="21"/>
  <c r="M85" i="21"/>
  <c r="L85" i="21"/>
  <c r="K85" i="21"/>
  <c r="J85" i="21"/>
  <c r="I85" i="21"/>
  <c r="H85" i="21"/>
  <c r="G85" i="21"/>
  <c r="F85" i="21"/>
  <c r="E85" i="21"/>
  <c r="AJ84" i="21"/>
  <c r="AI84" i="21"/>
  <c r="AH84" i="21"/>
  <c r="AM84" i="21" s="1"/>
  <c r="AG84" i="21"/>
  <c r="AF84" i="21"/>
  <c r="AE84" i="21"/>
  <c r="AD84" i="21"/>
  <c r="AC84" i="21"/>
  <c r="AB84" i="21"/>
  <c r="AA84" i="21"/>
  <c r="Z84" i="21"/>
  <c r="Y84" i="21"/>
  <c r="X84" i="21"/>
  <c r="W84" i="21"/>
  <c r="V84" i="21"/>
  <c r="U84" i="21"/>
  <c r="T84" i="21"/>
  <c r="S84" i="21"/>
  <c r="R84" i="21"/>
  <c r="Q84" i="21"/>
  <c r="P84" i="21"/>
  <c r="O84" i="21"/>
  <c r="N84" i="21"/>
  <c r="M84" i="21"/>
  <c r="L84" i="21"/>
  <c r="K84" i="21"/>
  <c r="J84" i="21"/>
  <c r="I84" i="21"/>
  <c r="H84" i="21"/>
  <c r="G84" i="21"/>
  <c r="F84" i="21"/>
  <c r="E84" i="21"/>
  <c r="AJ83" i="21"/>
  <c r="AI83" i="21"/>
  <c r="AH83" i="21"/>
  <c r="AG83" i="21"/>
  <c r="AF83" i="21"/>
  <c r="AE83" i="21"/>
  <c r="AD83" i="21"/>
  <c r="AC83" i="21"/>
  <c r="AB83" i="21"/>
  <c r="AA83" i="21"/>
  <c r="Z83" i="21"/>
  <c r="Y83" i="21"/>
  <c r="X83" i="21"/>
  <c r="W83" i="21"/>
  <c r="V83" i="21"/>
  <c r="U83" i="21"/>
  <c r="T83" i="21"/>
  <c r="S83" i="21"/>
  <c r="D83" i="21" s="1"/>
  <c r="R83" i="21"/>
  <c r="Q83" i="21"/>
  <c r="P83" i="21"/>
  <c r="O83" i="21"/>
  <c r="AM83" i="21" s="1"/>
  <c r="N83" i="21"/>
  <c r="M83" i="21"/>
  <c r="L83" i="21"/>
  <c r="K83" i="21"/>
  <c r="J83" i="21"/>
  <c r="I83" i="21"/>
  <c r="H83" i="21"/>
  <c r="G83" i="21"/>
  <c r="F83" i="21"/>
  <c r="E83" i="21"/>
  <c r="AJ82" i="21"/>
  <c r="AI82" i="21"/>
  <c r="AH82" i="21"/>
  <c r="AM82" i="21" s="1"/>
  <c r="AG82" i="21"/>
  <c r="AF82" i="21"/>
  <c r="AE82" i="21"/>
  <c r="AD82" i="21"/>
  <c r="AC82" i="21"/>
  <c r="AB82" i="21"/>
  <c r="AA82" i="21"/>
  <c r="Z82" i="21"/>
  <c r="Y82" i="21"/>
  <c r="X82" i="21"/>
  <c r="W82" i="21"/>
  <c r="V82" i="21"/>
  <c r="U82" i="21"/>
  <c r="T82" i="21"/>
  <c r="S82" i="21"/>
  <c r="D82" i="21" s="1"/>
  <c r="R82" i="21"/>
  <c r="Q82" i="21"/>
  <c r="P82" i="21"/>
  <c r="O82" i="21"/>
  <c r="N82" i="21"/>
  <c r="M82" i="21"/>
  <c r="L82" i="21"/>
  <c r="K82" i="21"/>
  <c r="J82" i="21"/>
  <c r="I82" i="21"/>
  <c r="H82" i="21"/>
  <c r="G82" i="21"/>
  <c r="F82" i="21"/>
  <c r="E82" i="21"/>
  <c r="AJ81" i="21"/>
  <c r="AI81" i="21"/>
  <c r="AH81" i="21"/>
  <c r="AM81" i="21" s="1"/>
  <c r="AG81" i="21"/>
  <c r="AF81" i="21"/>
  <c r="AE81" i="21"/>
  <c r="AD81" i="21"/>
  <c r="AC81" i="21"/>
  <c r="AB81" i="21"/>
  <c r="AA81" i="21"/>
  <c r="Z81" i="21"/>
  <c r="Y81" i="21"/>
  <c r="X81" i="21"/>
  <c r="W81" i="21"/>
  <c r="V81" i="21"/>
  <c r="U81" i="21"/>
  <c r="T81" i="21"/>
  <c r="S81" i="21"/>
  <c r="R81" i="21"/>
  <c r="Q81" i="21"/>
  <c r="P81" i="21"/>
  <c r="O81" i="21"/>
  <c r="N81" i="21"/>
  <c r="M81" i="21"/>
  <c r="L81" i="21"/>
  <c r="K81" i="21"/>
  <c r="J81" i="21"/>
  <c r="I81" i="21"/>
  <c r="H81" i="21"/>
  <c r="G81" i="21"/>
  <c r="F81" i="21"/>
  <c r="E81" i="21"/>
  <c r="AJ80" i="21"/>
  <c r="AI80" i="21"/>
  <c r="AH80" i="21"/>
  <c r="AM80" i="21" s="1"/>
  <c r="AG80" i="21"/>
  <c r="AF80" i="21"/>
  <c r="AE80" i="21"/>
  <c r="AD80" i="21"/>
  <c r="AC80" i="21"/>
  <c r="AB80" i="21"/>
  <c r="AA80" i="21"/>
  <c r="Z80" i="21"/>
  <c r="Y80" i="21"/>
  <c r="X80" i="21"/>
  <c r="W80" i="21"/>
  <c r="V80" i="21"/>
  <c r="U80" i="21"/>
  <c r="T80" i="21"/>
  <c r="S80" i="21"/>
  <c r="R80" i="21"/>
  <c r="Q80" i="21"/>
  <c r="P80" i="21"/>
  <c r="O80" i="21"/>
  <c r="N80" i="21"/>
  <c r="M80" i="21"/>
  <c r="L80" i="21"/>
  <c r="K80" i="21"/>
  <c r="J80" i="21"/>
  <c r="I80" i="21"/>
  <c r="H80" i="21"/>
  <c r="G80" i="21"/>
  <c r="F80" i="21"/>
  <c r="E80" i="21"/>
  <c r="AJ79" i="21"/>
  <c r="AI79" i="21"/>
  <c r="AH79" i="21"/>
  <c r="AG79" i="21"/>
  <c r="AF79" i="21"/>
  <c r="AE79" i="21"/>
  <c r="AD79" i="21"/>
  <c r="AC79" i="21"/>
  <c r="AB79" i="21"/>
  <c r="AA79" i="21"/>
  <c r="Z79" i="21"/>
  <c r="Y79" i="21"/>
  <c r="X79" i="21"/>
  <c r="W79" i="21"/>
  <c r="V79" i="21"/>
  <c r="U79" i="21"/>
  <c r="T79" i="21"/>
  <c r="S79" i="21"/>
  <c r="D79" i="21" s="1"/>
  <c r="R79" i="21"/>
  <c r="Q79" i="21"/>
  <c r="P79" i="21"/>
  <c r="O79" i="21"/>
  <c r="AM79" i="21" s="1"/>
  <c r="N79" i="21"/>
  <c r="M79" i="21"/>
  <c r="L79" i="21"/>
  <c r="K79" i="21"/>
  <c r="J79" i="21"/>
  <c r="I79" i="21"/>
  <c r="H79" i="21"/>
  <c r="G79" i="21"/>
  <c r="F79" i="21"/>
  <c r="E79" i="21"/>
  <c r="AJ78" i="21"/>
  <c r="AI78" i="21"/>
  <c r="AH78" i="21"/>
  <c r="AM78" i="21" s="1"/>
  <c r="AG78" i="21"/>
  <c r="AF78" i="21"/>
  <c r="AE78" i="21"/>
  <c r="AD78" i="21"/>
  <c r="AC78" i="21"/>
  <c r="AB78" i="21"/>
  <c r="AA78" i="21"/>
  <c r="Z78" i="21"/>
  <c r="Y78" i="21"/>
  <c r="X78" i="21"/>
  <c r="W78" i="21"/>
  <c r="V78" i="21"/>
  <c r="U78" i="21"/>
  <c r="T78" i="21"/>
  <c r="S78" i="21"/>
  <c r="D78" i="21" s="1"/>
  <c r="R78" i="21"/>
  <c r="Q78" i="21"/>
  <c r="P78" i="21"/>
  <c r="O78" i="21"/>
  <c r="N78" i="21"/>
  <c r="M78" i="21"/>
  <c r="L78" i="21"/>
  <c r="K78" i="21"/>
  <c r="J78" i="21"/>
  <c r="I78" i="21"/>
  <c r="H78" i="21"/>
  <c r="G78" i="21"/>
  <c r="F78" i="21"/>
  <c r="E78" i="21"/>
  <c r="AJ77" i="21"/>
  <c r="AI77" i="21"/>
  <c r="AH77" i="21"/>
  <c r="AM77" i="21" s="1"/>
  <c r="AG77" i="21"/>
  <c r="AF77" i="21"/>
  <c r="AE77" i="21"/>
  <c r="AD77" i="21"/>
  <c r="AC77" i="21"/>
  <c r="AB77" i="21"/>
  <c r="AA77" i="21"/>
  <c r="Z77" i="21"/>
  <c r="Y77" i="21"/>
  <c r="X77" i="21"/>
  <c r="W77" i="21"/>
  <c r="V77" i="21"/>
  <c r="U77" i="21"/>
  <c r="T77" i="21"/>
  <c r="S77" i="21"/>
  <c r="R77" i="21"/>
  <c r="Q77" i="21"/>
  <c r="P77" i="21"/>
  <c r="O77" i="21"/>
  <c r="N77" i="21"/>
  <c r="M77" i="21"/>
  <c r="L77" i="21"/>
  <c r="K77" i="21"/>
  <c r="J77" i="21"/>
  <c r="I77" i="21"/>
  <c r="H77" i="21"/>
  <c r="G77" i="21"/>
  <c r="F77" i="21"/>
  <c r="E77" i="21"/>
  <c r="AJ76" i="21"/>
  <c r="AI76" i="21"/>
  <c r="AH76" i="21"/>
  <c r="AM76" i="21" s="1"/>
  <c r="AG76" i="21"/>
  <c r="AF76" i="21"/>
  <c r="AE76" i="21"/>
  <c r="AD76" i="21"/>
  <c r="AC76" i="21"/>
  <c r="AB76" i="21"/>
  <c r="AA76" i="21"/>
  <c r="Z76" i="21"/>
  <c r="Y76" i="21"/>
  <c r="X76" i="21"/>
  <c r="W76" i="21"/>
  <c r="V76" i="21"/>
  <c r="U76" i="21"/>
  <c r="T76" i="21"/>
  <c r="S76" i="21"/>
  <c r="R76" i="21"/>
  <c r="Q76" i="21"/>
  <c r="P76" i="21"/>
  <c r="O76" i="21"/>
  <c r="N76" i="21"/>
  <c r="M76" i="21"/>
  <c r="L76" i="21"/>
  <c r="K76" i="21"/>
  <c r="J76" i="21"/>
  <c r="I76" i="21"/>
  <c r="H76" i="21"/>
  <c r="G76" i="21"/>
  <c r="F76" i="21"/>
  <c r="E76" i="21"/>
  <c r="AJ75" i="21"/>
  <c r="AI75" i="21"/>
  <c r="AH75" i="21"/>
  <c r="AG75" i="21"/>
  <c r="AF75" i="21"/>
  <c r="AE75" i="21"/>
  <c r="AD75" i="21"/>
  <c r="AC75" i="21"/>
  <c r="AB75" i="21"/>
  <c r="AA75" i="21"/>
  <c r="Z75" i="21"/>
  <c r="Y75" i="21"/>
  <c r="X75" i="21"/>
  <c r="W75" i="21"/>
  <c r="V75" i="21"/>
  <c r="U75" i="21"/>
  <c r="T75" i="21"/>
  <c r="S75" i="21"/>
  <c r="D75" i="21" s="1"/>
  <c r="R75" i="21"/>
  <c r="Q75" i="21"/>
  <c r="P75" i="21"/>
  <c r="O75" i="21"/>
  <c r="AM75" i="21" s="1"/>
  <c r="N75" i="21"/>
  <c r="M75" i="21"/>
  <c r="L75" i="21"/>
  <c r="K75" i="21"/>
  <c r="J75" i="21"/>
  <c r="I75" i="21"/>
  <c r="H75" i="21"/>
  <c r="G75" i="21"/>
  <c r="F75" i="21"/>
  <c r="E75" i="21"/>
  <c r="AJ74" i="21"/>
  <c r="AI74" i="21"/>
  <c r="AH74" i="21"/>
  <c r="AM74" i="21" s="1"/>
  <c r="AG74" i="21"/>
  <c r="AF74" i="21"/>
  <c r="AE74" i="21"/>
  <c r="AD74" i="21"/>
  <c r="AC74" i="21"/>
  <c r="AB74" i="21"/>
  <c r="AA74" i="21"/>
  <c r="Z74" i="21"/>
  <c r="Y74" i="21"/>
  <c r="X74" i="21"/>
  <c r="W74" i="21"/>
  <c r="V74" i="21"/>
  <c r="U74" i="21"/>
  <c r="T74" i="21"/>
  <c r="S74" i="21"/>
  <c r="R74" i="21"/>
  <c r="Q74" i="21"/>
  <c r="P74" i="21"/>
  <c r="O74" i="21"/>
  <c r="N74" i="21"/>
  <c r="M74" i="21"/>
  <c r="L74" i="21"/>
  <c r="K74" i="21"/>
  <c r="J74" i="21"/>
  <c r="I74" i="21"/>
  <c r="H74" i="21"/>
  <c r="G74" i="21"/>
  <c r="F74" i="21"/>
  <c r="E74" i="21"/>
  <c r="AJ73" i="21"/>
  <c r="AI73" i="21"/>
  <c r="AH73" i="21"/>
  <c r="AM73" i="21" s="1"/>
  <c r="AG73" i="21"/>
  <c r="AF73" i="21"/>
  <c r="AE73" i="21"/>
  <c r="AD73" i="21"/>
  <c r="AC73" i="21"/>
  <c r="AB73" i="21"/>
  <c r="AA73" i="21"/>
  <c r="Z73" i="21"/>
  <c r="Y73" i="21"/>
  <c r="X73" i="21"/>
  <c r="W73" i="21"/>
  <c r="V73" i="21"/>
  <c r="U73" i="21"/>
  <c r="T73" i="21"/>
  <c r="S73" i="21"/>
  <c r="R73" i="21"/>
  <c r="Q73" i="21"/>
  <c r="P73" i="21"/>
  <c r="O73" i="21"/>
  <c r="N73" i="21"/>
  <c r="M73" i="21"/>
  <c r="L73" i="21"/>
  <c r="K73" i="21"/>
  <c r="J73" i="21"/>
  <c r="I73" i="21"/>
  <c r="H73" i="21"/>
  <c r="G73" i="21"/>
  <c r="F73" i="21"/>
  <c r="E73" i="21"/>
  <c r="AJ72" i="21"/>
  <c r="AI72" i="21"/>
  <c r="AH72" i="21"/>
  <c r="AG72" i="21"/>
  <c r="AF72" i="21"/>
  <c r="AE72" i="21"/>
  <c r="AD72" i="21"/>
  <c r="AC72" i="21"/>
  <c r="AB72" i="21"/>
  <c r="AA72" i="21"/>
  <c r="Z72" i="21"/>
  <c r="Y72" i="21"/>
  <c r="X72" i="21"/>
  <c r="W72" i="21"/>
  <c r="V72" i="21"/>
  <c r="U72" i="21"/>
  <c r="T72" i="21"/>
  <c r="S72" i="21"/>
  <c r="C72" i="21" s="1"/>
  <c r="R72" i="21"/>
  <c r="Q72" i="21"/>
  <c r="P72" i="21"/>
  <c r="O72" i="21"/>
  <c r="AM72" i="21" s="1"/>
  <c r="N72" i="21"/>
  <c r="M72" i="21"/>
  <c r="L72" i="21"/>
  <c r="K72" i="21"/>
  <c r="J72" i="21"/>
  <c r="I72" i="21"/>
  <c r="H72" i="21"/>
  <c r="G72" i="21"/>
  <c r="F72" i="21"/>
  <c r="E72" i="21"/>
  <c r="AJ71" i="21"/>
  <c r="AI71" i="21"/>
  <c r="AH71" i="21"/>
  <c r="AG71" i="21"/>
  <c r="AF71" i="21"/>
  <c r="AE71" i="21"/>
  <c r="AD71" i="21"/>
  <c r="AC71" i="21"/>
  <c r="AB71" i="21"/>
  <c r="AA71" i="21"/>
  <c r="Z71" i="21"/>
  <c r="Y71" i="21"/>
  <c r="X71" i="21"/>
  <c r="W71" i="21"/>
  <c r="V71" i="21"/>
  <c r="U71" i="21"/>
  <c r="T71" i="21"/>
  <c r="S71" i="21"/>
  <c r="D71" i="21" s="1"/>
  <c r="R71" i="21"/>
  <c r="Q71" i="21"/>
  <c r="P71" i="21"/>
  <c r="O71" i="21"/>
  <c r="AM71" i="21" s="1"/>
  <c r="N71" i="21"/>
  <c r="M71" i="21"/>
  <c r="L71" i="21"/>
  <c r="K71" i="21"/>
  <c r="J71" i="21"/>
  <c r="I71" i="21"/>
  <c r="H71" i="21"/>
  <c r="G71" i="21"/>
  <c r="F71" i="21"/>
  <c r="E71" i="21"/>
  <c r="AJ70" i="21"/>
  <c r="AI70" i="21"/>
  <c r="AH70" i="21"/>
  <c r="AM70" i="21" s="1"/>
  <c r="AG70" i="21"/>
  <c r="AF70" i="21"/>
  <c r="AE70" i="21"/>
  <c r="AD70" i="21"/>
  <c r="AC70" i="21"/>
  <c r="AB70" i="21"/>
  <c r="AA70" i="21"/>
  <c r="Z70" i="21"/>
  <c r="Y70" i="21"/>
  <c r="X70" i="21"/>
  <c r="W70" i="21"/>
  <c r="V70" i="21"/>
  <c r="U70" i="21"/>
  <c r="T70" i="21"/>
  <c r="S70" i="21"/>
  <c r="R70" i="21"/>
  <c r="Q70" i="21"/>
  <c r="P70" i="21"/>
  <c r="O70" i="21"/>
  <c r="N70" i="21"/>
  <c r="M70" i="21"/>
  <c r="L70" i="21"/>
  <c r="K70" i="21"/>
  <c r="J70" i="21"/>
  <c r="I70" i="21"/>
  <c r="H70" i="21"/>
  <c r="G70" i="21"/>
  <c r="F70" i="21"/>
  <c r="E70" i="21"/>
  <c r="AJ69" i="21"/>
  <c r="AI69" i="21"/>
  <c r="AH69" i="21"/>
  <c r="AM69" i="21" s="1"/>
  <c r="AG69" i="21"/>
  <c r="AF69" i="21"/>
  <c r="AE69" i="21"/>
  <c r="AD69" i="21"/>
  <c r="AC69" i="21"/>
  <c r="AB69" i="21"/>
  <c r="AA69" i="21"/>
  <c r="Z69" i="21"/>
  <c r="Y69" i="21"/>
  <c r="X69" i="21"/>
  <c r="W69" i="21"/>
  <c r="V69" i="21"/>
  <c r="U69" i="21"/>
  <c r="T69" i="21"/>
  <c r="S69" i="21"/>
  <c r="R69" i="21"/>
  <c r="Q69" i="21"/>
  <c r="P69" i="21"/>
  <c r="O69" i="21"/>
  <c r="N69" i="21"/>
  <c r="M69" i="21"/>
  <c r="L69" i="21"/>
  <c r="K69" i="21"/>
  <c r="J69" i="21"/>
  <c r="I69" i="21"/>
  <c r="H69" i="21"/>
  <c r="G69" i="21"/>
  <c r="F69" i="21"/>
  <c r="E69" i="21"/>
  <c r="AJ68" i="21"/>
  <c r="AI68" i="21"/>
  <c r="AH68" i="21"/>
  <c r="AG68" i="21"/>
  <c r="AF68" i="21"/>
  <c r="AE68" i="21"/>
  <c r="AD68" i="21"/>
  <c r="AC68" i="21"/>
  <c r="AB68" i="21"/>
  <c r="AA68" i="21"/>
  <c r="Z68" i="21"/>
  <c r="Y68" i="21"/>
  <c r="X68" i="21"/>
  <c r="W68" i="21"/>
  <c r="V68" i="21"/>
  <c r="U68" i="21"/>
  <c r="T68" i="21"/>
  <c r="S68" i="21"/>
  <c r="C68" i="21" s="1"/>
  <c r="R68" i="21"/>
  <c r="Q68" i="21"/>
  <c r="P68" i="21"/>
  <c r="O68" i="21"/>
  <c r="AM68" i="21" s="1"/>
  <c r="N68" i="21"/>
  <c r="M68" i="21"/>
  <c r="L68" i="21"/>
  <c r="K68" i="21"/>
  <c r="J68" i="21"/>
  <c r="I68" i="21"/>
  <c r="H68" i="21"/>
  <c r="G68" i="21"/>
  <c r="F68" i="21"/>
  <c r="E68" i="21"/>
  <c r="AJ67" i="21"/>
  <c r="AI67" i="21"/>
  <c r="AH67" i="21"/>
  <c r="AG67" i="21"/>
  <c r="AF67" i="21"/>
  <c r="AE67" i="21"/>
  <c r="AD67" i="21"/>
  <c r="AC67" i="21"/>
  <c r="AB67" i="21"/>
  <c r="AA67" i="21"/>
  <c r="Z67" i="21"/>
  <c r="Y67" i="21"/>
  <c r="X67" i="21"/>
  <c r="W67" i="21"/>
  <c r="V67" i="21"/>
  <c r="U67" i="21"/>
  <c r="T67" i="21"/>
  <c r="S67" i="21"/>
  <c r="D67" i="21" s="1"/>
  <c r="R67" i="21"/>
  <c r="Q67" i="21"/>
  <c r="P67" i="21"/>
  <c r="O67" i="21"/>
  <c r="AM67" i="21" s="1"/>
  <c r="N67" i="21"/>
  <c r="M67" i="21"/>
  <c r="L67" i="21"/>
  <c r="K67" i="21"/>
  <c r="J67" i="21"/>
  <c r="I67" i="21"/>
  <c r="H67" i="21"/>
  <c r="G67" i="21"/>
  <c r="F67" i="21"/>
  <c r="E67" i="21"/>
  <c r="AJ66" i="21"/>
  <c r="AI66" i="21"/>
  <c r="AH66" i="21"/>
  <c r="AM66" i="21" s="1"/>
  <c r="AG66" i="21"/>
  <c r="AF66" i="21"/>
  <c r="AE66" i="21"/>
  <c r="AD66" i="21"/>
  <c r="AC66" i="21"/>
  <c r="AB66" i="21"/>
  <c r="AA66" i="21"/>
  <c r="Z66" i="21"/>
  <c r="Y66" i="21"/>
  <c r="X66" i="21"/>
  <c r="W66" i="21"/>
  <c r="V66" i="21"/>
  <c r="U66" i="21"/>
  <c r="T66" i="21"/>
  <c r="S66" i="21"/>
  <c r="R66" i="21"/>
  <c r="Q66" i="21"/>
  <c r="P66" i="21"/>
  <c r="O66" i="21"/>
  <c r="N66" i="21"/>
  <c r="M66" i="21"/>
  <c r="L66" i="21"/>
  <c r="K66" i="21"/>
  <c r="J66" i="21"/>
  <c r="I66" i="21"/>
  <c r="H66" i="21"/>
  <c r="G66" i="21"/>
  <c r="F66" i="21"/>
  <c r="E66" i="21"/>
  <c r="AJ65" i="21"/>
  <c r="AI65" i="21"/>
  <c r="AH65" i="21"/>
  <c r="AM65" i="21" s="1"/>
  <c r="AG65" i="21"/>
  <c r="AF65" i="21"/>
  <c r="AE65" i="21"/>
  <c r="AD65" i="21"/>
  <c r="AC65" i="21"/>
  <c r="AB65" i="21"/>
  <c r="AA65" i="21"/>
  <c r="Z65" i="21"/>
  <c r="Y65" i="21"/>
  <c r="X65" i="21"/>
  <c r="W65" i="21"/>
  <c r="V65" i="21"/>
  <c r="U65" i="21"/>
  <c r="T65" i="21"/>
  <c r="S65" i="21"/>
  <c r="R65" i="21"/>
  <c r="Q65" i="21"/>
  <c r="P65" i="21"/>
  <c r="O65" i="21"/>
  <c r="N65" i="21"/>
  <c r="M65" i="21"/>
  <c r="L65" i="21"/>
  <c r="K65" i="21"/>
  <c r="J65" i="21"/>
  <c r="I65" i="21"/>
  <c r="H65" i="21"/>
  <c r="G65" i="21"/>
  <c r="F65" i="21"/>
  <c r="E65" i="21"/>
  <c r="AJ64" i="21"/>
  <c r="AI64" i="21"/>
  <c r="AH64" i="21"/>
  <c r="AG64" i="21"/>
  <c r="AF64" i="21"/>
  <c r="AE64" i="21"/>
  <c r="AD64" i="21"/>
  <c r="AC64" i="21"/>
  <c r="AB64" i="21"/>
  <c r="AA64" i="21"/>
  <c r="Z64" i="21"/>
  <c r="Y64" i="21"/>
  <c r="X64" i="21"/>
  <c r="W64" i="21"/>
  <c r="V64" i="21"/>
  <c r="U64" i="21"/>
  <c r="T64" i="21"/>
  <c r="S64" i="21"/>
  <c r="C64" i="21" s="1"/>
  <c r="R64" i="21"/>
  <c r="Q64" i="21"/>
  <c r="P64" i="21"/>
  <c r="O64" i="21"/>
  <c r="AM64" i="21" s="1"/>
  <c r="N64" i="21"/>
  <c r="M64" i="21"/>
  <c r="L64" i="21"/>
  <c r="K64" i="21"/>
  <c r="J64" i="21"/>
  <c r="I64" i="21"/>
  <c r="H64" i="21"/>
  <c r="G64" i="21"/>
  <c r="F64" i="21"/>
  <c r="E64" i="21"/>
  <c r="AJ63" i="21"/>
  <c r="AI63" i="21"/>
  <c r="AH63" i="21"/>
  <c r="AG63" i="21"/>
  <c r="AF63" i="21"/>
  <c r="AE63" i="21"/>
  <c r="AD63" i="21"/>
  <c r="AC63" i="21"/>
  <c r="AB63" i="21"/>
  <c r="AA63" i="21"/>
  <c r="Z63" i="21"/>
  <c r="Y63" i="21"/>
  <c r="X63" i="21"/>
  <c r="W63" i="21"/>
  <c r="V63" i="21"/>
  <c r="U63" i="21"/>
  <c r="T63" i="21"/>
  <c r="S63" i="21"/>
  <c r="D63" i="21" s="1"/>
  <c r="R63" i="21"/>
  <c r="Q63" i="21"/>
  <c r="P63" i="21"/>
  <c r="O63" i="21"/>
  <c r="AM63" i="21" s="1"/>
  <c r="N63" i="21"/>
  <c r="M63" i="21"/>
  <c r="L63" i="21"/>
  <c r="K63" i="21"/>
  <c r="J63" i="21"/>
  <c r="I63" i="21"/>
  <c r="H63" i="21"/>
  <c r="G63" i="21"/>
  <c r="F63" i="21"/>
  <c r="E63" i="21"/>
  <c r="AJ62" i="21"/>
  <c r="AI62" i="21"/>
  <c r="AH62" i="21"/>
  <c r="AG62" i="21"/>
  <c r="AF62" i="21"/>
  <c r="AE62" i="21"/>
  <c r="AD62" i="21"/>
  <c r="AC62" i="21"/>
  <c r="AB62" i="21"/>
  <c r="AA62" i="21"/>
  <c r="Z62" i="21"/>
  <c r="Y62" i="21"/>
  <c r="X62" i="21"/>
  <c r="W62" i="21"/>
  <c r="V62" i="21"/>
  <c r="U62" i="21"/>
  <c r="T62" i="21"/>
  <c r="S62" i="21"/>
  <c r="R62" i="21"/>
  <c r="Q62" i="21"/>
  <c r="P62" i="21"/>
  <c r="O62" i="21"/>
  <c r="N62" i="21"/>
  <c r="M62" i="21"/>
  <c r="L62" i="21"/>
  <c r="K62" i="21"/>
  <c r="J62" i="21"/>
  <c r="I62" i="21"/>
  <c r="H62" i="21"/>
  <c r="G62" i="21"/>
  <c r="F62" i="21"/>
  <c r="E62" i="21"/>
  <c r="AM62" i="21" s="1"/>
  <c r="AJ61" i="21"/>
  <c r="AI61" i="21"/>
  <c r="AH61" i="21"/>
  <c r="AM61" i="21" s="1"/>
  <c r="AG61" i="21"/>
  <c r="AF61" i="21"/>
  <c r="AE61" i="21"/>
  <c r="AD61" i="21"/>
  <c r="AC61" i="21"/>
  <c r="AB61" i="21"/>
  <c r="AA61" i="21"/>
  <c r="Z61" i="21"/>
  <c r="Y61" i="21"/>
  <c r="X61" i="21"/>
  <c r="W61" i="21"/>
  <c r="V61" i="21"/>
  <c r="U61" i="21"/>
  <c r="T61" i="21"/>
  <c r="S61" i="21"/>
  <c r="R61" i="21"/>
  <c r="Q61" i="21"/>
  <c r="P61" i="21"/>
  <c r="O61" i="21"/>
  <c r="N61" i="21"/>
  <c r="M61" i="21"/>
  <c r="L61" i="21"/>
  <c r="K61" i="21"/>
  <c r="J61" i="21"/>
  <c r="I61" i="21"/>
  <c r="H61" i="21"/>
  <c r="G61" i="21"/>
  <c r="F61" i="21"/>
  <c r="E61" i="21"/>
  <c r="AJ60" i="21"/>
  <c r="AI60" i="21"/>
  <c r="AH60" i="21"/>
  <c r="AG60" i="21"/>
  <c r="AF60" i="21"/>
  <c r="AE60" i="21"/>
  <c r="AD60" i="21"/>
  <c r="AC60" i="21"/>
  <c r="AB60" i="21"/>
  <c r="AA60" i="21"/>
  <c r="Z60" i="21"/>
  <c r="Y60" i="21"/>
  <c r="X60" i="21"/>
  <c r="W60" i="21"/>
  <c r="V60" i="21"/>
  <c r="U60" i="21"/>
  <c r="T60" i="21"/>
  <c r="S60" i="21"/>
  <c r="C60" i="21" s="1"/>
  <c r="R60" i="21"/>
  <c r="Q60" i="21"/>
  <c r="P60" i="21"/>
  <c r="O60" i="21"/>
  <c r="AM60" i="21" s="1"/>
  <c r="N60" i="21"/>
  <c r="M60" i="21"/>
  <c r="L60" i="21"/>
  <c r="K60" i="21"/>
  <c r="J60" i="21"/>
  <c r="I60" i="21"/>
  <c r="H60" i="21"/>
  <c r="G60" i="21"/>
  <c r="F60" i="21"/>
  <c r="E60" i="21"/>
  <c r="AJ59" i="21"/>
  <c r="AI59" i="21"/>
  <c r="AH59" i="21"/>
  <c r="AG59" i="21"/>
  <c r="AF59" i="21"/>
  <c r="AE59" i="21"/>
  <c r="AD59" i="21"/>
  <c r="AC59" i="21"/>
  <c r="AB59" i="21"/>
  <c r="AA59" i="21"/>
  <c r="Z59" i="21"/>
  <c r="Y59" i="21"/>
  <c r="X59" i="21"/>
  <c r="W59" i="21"/>
  <c r="V59" i="21"/>
  <c r="U59" i="21"/>
  <c r="T59" i="21"/>
  <c r="S59" i="21"/>
  <c r="D59" i="21" s="1"/>
  <c r="R59" i="21"/>
  <c r="Q59" i="21"/>
  <c r="P59" i="21"/>
  <c r="O59" i="21"/>
  <c r="AM59" i="21" s="1"/>
  <c r="N59" i="21"/>
  <c r="M59" i="21"/>
  <c r="L59" i="21"/>
  <c r="K59" i="21"/>
  <c r="J59" i="21"/>
  <c r="I59" i="21"/>
  <c r="H59" i="21"/>
  <c r="G59" i="21"/>
  <c r="F59" i="21"/>
  <c r="E59" i="21"/>
  <c r="AJ58" i="21"/>
  <c r="AI58" i="21"/>
  <c r="AH58" i="21"/>
  <c r="AG58" i="21"/>
  <c r="AF58" i="21"/>
  <c r="AE58" i="21"/>
  <c r="AD58" i="21"/>
  <c r="AC58" i="21"/>
  <c r="AB58" i="21"/>
  <c r="AA58" i="21"/>
  <c r="Z58" i="21"/>
  <c r="Y58" i="21"/>
  <c r="X58" i="21"/>
  <c r="W58" i="21"/>
  <c r="V58" i="21"/>
  <c r="U58" i="21"/>
  <c r="T58" i="21"/>
  <c r="S58" i="21"/>
  <c r="R58" i="21"/>
  <c r="Q58" i="21"/>
  <c r="P58" i="21"/>
  <c r="O58" i="21"/>
  <c r="N58" i="21"/>
  <c r="M58" i="21"/>
  <c r="L58" i="21"/>
  <c r="K58" i="21"/>
  <c r="J58" i="21"/>
  <c r="I58" i="21"/>
  <c r="H58" i="21"/>
  <c r="G58" i="21"/>
  <c r="F58" i="21"/>
  <c r="E58" i="21"/>
  <c r="AM58" i="21" s="1"/>
  <c r="AJ57" i="21"/>
  <c r="AI57" i="21"/>
  <c r="AH57" i="21"/>
  <c r="AM57" i="21" s="1"/>
  <c r="AG57" i="21"/>
  <c r="AF57" i="21"/>
  <c r="AE57" i="21"/>
  <c r="AD57" i="21"/>
  <c r="AC57" i="21"/>
  <c r="AB57" i="21"/>
  <c r="AA57" i="21"/>
  <c r="Z57" i="21"/>
  <c r="Y57" i="21"/>
  <c r="X57" i="21"/>
  <c r="W57" i="21"/>
  <c r="V57" i="21"/>
  <c r="U57" i="21"/>
  <c r="T57" i="21"/>
  <c r="S57" i="21"/>
  <c r="R57" i="21"/>
  <c r="Q57" i="21"/>
  <c r="P57" i="21"/>
  <c r="O57" i="21"/>
  <c r="N57" i="21"/>
  <c r="M57" i="21"/>
  <c r="L57" i="21"/>
  <c r="K57" i="21"/>
  <c r="J57" i="21"/>
  <c r="I57" i="21"/>
  <c r="H57" i="21"/>
  <c r="G57" i="21"/>
  <c r="F57" i="21"/>
  <c r="E57" i="21"/>
  <c r="AJ56" i="21"/>
  <c r="AI56" i="21"/>
  <c r="AH56" i="21"/>
  <c r="AG56" i="21"/>
  <c r="AF56" i="21"/>
  <c r="AE56" i="21"/>
  <c r="AD56" i="21"/>
  <c r="AC56" i="21"/>
  <c r="AB56" i="21"/>
  <c r="AA56" i="21"/>
  <c r="Z56" i="21"/>
  <c r="Y56" i="21"/>
  <c r="X56" i="21"/>
  <c r="W56" i="21"/>
  <c r="V56" i="21"/>
  <c r="U56" i="21"/>
  <c r="T56" i="21"/>
  <c r="S56" i="21"/>
  <c r="C56" i="21" s="1"/>
  <c r="R56" i="21"/>
  <c r="Q56" i="21"/>
  <c r="P56" i="21"/>
  <c r="O56" i="21"/>
  <c r="AM56" i="21" s="1"/>
  <c r="N56" i="21"/>
  <c r="M56" i="21"/>
  <c r="L56" i="21"/>
  <c r="K56" i="21"/>
  <c r="J56" i="21"/>
  <c r="I56" i="21"/>
  <c r="H56" i="21"/>
  <c r="G56" i="21"/>
  <c r="F56" i="21"/>
  <c r="E56" i="21"/>
  <c r="AJ55" i="21"/>
  <c r="AI55" i="21"/>
  <c r="AH55" i="21"/>
  <c r="AG55" i="21"/>
  <c r="AF55" i="21"/>
  <c r="AE55" i="21"/>
  <c r="AD55" i="21"/>
  <c r="AC55" i="21"/>
  <c r="AB55" i="21"/>
  <c r="AA55" i="21"/>
  <c r="Z55" i="21"/>
  <c r="Y55" i="21"/>
  <c r="X55" i="21"/>
  <c r="W55" i="21"/>
  <c r="V55" i="21"/>
  <c r="U55" i="21"/>
  <c r="T55" i="21"/>
  <c r="S55" i="21"/>
  <c r="D55" i="21" s="1"/>
  <c r="R55" i="21"/>
  <c r="Q55" i="21"/>
  <c r="P55" i="21"/>
  <c r="O55" i="21"/>
  <c r="AM55" i="21" s="1"/>
  <c r="N55" i="21"/>
  <c r="M55" i="21"/>
  <c r="L55" i="21"/>
  <c r="K55" i="21"/>
  <c r="J55" i="21"/>
  <c r="I55" i="21"/>
  <c r="H55" i="21"/>
  <c r="G55" i="21"/>
  <c r="F55" i="21"/>
  <c r="E55" i="21"/>
  <c r="AJ54" i="21"/>
  <c r="AI54" i="21"/>
  <c r="AH54" i="21"/>
  <c r="AM54" i="21" s="1"/>
  <c r="AG54" i="21"/>
  <c r="AF54" i="21"/>
  <c r="AE54" i="21"/>
  <c r="AD54" i="21"/>
  <c r="AC54" i="21"/>
  <c r="AB54" i="21"/>
  <c r="AA54" i="21"/>
  <c r="Z54" i="21"/>
  <c r="Y54" i="21"/>
  <c r="X54" i="21"/>
  <c r="W54" i="21"/>
  <c r="V54" i="21"/>
  <c r="U54" i="21"/>
  <c r="T54" i="21"/>
  <c r="S54" i="21"/>
  <c r="R54" i="21"/>
  <c r="Q54" i="21"/>
  <c r="P54" i="21"/>
  <c r="O54" i="21"/>
  <c r="N54" i="21"/>
  <c r="M54" i="21"/>
  <c r="L54" i="21"/>
  <c r="K54" i="21"/>
  <c r="J54" i="21"/>
  <c r="I54" i="21"/>
  <c r="H54" i="21"/>
  <c r="G54" i="21"/>
  <c r="F54" i="21"/>
  <c r="E54" i="21"/>
  <c r="AJ53" i="21"/>
  <c r="AI53" i="21"/>
  <c r="AH53" i="21"/>
  <c r="AM53" i="21" s="1"/>
  <c r="AG53" i="21"/>
  <c r="AF53" i="21"/>
  <c r="AE53" i="21"/>
  <c r="AD53" i="21"/>
  <c r="AC53" i="21"/>
  <c r="AB53" i="21"/>
  <c r="AA53" i="21"/>
  <c r="Z53" i="21"/>
  <c r="Y53" i="21"/>
  <c r="X53" i="21"/>
  <c r="W53" i="21"/>
  <c r="V53" i="21"/>
  <c r="U53" i="21"/>
  <c r="T53" i="21"/>
  <c r="S53" i="21"/>
  <c r="R53" i="21"/>
  <c r="Q53" i="21"/>
  <c r="P53" i="21"/>
  <c r="O53" i="21"/>
  <c r="N53" i="21"/>
  <c r="M53" i="21"/>
  <c r="L53" i="21"/>
  <c r="K53" i="21"/>
  <c r="J53" i="21"/>
  <c r="I53" i="21"/>
  <c r="H53" i="21"/>
  <c r="G53" i="21"/>
  <c r="F53" i="21"/>
  <c r="E53" i="21"/>
  <c r="AJ52" i="21"/>
  <c r="AI52" i="21"/>
  <c r="AH52" i="21"/>
  <c r="AG52" i="21"/>
  <c r="AF52" i="21"/>
  <c r="AE52" i="21"/>
  <c r="AD52" i="21"/>
  <c r="AC52" i="21"/>
  <c r="AB52" i="21"/>
  <c r="AA52" i="21"/>
  <c r="Z52" i="21"/>
  <c r="Y52" i="21"/>
  <c r="X52" i="21"/>
  <c r="W52" i="21"/>
  <c r="V52" i="21"/>
  <c r="U52" i="21"/>
  <c r="T52" i="21"/>
  <c r="S52" i="21"/>
  <c r="C52" i="21" s="1"/>
  <c r="R52" i="21"/>
  <c r="Q52" i="21"/>
  <c r="P52" i="21"/>
  <c r="O52" i="21"/>
  <c r="AM52" i="21" s="1"/>
  <c r="N52" i="21"/>
  <c r="M52" i="21"/>
  <c r="L52" i="21"/>
  <c r="K52" i="21"/>
  <c r="J52" i="21"/>
  <c r="I52" i="21"/>
  <c r="H52" i="21"/>
  <c r="G52" i="21"/>
  <c r="F52" i="21"/>
  <c r="E52" i="21"/>
  <c r="AJ51" i="21"/>
  <c r="AI51" i="21"/>
  <c r="AH51" i="21"/>
  <c r="AG51" i="21"/>
  <c r="AF51" i="21"/>
  <c r="AE51" i="21"/>
  <c r="AD51" i="21"/>
  <c r="AC51" i="21"/>
  <c r="AB51" i="21"/>
  <c r="AA51" i="21"/>
  <c r="Z51" i="21"/>
  <c r="Y51" i="21"/>
  <c r="X51" i="21"/>
  <c r="W51" i="21"/>
  <c r="V51" i="21"/>
  <c r="U51" i="21"/>
  <c r="T51" i="21"/>
  <c r="S51" i="21"/>
  <c r="D51" i="21" s="1"/>
  <c r="R51" i="21"/>
  <c r="Q51" i="21"/>
  <c r="P51" i="21"/>
  <c r="O51" i="21"/>
  <c r="AM51" i="21" s="1"/>
  <c r="N51" i="21"/>
  <c r="M51" i="21"/>
  <c r="L51" i="21"/>
  <c r="K51" i="21"/>
  <c r="J51" i="21"/>
  <c r="I51" i="21"/>
  <c r="H51" i="21"/>
  <c r="G51" i="21"/>
  <c r="F51" i="21"/>
  <c r="E51" i="21"/>
  <c r="AJ50" i="21"/>
  <c r="AI50" i="21"/>
  <c r="AH50" i="21"/>
  <c r="AM50" i="21" s="1"/>
  <c r="AG50" i="21"/>
  <c r="AF50" i="21"/>
  <c r="AE50" i="21"/>
  <c r="AD50" i="21"/>
  <c r="AC50" i="21"/>
  <c r="AB50" i="21"/>
  <c r="AA50" i="21"/>
  <c r="Z50" i="21"/>
  <c r="Y50" i="21"/>
  <c r="X50" i="21"/>
  <c r="W50" i="21"/>
  <c r="V50" i="21"/>
  <c r="U50" i="21"/>
  <c r="T50" i="21"/>
  <c r="S50" i="21"/>
  <c r="R50" i="21"/>
  <c r="Q50" i="21"/>
  <c r="P50" i="21"/>
  <c r="O50" i="21"/>
  <c r="N50" i="21"/>
  <c r="M50" i="21"/>
  <c r="L50" i="21"/>
  <c r="K50" i="21"/>
  <c r="J50" i="21"/>
  <c r="I50" i="21"/>
  <c r="H50" i="21"/>
  <c r="G50" i="21"/>
  <c r="F50" i="21"/>
  <c r="E50" i="21"/>
  <c r="AJ49" i="21"/>
  <c r="AI49" i="21"/>
  <c r="AH49" i="21"/>
  <c r="AM49" i="21" s="1"/>
  <c r="AG49" i="21"/>
  <c r="AF49" i="21"/>
  <c r="AE49" i="21"/>
  <c r="AD49" i="21"/>
  <c r="AC49" i="21"/>
  <c r="AB49" i="21"/>
  <c r="AA49" i="21"/>
  <c r="Z49" i="21"/>
  <c r="Y49" i="21"/>
  <c r="X49" i="21"/>
  <c r="W49" i="21"/>
  <c r="V49" i="21"/>
  <c r="U49" i="21"/>
  <c r="T49" i="21"/>
  <c r="S49" i="21"/>
  <c r="R49" i="21"/>
  <c r="Q49" i="21"/>
  <c r="P49" i="21"/>
  <c r="O49" i="21"/>
  <c r="N49" i="21"/>
  <c r="M49" i="21"/>
  <c r="L49" i="21"/>
  <c r="K49" i="21"/>
  <c r="J49" i="21"/>
  <c r="I49" i="21"/>
  <c r="H49" i="21"/>
  <c r="G49" i="21"/>
  <c r="F49" i="21"/>
  <c r="E49" i="21"/>
  <c r="AJ48" i="21"/>
  <c r="AI48" i="21"/>
  <c r="AH48" i="21"/>
  <c r="AG48" i="21"/>
  <c r="AF48" i="21"/>
  <c r="AE48" i="21"/>
  <c r="AD48" i="21"/>
  <c r="AC48" i="21"/>
  <c r="AB48" i="21"/>
  <c r="AA48" i="21"/>
  <c r="Z48" i="21"/>
  <c r="Y48" i="21"/>
  <c r="X48" i="21"/>
  <c r="W48" i="21"/>
  <c r="V48" i="21"/>
  <c r="U48" i="21"/>
  <c r="T48" i="21"/>
  <c r="S48" i="21"/>
  <c r="C48" i="21" s="1"/>
  <c r="R48" i="21"/>
  <c r="Q48" i="21"/>
  <c r="P48" i="21"/>
  <c r="O48" i="21"/>
  <c r="AM48" i="21" s="1"/>
  <c r="N48" i="21"/>
  <c r="M48" i="21"/>
  <c r="L48" i="21"/>
  <c r="K48" i="21"/>
  <c r="J48" i="21"/>
  <c r="I48" i="21"/>
  <c r="H48" i="21"/>
  <c r="G48" i="21"/>
  <c r="F48" i="21"/>
  <c r="E48" i="21"/>
  <c r="AJ47" i="21"/>
  <c r="AI47" i="21"/>
  <c r="AH47" i="21"/>
  <c r="AG47" i="21"/>
  <c r="AF47" i="21"/>
  <c r="AE47" i="21"/>
  <c r="AD47" i="21"/>
  <c r="AC47" i="21"/>
  <c r="AB47" i="21"/>
  <c r="AA47" i="21"/>
  <c r="Z47" i="21"/>
  <c r="Y47" i="21"/>
  <c r="X47" i="21"/>
  <c r="W47" i="21"/>
  <c r="V47" i="21"/>
  <c r="U47" i="21"/>
  <c r="T47" i="21"/>
  <c r="S47" i="21"/>
  <c r="D47" i="21" s="1"/>
  <c r="R47" i="21"/>
  <c r="Q47" i="21"/>
  <c r="P47" i="21"/>
  <c r="O47" i="21"/>
  <c r="AM47" i="21" s="1"/>
  <c r="N47" i="21"/>
  <c r="M47" i="21"/>
  <c r="L47" i="21"/>
  <c r="K47" i="21"/>
  <c r="J47" i="21"/>
  <c r="I47" i="21"/>
  <c r="H47" i="21"/>
  <c r="G47" i="21"/>
  <c r="F47" i="21"/>
  <c r="E47" i="21"/>
  <c r="AJ46" i="21"/>
  <c r="AI46" i="21"/>
  <c r="AH46" i="21"/>
  <c r="AM46" i="21" s="1"/>
  <c r="AG46" i="21"/>
  <c r="AF46" i="21"/>
  <c r="AE46" i="21"/>
  <c r="AD46" i="21"/>
  <c r="AC46" i="21"/>
  <c r="AB46" i="21"/>
  <c r="AA46" i="21"/>
  <c r="Z46" i="21"/>
  <c r="Y46" i="21"/>
  <c r="X46" i="21"/>
  <c r="W46" i="21"/>
  <c r="V46" i="21"/>
  <c r="U46" i="21"/>
  <c r="T46" i="21"/>
  <c r="S46" i="21"/>
  <c r="R46" i="21"/>
  <c r="Q46" i="21"/>
  <c r="P46" i="21"/>
  <c r="O46" i="21"/>
  <c r="N46" i="21"/>
  <c r="M46" i="21"/>
  <c r="L46" i="21"/>
  <c r="K46" i="21"/>
  <c r="J46" i="21"/>
  <c r="I46" i="21"/>
  <c r="H46" i="21"/>
  <c r="G46" i="21"/>
  <c r="F46" i="21"/>
  <c r="E46" i="21"/>
  <c r="AJ45" i="21"/>
  <c r="AI45" i="21"/>
  <c r="AH45" i="21"/>
  <c r="AM45" i="21" s="1"/>
  <c r="AG45" i="21"/>
  <c r="AF45" i="21"/>
  <c r="AE45" i="21"/>
  <c r="AD45" i="21"/>
  <c r="AC45" i="21"/>
  <c r="AB45" i="21"/>
  <c r="AA45" i="21"/>
  <c r="Z45" i="21"/>
  <c r="Y45" i="21"/>
  <c r="X45" i="21"/>
  <c r="W45" i="21"/>
  <c r="V45" i="21"/>
  <c r="U45" i="21"/>
  <c r="T45" i="21"/>
  <c r="S45" i="21"/>
  <c r="R45" i="21"/>
  <c r="Q45" i="21"/>
  <c r="P45" i="21"/>
  <c r="O45" i="21"/>
  <c r="N45" i="21"/>
  <c r="M45" i="21"/>
  <c r="L45" i="21"/>
  <c r="K45" i="21"/>
  <c r="J45" i="21"/>
  <c r="I45" i="21"/>
  <c r="H45" i="21"/>
  <c r="G45" i="21"/>
  <c r="F45" i="21"/>
  <c r="E45" i="21"/>
  <c r="AJ44" i="21"/>
  <c r="AI44" i="21"/>
  <c r="AH44" i="21"/>
  <c r="AG44" i="21"/>
  <c r="AF44" i="21"/>
  <c r="AE44" i="21"/>
  <c r="AD44" i="21"/>
  <c r="AC44" i="21"/>
  <c r="AB44" i="21"/>
  <c r="AA44" i="21"/>
  <c r="Z44" i="21"/>
  <c r="Y44" i="21"/>
  <c r="X44" i="21"/>
  <c r="W44" i="21"/>
  <c r="V44" i="21"/>
  <c r="U44" i="21"/>
  <c r="T44" i="21"/>
  <c r="S44" i="21"/>
  <c r="C44" i="21" s="1"/>
  <c r="R44" i="21"/>
  <c r="Q44" i="21"/>
  <c r="P44" i="21"/>
  <c r="O44" i="21"/>
  <c r="AM44" i="21" s="1"/>
  <c r="N44" i="21"/>
  <c r="M44" i="21"/>
  <c r="L44" i="21"/>
  <c r="K44" i="21"/>
  <c r="J44" i="21"/>
  <c r="I44" i="21"/>
  <c r="H44" i="21"/>
  <c r="G44" i="21"/>
  <c r="F44" i="21"/>
  <c r="E44" i="21"/>
  <c r="AJ43" i="21"/>
  <c r="AI43" i="21"/>
  <c r="AH43" i="21"/>
  <c r="AG43" i="21"/>
  <c r="AF43" i="21"/>
  <c r="AE43" i="21"/>
  <c r="AD43" i="21"/>
  <c r="AC43" i="21"/>
  <c r="AB43" i="21"/>
  <c r="AA43" i="21"/>
  <c r="Z43" i="21"/>
  <c r="Y43" i="21"/>
  <c r="X43" i="21"/>
  <c r="W43" i="21"/>
  <c r="V43" i="21"/>
  <c r="U43" i="21"/>
  <c r="T43" i="21"/>
  <c r="S43" i="21"/>
  <c r="D43" i="21" s="1"/>
  <c r="R43" i="21"/>
  <c r="Q43" i="21"/>
  <c r="P43" i="21"/>
  <c r="O43" i="21"/>
  <c r="AM43" i="21" s="1"/>
  <c r="N43" i="21"/>
  <c r="M43" i="21"/>
  <c r="L43" i="21"/>
  <c r="K43" i="21"/>
  <c r="J43" i="21"/>
  <c r="I43" i="21"/>
  <c r="H43" i="21"/>
  <c r="G43" i="21"/>
  <c r="F43" i="21"/>
  <c r="E43" i="21"/>
  <c r="AJ42" i="21"/>
  <c r="AI42" i="21"/>
  <c r="AH42" i="21"/>
  <c r="AM42" i="21" s="1"/>
  <c r="AG42" i="21"/>
  <c r="AF42" i="21"/>
  <c r="AE42" i="21"/>
  <c r="AD42" i="21"/>
  <c r="AC42" i="21"/>
  <c r="AB42" i="21"/>
  <c r="AA42" i="21"/>
  <c r="Z42" i="21"/>
  <c r="Y42" i="21"/>
  <c r="X42" i="21"/>
  <c r="W42" i="21"/>
  <c r="V42" i="21"/>
  <c r="U42" i="21"/>
  <c r="T42" i="21"/>
  <c r="S42" i="21"/>
  <c r="R42" i="21"/>
  <c r="Q42" i="21"/>
  <c r="P42" i="21"/>
  <c r="O42" i="21"/>
  <c r="N42" i="21"/>
  <c r="M42" i="21"/>
  <c r="L42" i="21"/>
  <c r="K42" i="21"/>
  <c r="J42" i="21"/>
  <c r="I42" i="21"/>
  <c r="H42" i="21"/>
  <c r="G42" i="21"/>
  <c r="F42" i="21"/>
  <c r="E42" i="21"/>
  <c r="AJ41" i="21"/>
  <c r="AI41" i="21"/>
  <c r="AH41" i="21"/>
  <c r="AG41" i="21"/>
  <c r="AF41" i="21"/>
  <c r="AE41" i="21"/>
  <c r="AD41" i="21"/>
  <c r="AC41" i="21"/>
  <c r="AB41" i="21"/>
  <c r="AA41" i="21"/>
  <c r="Z41" i="21"/>
  <c r="Y41" i="21"/>
  <c r="X41" i="21"/>
  <c r="W41" i="21"/>
  <c r="V41" i="21"/>
  <c r="U41" i="21"/>
  <c r="T41" i="21"/>
  <c r="S41" i="21"/>
  <c r="D41" i="21" s="1"/>
  <c r="R41" i="21"/>
  <c r="Q41" i="21"/>
  <c r="P41" i="21"/>
  <c r="O41" i="21"/>
  <c r="AM41" i="21" s="1"/>
  <c r="N41" i="21"/>
  <c r="M41" i="21"/>
  <c r="L41" i="21"/>
  <c r="K41" i="21"/>
  <c r="J41" i="21"/>
  <c r="I41" i="21"/>
  <c r="H41" i="21"/>
  <c r="G41" i="21"/>
  <c r="F41" i="21"/>
  <c r="E41" i="21"/>
  <c r="AJ40" i="21"/>
  <c r="AI40" i="21"/>
  <c r="AH40" i="21"/>
  <c r="AM40" i="21" s="1"/>
  <c r="AG40" i="21"/>
  <c r="AF40" i="21"/>
  <c r="AE40" i="21"/>
  <c r="AD40" i="21"/>
  <c r="AC40" i="21"/>
  <c r="AB40" i="21"/>
  <c r="AA40" i="21"/>
  <c r="Z40" i="21"/>
  <c r="Y40" i="21"/>
  <c r="X40" i="21"/>
  <c r="W40" i="21"/>
  <c r="V40" i="21"/>
  <c r="U40" i="21"/>
  <c r="T40" i="21"/>
  <c r="S40" i="21"/>
  <c r="R40" i="21"/>
  <c r="Q40" i="21"/>
  <c r="P40" i="21"/>
  <c r="O40" i="21"/>
  <c r="N40" i="21"/>
  <c r="M40" i="21"/>
  <c r="L40" i="21"/>
  <c r="K40" i="21"/>
  <c r="J40" i="21"/>
  <c r="I40" i="21"/>
  <c r="H40" i="21"/>
  <c r="G40" i="21"/>
  <c r="F40" i="21"/>
  <c r="E40" i="21"/>
  <c r="AJ39" i="21"/>
  <c r="AI39" i="21"/>
  <c r="AH39" i="21"/>
  <c r="AG39" i="21"/>
  <c r="AF39" i="21"/>
  <c r="AE39" i="21"/>
  <c r="AD39" i="21"/>
  <c r="AC39" i="21"/>
  <c r="AB39" i="21"/>
  <c r="AA39" i="21"/>
  <c r="Z39" i="21"/>
  <c r="Y39" i="21"/>
  <c r="X39" i="21"/>
  <c r="W39" i="21"/>
  <c r="V39" i="21"/>
  <c r="U39" i="21"/>
  <c r="T39" i="21"/>
  <c r="S39" i="21"/>
  <c r="D39" i="21" s="1"/>
  <c r="R39" i="21"/>
  <c r="Q39" i="21"/>
  <c r="P39" i="21"/>
  <c r="O39" i="21"/>
  <c r="AM39" i="21" s="1"/>
  <c r="N39" i="21"/>
  <c r="M39" i="21"/>
  <c r="L39" i="21"/>
  <c r="K39" i="21"/>
  <c r="J39" i="21"/>
  <c r="I39" i="21"/>
  <c r="H39" i="21"/>
  <c r="G39" i="21"/>
  <c r="F39" i="21"/>
  <c r="E39" i="21"/>
  <c r="AJ38" i="21"/>
  <c r="AI38" i="21"/>
  <c r="AH38" i="21"/>
  <c r="AG38" i="21"/>
  <c r="AF38" i="21"/>
  <c r="AE38" i="21"/>
  <c r="AD38" i="21"/>
  <c r="AC38" i="21"/>
  <c r="AB38" i="21"/>
  <c r="AA38" i="21"/>
  <c r="Z38" i="21"/>
  <c r="Y38" i="21"/>
  <c r="X38" i="21"/>
  <c r="W38" i="21"/>
  <c r="V38" i="21"/>
  <c r="U38" i="21"/>
  <c r="T38" i="21"/>
  <c r="S38" i="21"/>
  <c r="R38" i="21"/>
  <c r="Q38" i="21"/>
  <c r="P38" i="21"/>
  <c r="O38" i="21"/>
  <c r="N38" i="21"/>
  <c r="M38" i="21"/>
  <c r="L38" i="21"/>
  <c r="K38" i="21"/>
  <c r="J38" i="21"/>
  <c r="I38" i="21"/>
  <c r="H38" i="21"/>
  <c r="G38" i="21"/>
  <c r="F38" i="21"/>
  <c r="E38" i="21"/>
  <c r="AJ37" i="21"/>
  <c r="AI37" i="21"/>
  <c r="AH37" i="21"/>
  <c r="AG37" i="21"/>
  <c r="AF37" i="21"/>
  <c r="AE37" i="21"/>
  <c r="AD37" i="21"/>
  <c r="AC37" i="21"/>
  <c r="AB37" i="21"/>
  <c r="AA37" i="21"/>
  <c r="Z37" i="21"/>
  <c r="Y37" i="21"/>
  <c r="X37" i="21"/>
  <c r="W37" i="21"/>
  <c r="V37" i="21"/>
  <c r="U37" i="21"/>
  <c r="T37" i="21"/>
  <c r="S37" i="21"/>
  <c r="D37" i="21" s="1"/>
  <c r="R37" i="21"/>
  <c r="Q37" i="21"/>
  <c r="P37" i="21"/>
  <c r="O37" i="21"/>
  <c r="AM37" i="21" s="1"/>
  <c r="N37" i="21"/>
  <c r="M37" i="21"/>
  <c r="L37" i="21"/>
  <c r="K37" i="21"/>
  <c r="J37" i="21"/>
  <c r="I37" i="21"/>
  <c r="H37" i="21"/>
  <c r="G37" i="21"/>
  <c r="F37" i="21"/>
  <c r="E37" i="21"/>
  <c r="AJ36" i="21"/>
  <c r="AI36" i="21"/>
  <c r="AH36" i="21"/>
  <c r="AG36" i="21"/>
  <c r="AF36" i="21"/>
  <c r="AE36" i="21"/>
  <c r="AD36" i="21"/>
  <c r="AC36" i="21"/>
  <c r="AB36" i="21"/>
  <c r="AA36" i="21"/>
  <c r="Z36" i="21"/>
  <c r="Y36" i="21"/>
  <c r="X36" i="21"/>
  <c r="W36" i="21"/>
  <c r="V36" i="21"/>
  <c r="U36" i="21"/>
  <c r="T36" i="21"/>
  <c r="S36" i="21"/>
  <c r="AL36" i="21" s="1"/>
  <c r="R36" i="21"/>
  <c r="Q36" i="21"/>
  <c r="P36" i="21"/>
  <c r="O36" i="21"/>
  <c r="N36" i="21"/>
  <c r="M36" i="21"/>
  <c r="L36" i="21"/>
  <c r="K36" i="21"/>
  <c r="J36" i="21"/>
  <c r="I36" i="21"/>
  <c r="H36" i="21"/>
  <c r="G36" i="21"/>
  <c r="F36" i="21"/>
  <c r="E36" i="21"/>
  <c r="AJ35" i="21"/>
  <c r="AI35" i="21"/>
  <c r="AH35" i="21"/>
  <c r="AG35" i="21"/>
  <c r="AF35" i="21"/>
  <c r="AE35" i="21"/>
  <c r="AD35" i="21"/>
  <c r="AC35" i="21"/>
  <c r="AB35" i="21"/>
  <c r="AA35" i="21"/>
  <c r="Z35" i="21"/>
  <c r="Y35" i="21"/>
  <c r="X35" i="21"/>
  <c r="W35" i="21"/>
  <c r="V35" i="21"/>
  <c r="U35" i="21"/>
  <c r="T35" i="21"/>
  <c r="S35" i="21"/>
  <c r="D35" i="21" s="1"/>
  <c r="R35" i="21"/>
  <c r="Q35" i="21"/>
  <c r="P35" i="21"/>
  <c r="O35" i="21"/>
  <c r="AM35" i="21" s="1"/>
  <c r="N35" i="21"/>
  <c r="M35" i="21"/>
  <c r="L35" i="21"/>
  <c r="K35" i="21"/>
  <c r="J35" i="21"/>
  <c r="I35" i="21"/>
  <c r="H35" i="21"/>
  <c r="G35" i="21"/>
  <c r="F35" i="21"/>
  <c r="E35" i="21"/>
  <c r="AJ34" i="21"/>
  <c r="AI34" i="21"/>
  <c r="AH34" i="21"/>
  <c r="AG34" i="21"/>
  <c r="AF34" i="21"/>
  <c r="AE34" i="21"/>
  <c r="AD34" i="21"/>
  <c r="AC34" i="21"/>
  <c r="AB34" i="21"/>
  <c r="AA34" i="21"/>
  <c r="Z34" i="21"/>
  <c r="Y34" i="21"/>
  <c r="X34" i="21"/>
  <c r="W34" i="21"/>
  <c r="V34" i="21"/>
  <c r="U34" i="21"/>
  <c r="T34" i="21"/>
  <c r="S34" i="21"/>
  <c r="R34" i="21"/>
  <c r="Q34" i="21"/>
  <c r="P34" i="21"/>
  <c r="O34" i="21"/>
  <c r="N34" i="21"/>
  <c r="M34" i="21"/>
  <c r="L34" i="21"/>
  <c r="K34" i="21"/>
  <c r="J34" i="21"/>
  <c r="I34" i="21"/>
  <c r="H34" i="21"/>
  <c r="G34" i="21"/>
  <c r="F34" i="21"/>
  <c r="E34" i="21"/>
  <c r="AJ33" i="21"/>
  <c r="AI33" i="21"/>
  <c r="AH33" i="21"/>
  <c r="AG33" i="21"/>
  <c r="AF33" i="21"/>
  <c r="AE33" i="21"/>
  <c r="AD33" i="21"/>
  <c r="AC33" i="21"/>
  <c r="AB33" i="21"/>
  <c r="AA33" i="21"/>
  <c r="Z33" i="21"/>
  <c r="Y33" i="21"/>
  <c r="X33" i="21"/>
  <c r="W33" i="21"/>
  <c r="V33" i="21"/>
  <c r="U33" i="21"/>
  <c r="T33" i="21"/>
  <c r="S33" i="21"/>
  <c r="D33" i="21" s="1"/>
  <c r="R33" i="21"/>
  <c r="Q33" i="21"/>
  <c r="P33" i="21"/>
  <c r="O33" i="21"/>
  <c r="N33" i="21"/>
  <c r="M33" i="21"/>
  <c r="L33" i="21"/>
  <c r="K33" i="21"/>
  <c r="J33" i="21"/>
  <c r="I33" i="21"/>
  <c r="H33" i="21"/>
  <c r="G33" i="21"/>
  <c r="F33" i="21"/>
  <c r="E33" i="21"/>
  <c r="AJ32" i="21"/>
  <c r="AI32" i="21"/>
  <c r="AH32" i="21"/>
  <c r="AG32" i="21"/>
  <c r="AF32" i="21"/>
  <c r="AE32" i="21"/>
  <c r="AD32" i="21"/>
  <c r="AC32" i="21"/>
  <c r="AB32" i="21"/>
  <c r="AA32" i="21"/>
  <c r="Z32" i="21"/>
  <c r="Y32" i="21"/>
  <c r="X32" i="21"/>
  <c r="W32" i="21"/>
  <c r="V32" i="21"/>
  <c r="U32" i="21"/>
  <c r="T32" i="21"/>
  <c r="S32" i="21"/>
  <c r="R32" i="21"/>
  <c r="Q32" i="21"/>
  <c r="P32" i="21"/>
  <c r="O32" i="21"/>
  <c r="N32" i="21"/>
  <c r="M32" i="21"/>
  <c r="L32" i="21"/>
  <c r="K32" i="21"/>
  <c r="J32" i="21"/>
  <c r="I32" i="21"/>
  <c r="H32" i="21"/>
  <c r="G32" i="21"/>
  <c r="F32" i="21"/>
  <c r="E32" i="21"/>
  <c r="AJ31" i="21"/>
  <c r="AI31" i="21"/>
  <c r="AH31" i="21"/>
  <c r="AG31" i="21"/>
  <c r="AF31" i="21"/>
  <c r="AE31" i="21"/>
  <c r="AD31" i="21"/>
  <c r="AC31" i="21"/>
  <c r="AB31" i="21"/>
  <c r="AA31" i="21"/>
  <c r="Z31" i="21"/>
  <c r="Y31" i="21"/>
  <c r="X31" i="21"/>
  <c r="W31" i="21"/>
  <c r="V31" i="21"/>
  <c r="U31" i="21"/>
  <c r="T31" i="21"/>
  <c r="S31" i="21"/>
  <c r="D31" i="21" s="1"/>
  <c r="R31" i="21"/>
  <c r="Q31" i="21"/>
  <c r="P31" i="21"/>
  <c r="O31" i="21"/>
  <c r="AM31" i="21" s="1"/>
  <c r="N31" i="21"/>
  <c r="M31" i="21"/>
  <c r="L31" i="21"/>
  <c r="K31" i="21"/>
  <c r="J31" i="21"/>
  <c r="I31" i="21"/>
  <c r="H31" i="21"/>
  <c r="G31" i="21"/>
  <c r="F31" i="21"/>
  <c r="E31" i="21"/>
  <c r="AJ30" i="21"/>
  <c r="AI30" i="21"/>
  <c r="AH30" i="21"/>
  <c r="AG30" i="21"/>
  <c r="AF30" i="21"/>
  <c r="AE30" i="21"/>
  <c r="AD30" i="21"/>
  <c r="AC30" i="21"/>
  <c r="AB30" i="21"/>
  <c r="AA30" i="21"/>
  <c r="Z30" i="21"/>
  <c r="Y30" i="21"/>
  <c r="X30" i="21"/>
  <c r="W30" i="21"/>
  <c r="V30" i="21"/>
  <c r="U30" i="21"/>
  <c r="T30" i="21"/>
  <c r="S30" i="21"/>
  <c r="R30" i="21"/>
  <c r="Q30" i="21"/>
  <c r="P30" i="21"/>
  <c r="O30" i="21"/>
  <c r="N30" i="21"/>
  <c r="M30" i="21"/>
  <c r="L30" i="21"/>
  <c r="K30" i="21"/>
  <c r="J30" i="21"/>
  <c r="I30" i="21"/>
  <c r="H30" i="21"/>
  <c r="G30" i="21"/>
  <c r="F30" i="21"/>
  <c r="E30" i="21"/>
  <c r="AM29" i="21"/>
  <c r="AJ29" i="21"/>
  <c r="AI29" i="21"/>
  <c r="AH29" i="21"/>
  <c r="AG29" i="21"/>
  <c r="AF29" i="21"/>
  <c r="AE29" i="21"/>
  <c r="AD29" i="21"/>
  <c r="AC29" i="21"/>
  <c r="AB29" i="21"/>
  <c r="AA29" i="21"/>
  <c r="Z29" i="21"/>
  <c r="Y29" i="21"/>
  <c r="X29" i="21"/>
  <c r="W29" i="21"/>
  <c r="V29" i="21"/>
  <c r="U29" i="21"/>
  <c r="T29" i="21"/>
  <c r="S29" i="21"/>
  <c r="D29" i="21" s="1"/>
  <c r="R29" i="21"/>
  <c r="Q29" i="21"/>
  <c r="P29" i="21"/>
  <c r="O29" i="21"/>
  <c r="N29" i="21"/>
  <c r="M29" i="21"/>
  <c r="L29" i="21"/>
  <c r="K29" i="21"/>
  <c r="J29" i="21"/>
  <c r="I29" i="21"/>
  <c r="H29" i="21"/>
  <c r="G29" i="21"/>
  <c r="F29" i="21"/>
  <c r="E29" i="21"/>
  <c r="AJ28" i="21"/>
  <c r="AI28" i="21"/>
  <c r="AH28" i="21"/>
  <c r="AG28" i="21"/>
  <c r="AF28" i="21"/>
  <c r="AE28" i="21"/>
  <c r="AD28" i="21"/>
  <c r="AC28" i="21"/>
  <c r="AB28" i="21"/>
  <c r="AA28" i="21"/>
  <c r="Z28" i="21"/>
  <c r="Y28" i="21"/>
  <c r="X28" i="21"/>
  <c r="W28" i="21"/>
  <c r="V28" i="21"/>
  <c r="U28" i="21"/>
  <c r="T28" i="21"/>
  <c r="S28" i="21"/>
  <c r="R28" i="21"/>
  <c r="Q28" i="21"/>
  <c r="P28" i="21"/>
  <c r="O28" i="21"/>
  <c r="N28" i="21"/>
  <c r="M28" i="21"/>
  <c r="L28" i="21"/>
  <c r="K28" i="21"/>
  <c r="J28" i="21"/>
  <c r="I28" i="21"/>
  <c r="H28" i="21"/>
  <c r="G28" i="21"/>
  <c r="F28" i="21"/>
  <c r="E28" i="21"/>
  <c r="AJ27" i="21"/>
  <c r="AI27" i="21"/>
  <c r="AH27" i="21"/>
  <c r="AG27" i="21"/>
  <c r="AF27" i="21"/>
  <c r="AE27" i="21"/>
  <c r="AD27" i="21"/>
  <c r="AC27" i="21"/>
  <c r="AB27" i="21"/>
  <c r="AA27" i="21"/>
  <c r="Z27" i="21"/>
  <c r="Y27" i="21"/>
  <c r="X27" i="21"/>
  <c r="W27" i="21"/>
  <c r="V27" i="21"/>
  <c r="U27" i="21"/>
  <c r="T27" i="21"/>
  <c r="S27" i="21"/>
  <c r="D27" i="21" s="1"/>
  <c r="R27" i="21"/>
  <c r="Q27" i="21"/>
  <c r="P27" i="21"/>
  <c r="O27" i="21"/>
  <c r="N27" i="21"/>
  <c r="M27" i="21"/>
  <c r="L27" i="21"/>
  <c r="K27" i="21"/>
  <c r="J27" i="21"/>
  <c r="I27" i="21"/>
  <c r="H27" i="21"/>
  <c r="G27" i="21"/>
  <c r="F27" i="21"/>
  <c r="E27" i="21"/>
  <c r="AJ26" i="21"/>
  <c r="AI26" i="21"/>
  <c r="AH26" i="21"/>
  <c r="AG26" i="21"/>
  <c r="AF26" i="21"/>
  <c r="AE26" i="21"/>
  <c r="AD26" i="21"/>
  <c r="AC26" i="21"/>
  <c r="AB26" i="21"/>
  <c r="AA26" i="21"/>
  <c r="Z26" i="21"/>
  <c r="Y26" i="21"/>
  <c r="X26" i="21"/>
  <c r="W26" i="21"/>
  <c r="V26" i="21"/>
  <c r="U26" i="21"/>
  <c r="T26" i="21"/>
  <c r="S26" i="21"/>
  <c r="D26" i="21" s="1"/>
  <c r="R26" i="21"/>
  <c r="Q26" i="21"/>
  <c r="P26" i="21"/>
  <c r="O26" i="21"/>
  <c r="N26" i="21"/>
  <c r="M26" i="21"/>
  <c r="L26" i="21"/>
  <c r="K26" i="21"/>
  <c r="J26" i="21"/>
  <c r="I26" i="21"/>
  <c r="H26" i="21"/>
  <c r="G26" i="21"/>
  <c r="F26" i="21"/>
  <c r="E26" i="21"/>
  <c r="AM26" i="21" s="1"/>
  <c r="AJ25" i="21"/>
  <c r="AI25" i="21"/>
  <c r="AH25" i="21"/>
  <c r="AM25" i="21" s="1"/>
  <c r="AG25" i="21"/>
  <c r="AF25" i="21"/>
  <c r="AE25" i="21"/>
  <c r="AD25" i="21"/>
  <c r="AC25" i="21"/>
  <c r="AB25" i="21"/>
  <c r="AA25" i="21"/>
  <c r="Z25" i="21"/>
  <c r="Y25" i="21"/>
  <c r="X25" i="21"/>
  <c r="W25" i="21"/>
  <c r="V25" i="21"/>
  <c r="U25" i="21"/>
  <c r="T25" i="21"/>
  <c r="S25" i="21"/>
  <c r="R25" i="21"/>
  <c r="Q25" i="21"/>
  <c r="P25" i="21"/>
  <c r="O25" i="21"/>
  <c r="N25" i="21"/>
  <c r="M25" i="21"/>
  <c r="L25" i="21"/>
  <c r="K25" i="21"/>
  <c r="J25" i="21"/>
  <c r="I25" i="21"/>
  <c r="H25" i="21"/>
  <c r="G25" i="21"/>
  <c r="F25" i="21"/>
  <c r="E25" i="21"/>
  <c r="AJ24" i="21"/>
  <c r="AI24" i="21"/>
  <c r="AH24" i="21"/>
  <c r="AG24" i="21"/>
  <c r="AF24" i="21"/>
  <c r="AE24" i="21"/>
  <c r="AD24" i="21"/>
  <c r="AC24" i="21"/>
  <c r="AB24" i="21"/>
  <c r="AA24" i="21"/>
  <c r="Z24" i="21"/>
  <c r="Y24" i="21"/>
  <c r="X24" i="21"/>
  <c r="W24" i="21"/>
  <c r="V24" i="21"/>
  <c r="U24" i="21"/>
  <c r="T24" i="21"/>
  <c r="S24" i="21"/>
  <c r="D24" i="21" s="1"/>
  <c r="R24" i="21"/>
  <c r="Q24" i="21"/>
  <c r="P24" i="21"/>
  <c r="O24" i="21"/>
  <c r="N24" i="21"/>
  <c r="M24" i="21"/>
  <c r="L24" i="21"/>
  <c r="K24" i="21"/>
  <c r="J24" i="21"/>
  <c r="I24" i="21"/>
  <c r="H24" i="21"/>
  <c r="G24" i="21"/>
  <c r="F24" i="21"/>
  <c r="E24" i="21"/>
  <c r="AJ23" i="21"/>
  <c r="AI23" i="21"/>
  <c r="AH23" i="21"/>
  <c r="AM23" i="21" s="1"/>
  <c r="AG23" i="21"/>
  <c r="AF23" i="21"/>
  <c r="AE23" i="21"/>
  <c r="AD23" i="21"/>
  <c r="AC23" i="21"/>
  <c r="AB23" i="21"/>
  <c r="AA23" i="21"/>
  <c r="Z23" i="21"/>
  <c r="Y23" i="21"/>
  <c r="X23" i="21"/>
  <c r="W23" i="21"/>
  <c r="V23" i="21"/>
  <c r="U23" i="21"/>
  <c r="T23" i="21"/>
  <c r="S23" i="21"/>
  <c r="R23" i="21"/>
  <c r="Q23" i="21"/>
  <c r="P23" i="21"/>
  <c r="O23" i="21"/>
  <c r="N23" i="21"/>
  <c r="M23" i="21"/>
  <c r="L23" i="21"/>
  <c r="K23" i="21"/>
  <c r="J23" i="21"/>
  <c r="I23" i="21"/>
  <c r="D23" i="21" s="1"/>
  <c r="H23" i="21"/>
  <c r="G23" i="21"/>
  <c r="F23" i="21"/>
  <c r="E23" i="21"/>
  <c r="AJ22" i="21"/>
  <c r="AI22" i="21"/>
  <c r="AH22" i="21"/>
  <c r="AG22" i="21"/>
  <c r="AF22" i="21"/>
  <c r="AE22" i="21"/>
  <c r="AD22" i="21"/>
  <c r="AC22" i="21"/>
  <c r="C22" i="21" s="1"/>
  <c r="AB22" i="21"/>
  <c r="AA22" i="21"/>
  <c r="Z22" i="21"/>
  <c r="Y22" i="21"/>
  <c r="X22" i="21"/>
  <c r="W22" i="21"/>
  <c r="V22" i="21"/>
  <c r="U22" i="21"/>
  <c r="T22" i="21"/>
  <c r="S22" i="21"/>
  <c r="D22" i="21" s="1"/>
  <c r="R22" i="21"/>
  <c r="Q22" i="21"/>
  <c r="P22" i="21"/>
  <c r="O22" i="21"/>
  <c r="N22" i="21"/>
  <c r="M22" i="21"/>
  <c r="L22" i="21"/>
  <c r="K22" i="21"/>
  <c r="J22" i="21"/>
  <c r="I22" i="21"/>
  <c r="H22" i="21"/>
  <c r="G22" i="21"/>
  <c r="F22" i="21"/>
  <c r="E22" i="21"/>
  <c r="AK22" i="21" s="1"/>
  <c r="AJ21" i="21"/>
  <c r="AI21" i="21"/>
  <c r="AH21" i="21"/>
  <c r="AM21" i="21" s="1"/>
  <c r="AG21" i="21"/>
  <c r="AF21" i="21"/>
  <c r="AE21" i="21"/>
  <c r="AD21" i="21"/>
  <c r="AC21" i="21"/>
  <c r="AB21" i="21"/>
  <c r="AA21" i="21"/>
  <c r="Z21" i="21"/>
  <c r="Y21" i="21"/>
  <c r="X21" i="21"/>
  <c r="W21" i="21"/>
  <c r="V21" i="21"/>
  <c r="U21" i="21"/>
  <c r="T21" i="21"/>
  <c r="S21" i="21"/>
  <c r="R21" i="21"/>
  <c r="Q21" i="21"/>
  <c r="P21" i="21"/>
  <c r="O21" i="21"/>
  <c r="N21" i="21"/>
  <c r="M21" i="21"/>
  <c r="L21" i="21"/>
  <c r="K21" i="21"/>
  <c r="J21" i="21"/>
  <c r="I21" i="21"/>
  <c r="D21" i="21" s="1"/>
  <c r="H21" i="21"/>
  <c r="G21" i="21"/>
  <c r="F21" i="21"/>
  <c r="E21" i="21"/>
  <c r="AJ20" i="21"/>
  <c r="AI20" i="21"/>
  <c r="AH20" i="21"/>
  <c r="AG20" i="21"/>
  <c r="AF20" i="21"/>
  <c r="AE20" i="21"/>
  <c r="AD20" i="21"/>
  <c r="AC20" i="21"/>
  <c r="C20" i="21" s="1"/>
  <c r="AB20" i="21"/>
  <c r="AA20" i="21"/>
  <c r="Z20" i="21"/>
  <c r="Y20" i="21"/>
  <c r="X20" i="21"/>
  <c r="W20" i="21"/>
  <c r="V20" i="21"/>
  <c r="U20" i="21"/>
  <c r="T20" i="21"/>
  <c r="S20" i="21"/>
  <c r="D20" i="21" s="1"/>
  <c r="R20" i="21"/>
  <c r="Q20" i="21"/>
  <c r="P20" i="21"/>
  <c r="O20" i="21"/>
  <c r="N20" i="21"/>
  <c r="M20" i="21"/>
  <c r="L20" i="21"/>
  <c r="K20" i="21"/>
  <c r="J20" i="21"/>
  <c r="I20" i="21"/>
  <c r="H20" i="21"/>
  <c r="G20" i="21"/>
  <c r="F20" i="21"/>
  <c r="E20" i="21"/>
  <c r="AK20" i="21" s="1"/>
  <c r="AJ19" i="21"/>
  <c r="AI19" i="21"/>
  <c r="AH19" i="21"/>
  <c r="AM19" i="21" s="1"/>
  <c r="AG19" i="21"/>
  <c r="AF19" i="21"/>
  <c r="AE19" i="21"/>
  <c r="AD19" i="21"/>
  <c r="AC19" i="21"/>
  <c r="AB19" i="21"/>
  <c r="AA19" i="21"/>
  <c r="Z19" i="21"/>
  <c r="Y19" i="21"/>
  <c r="X19" i="21"/>
  <c r="W19" i="21"/>
  <c r="V19" i="21"/>
  <c r="U19" i="21"/>
  <c r="T19" i="21"/>
  <c r="S19" i="21"/>
  <c r="R19" i="21"/>
  <c r="Q19" i="21"/>
  <c r="P19" i="21"/>
  <c r="O19" i="21"/>
  <c r="N19" i="21"/>
  <c r="M19" i="21"/>
  <c r="L19" i="21"/>
  <c r="K19" i="21"/>
  <c r="J19" i="21"/>
  <c r="I19" i="21"/>
  <c r="H19" i="21"/>
  <c r="G19" i="21"/>
  <c r="F19" i="21"/>
  <c r="E19" i="21"/>
  <c r="AJ18" i="21"/>
  <c r="AI18" i="21"/>
  <c r="AH18" i="21"/>
  <c r="AG18" i="21"/>
  <c r="AF18" i="21"/>
  <c r="AE18" i="21"/>
  <c r="AD18" i="21"/>
  <c r="AC18" i="21"/>
  <c r="AB18" i="21"/>
  <c r="AA18" i="21"/>
  <c r="Z18" i="21"/>
  <c r="Y18" i="21"/>
  <c r="X18" i="21"/>
  <c r="W18" i="21"/>
  <c r="V18" i="21"/>
  <c r="U18" i="21"/>
  <c r="T18" i="21"/>
  <c r="S18" i="21"/>
  <c r="D18" i="21" s="1"/>
  <c r="R18" i="21"/>
  <c r="Q18" i="21"/>
  <c r="P18" i="21"/>
  <c r="O18" i="21"/>
  <c r="N18" i="21"/>
  <c r="M18" i="21"/>
  <c r="L18" i="21"/>
  <c r="K18" i="21"/>
  <c r="J18" i="21"/>
  <c r="I18" i="21"/>
  <c r="H18" i="21"/>
  <c r="G18" i="21"/>
  <c r="F18" i="21"/>
  <c r="E18" i="21"/>
  <c r="AJ17" i="21"/>
  <c r="AI17" i="21"/>
  <c r="AH17" i="21"/>
  <c r="AM17" i="21" s="1"/>
  <c r="AG17" i="21"/>
  <c r="AF17" i="21"/>
  <c r="AE17" i="21"/>
  <c r="AD17" i="21"/>
  <c r="AC17" i="21"/>
  <c r="AB17" i="21"/>
  <c r="AA17" i="21"/>
  <c r="Z17" i="21"/>
  <c r="Y17" i="21"/>
  <c r="X17" i="21"/>
  <c r="W17" i="21"/>
  <c r="V17" i="21"/>
  <c r="U17" i="21"/>
  <c r="T17" i="21"/>
  <c r="S17" i="21"/>
  <c r="C17" i="21" s="1"/>
  <c r="R17" i="21"/>
  <c r="Q17" i="21"/>
  <c r="P17" i="21"/>
  <c r="O17" i="21"/>
  <c r="N17" i="21"/>
  <c r="M17" i="21"/>
  <c r="L17" i="21"/>
  <c r="K17" i="21"/>
  <c r="J17" i="21"/>
  <c r="I17" i="21"/>
  <c r="H17" i="21"/>
  <c r="G17" i="21"/>
  <c r="F17" i="21"/>
  <c r="E17" i="21"/>
  <c r="AJ16" i="21"/>
  <c r="AI16" i="21"/>
  <c r="AH16" i="21"/>
  <c r="AG16" i="21"/>
  <c r="AF16" i="21"/>
  <c r="AE16" i="21"/>
  <c r="AD16" i="21"/>
  <c r="AC16" i="21"/>
  <c r="AB16" i="21"/>
  <c r="AA16" i="21"/>
  <c r="Z16" i="21"/>
  <c r="Y16" i="21"/>
  <c r="X16" i="21"/>
  <c r="W16" i="21"/>
  <c r="V16" i="21"/>
  <c r="U16" i="21"/>
  <c r="T16" i="21"/>
  <c r="S16" i="21"/>
  <c r="R16" i="21"/>
  <c r="Q16" i="21"/>
  <c r="P16" i="21"/>
  <c r="O16" i="21"/>
  <c r="N16" i="21"/>
  <c r="M16" i="21"/>
  <c r="L16" i="21"/>
  <c r="K16" i="21"/>
  <c r="J16" i="21"/>
  <c r="I16" i="21"/>
  <c r="H16" i="21"/>
  <c r="G16" i="21"/>
  <c r="F16" i="21"/>
  <c r="E16" i="21"/>
  <c r="AJ15" i="21"/>
  <c r="AI15" i="21"/>
  <c r="AH15" i="21"/>
  <c r="AG15" i="21"/>
  <c r="AF15" i="21"/>
  <c r="AE15" i="21"/>
  <c r="AD15" i="21"/>
  <c r="AC15" i="21"/>
  <c r="AB15" i="21"/>
  <c r="AA15" i="21"/>
  <c r="Z15" i="21"/>
  <c r="Y15" i="21"/>
  <c r="X15" i="21"/>
  <c r="W15" i="21"/>
  <c r="V15" i="21"/>
  <c r="U15" i="21"/>
  <c r="T15" i="21"/>
  <c r="S15" i="21"/>
  <c r="R15" i="21"/>
  <c r="Q15" i="21"/>
  <c r="P15" i="21"/>
  <c r="O15" i="21"/>
  <c r="N15" i="21"/>
  <c r="AM15" i="21" s="1"/>
  <c r="M15" i="21"/>
  <c r="L15" i="21"/>
  <c r="K15" i="21"/>
  <c r="J15" i="21"/>
  <c r="I15" i="21"/>
  <c r="H15" i="21"/>
  <c r="G15" i="21"/>
  <c r="F15" i="21"/>
  <c r="E15" i="21"/>
  <c r="AJ14" i="21"/>
  <c r="AI14" i="21"/>
  <c r="AH14" i="21"/>
  <c r="AG14" i="21"/>
  <c r="AF14" i="21"/>
  <c r="AE14" i="21"/>
  <c r="AD14" i="21"/>
  <c r="AC14" i="21"/>
  <c r="AB14" i="21"/>
  <c r="AA14" i="21"/>
  <c r="Z14" i="21"/>
  <c r="Y14" i="21"/>
  <c r="X14" i="21"/>
  <c r="W14" i="21"/>
  <c r="V14" i="21"/>
  <c r="U14" i="21"/>
  <c r="T14" i="21"/>
  <c r="S14" i="21"/>
  <c r="D14" i="21" s="1"/>
  <c r="R14" i="21"/>
  <c r="Q14" i="21"/>
  <c r="P14" i="21"/>
  <c r="O14" i="21"/>
  <c r="N14" i="21"/>
  <c r="M14" i="21"/>
  <c r="L14" i="21"/>
  <c r="K14" i="21"/>
  <c r="J14" i="21"/>
  <c r="I14" i="21"/>
  <c r="H14" i="21"/>
  <c r="G14" i="21"/>
  <c r="F14" i="21"/>
  <c r="E14" i="21"/>
  <c r="AJ13" i="21"/>
  <c r="AI13" i="21"/>
  <c r="AH13" i="21"/>
  <c r="AG13" i="21"/>
  <c r="AF13" i="21"/>
  <c r="AE13" i="21"/>
  <c r="AD13" i="21"/>
  <c r="AC13" i="21"/>
  <c r="AB13" i="21"/>
  <c r="AA13" i="21"/>
  <c r="Z13" i="21"/>
  <c r="Y13" i="21"/>
  <c r="X13" i="21"/>
  <c r="W13" i="21"/>
  <c r="V13" i="21"/>
  <c r="U13" i="21"/>
  <c r="T13" i="21"/>
  <c r="S13" i="21"/>
  <c r="R13" i="21"/>
  <c r="Q13" i="21"/>
  <c r="P13" i="21"/>
  <c r="O13" i="21"/>
  <c r="N13" i="21"/>
  <c r="M13" i="21"/>
  <c r="L13" i="21"/>
  <c r="K13" i="21"/>
  <c r="J13" i="21"/>
  <c r="I13" i="21"/>
  <c r="H13" i="21"/>
  <c r="G13" i="21"/>
  <c r="F13" i="21"/>
  <c r="E13" i="21"/>
  <c r="AJ12" i="21"/>
  <c r="AI12" i="21"/>
  <c r="AH12" i="21"/>
  <c r="AG12" i="21"/>
  <c r="AF12" i="21"/>
  <c r="AE12" i="21"/>
  <c r="AD12" i="21"/>
  <c r="AC12" i="21"/>
  <c r="AB12" i="21"/>
  <c r="AA12" i="21"/>
  <c r="Z12" i="21"/>
  <c r="Y12" i="21"/>
  <c r="X12" i="21"/>
  <c r="W12" i="21"/>
  <c r="V12" i="21"/>
  <c r="U12" i="21"/>
  <c r="T12" i="21"/>
  <c r="S12" i="21"/>
  <c r="R12" i="21"/>
  <c r="Q12" i="21"/>
  <c r="P12" i="21"/>
  <c r="O12" i="21"/>
  <c r="N12" i="21"/>
  <c r="M12" i="21"/>
  <c r="L12" i="21"/>
  <c r="K12" i="21"/>
  <c r="J12" i="21"/>
  <c r="I12" i="21"/>
  <c r="H12" i="21"/>
  <c r="G12" i="21"/>
  <c r="F12" i="21"/>
  <c r="E12" i="21"/>
  <c r="AM12" i="21" s="1"/>
  <c r="D12" i="21"/>
  <c r="AJ11" i="21"/>
  <c r="AI11" i="21"/>
  <c r="AH11" i="21"/>
  <c r="AM11" i="21" s="1"/>
  <c r="AG11" i="21"/>
  <c r="AF11" i="21"/>
  <c r="AE11" i="21"/>
  <c r="AD11" i="21"/>
  <c r="AC11" i="21"/>
  <c r="AB11" i="21"/>
  <c r="AA11" i="21"/>
  <c r="Z11" i="21"/>
  <c r="Y11" i="21"/>
  <c r="X11" i="21"/>
  <c r="W11" i="21"/>
  <c r="V11" i="21"/>
  <c r="U11" i="21"/>
  <c r="T11" i="21"/>
  <c r="S11" i="21"/>
  <c r="R11" i="21"/>
  <c r="Q11" i="21"/>
  <c r="P11" i="21"/>
  <c r="O11" i="21"/>
  <c r="N11" i="21"/>
  <c r="M11" i="21"/>
  <c r="L11" i="21"/>
  <c r="K11" i="21"/>
  <c r="J11" i="21"/>
  <c r="I11" i="21"/>
  <c r="H11" i="21"/>
  <c r="G11" i="21"/>
  <c r="F11" i="21"/>
  <c r="E11" i="21"/>
  <c r="AJ10" i="21"/>
  <c r="AI10" i="21"/>
  <c r="AH10" i="21"/>
  <c r="AG10" i="21"/>
  <c r="AF10" i="21"/>
  <c r="AE10" i="21"/>
  <c r="AD10" i="21"/>
  <c r="AC10" i="21"/>
  <c r="AB10" i="21"/>
  <c r="AA10" i="21"/>
  <c r="Z10" i="21"/>
  <c r="Y10" i="21"/>
  <c r="X10" i="21"/>
  <c r="W10" i="21"/>
  <c r="V10" i="21"/>
  <c r="U10" i="21"/>
  <c r="T10" i="21"/>
  <c r="S10" i="21"/>
  <c r="R10" i="21"/>
  <c r="Q10" i="21"/>
  <c r="P10" i="21"/>
  <c r="O10" i="21"/>
  <c r="N10" i="21"/>
  <c r="M10" i="21"/>
  <c r="L10" i="21"/>
  <c r="K10" i="21"/>
  <c r="J10" i="21"/>
  <c r="I10" i="21"/>
  <c r="H10" i="21"/>
  <c r="G10" i="21"/>
  <c r="F10" i="21"/>
  <c r="E10" i="21"/>
  <c r="AJ9" i="21"/>
  <c r="AI9" i="21"/>
  <c r="AH9" i="21"/>
  <c r="AM9" i="21" s="1"/>
  <c r="AG9" i="21"/>
  <c r="AF9" i="21"/>
  <c r="AE9" i="21"/>
  <c r="AD9" i="21"/>
  <c r="AC9" i="21"/>
  <c r="AB9" i="21"/>
  <c r="AA9" i="21"/>
  <c r="Z9" i="21"/>
  <c r="Y9" i="21"/>
  <c r="X9" i="21"/>
  <c r="W9" i="21"/>
  <c r="V9" i="21"/>
  <c r="U9" i="21"/>
  <c r="T9" i="21"/>
  <c r="S9" i="21"/>
  <c r="R9" i="21"/>
  <c r="Q9" i="21"/>
  <c r="P9" i="21"/>
  <c r="O9" i="21"/>
  <c r="N9" i="21"/>
  <c r="M9" i="21"/>
  <c r="L9" i="21"/>
  <c r="K9" i="21"/>
  <c r="J9" i="21"/>
  <c r="I9" i="21"/>
  <c r="H9" i="21"/>
  <c r="G9" i="21"/>
  <c r="F9" i="21"/>
  <c r="E9" i="21"/>
  <c r="AJ8" i="21"/>
  <c r="AI8" i="21"/>
  <c r="AH8" i="21"/>
  <c r="AG8" i="21"/>
  <c r="AF8" i="21"/>
  <c r="AE8" i="21"/>
  <c r="AD8" i="21"/>
  <c r="AC8" i="21"/>
  <c r="AB8" i="21"/>
  <c r="AA8" i="21"/>
  <c r="Z8" i="21"/>
  <c r="Y8" i="21"/>
  <c r="X8" i="21"/>
  <c r="W8" i="21"/>
  <c r="V8" i="21"/>
  <c r="U8" i="21"/>
  <c r="T8" i="21"/>
  <c r="S8" i="21"/>
  <c r="R8" i="21"/>
  <c r="Q8" i="21"/>
  <c r="P8" i="21"/>
  <c r="O8" i="21"/>
  <c r="N8" i="21"/>
  <c r="M8" i="21"/>
  <c r="L8" i="21"/>
  <c r="K8" i="21"/>
  <c r="J8" i="21"/>
  <c r="I8" i="21"/>
  <c r="H8" i="21"/>
  <c r="G8" i="21"/>
  <c r="F8" i="21"/>
  <c r="E8" i="21"/>
  <c r="AM8" i="21" s="1"/>
  <c r="AJ7" i="21"/>
  <c r="AI7" i="21"/>
  <c r="AH7" i="21"/>
  <c r="AG7" i="21"/>
  <c r="AF7" i="21"/>
  <c r="AE7" i="21"/>
  <c r="AD7" i="21"/>
  <c r="AC7" i="21"/>
  <c r="AB7" i="21"/>
  <c r="AA7" i="21"/>
  <c r="Z7" i="21"/>
  <c r="Y7" i="21"/>
  <c r="X7" i="21"/>
  <c r="W7" i="21"/>
  <c r="V7" i="21"/>
  <c r="U7" i="21"/>
  <c r="T7" i="21"/>
  <c r="S7" i="21"/>
  <c r="R7" i="21"/>
  <c r="Q7" i="21"/>
  <c r="P7" i="21"/>
  <c r="O7" i="21"/>
  <c r="N7" i="21"/>
  <c r="M7" i="21"/>
  <c r="L7" i="21"/>
  <c r="K7" i="21"/>
  <c r="J7" i="21"/>
  <c r="I7" i="21"/>
  <c r="H7" i="21"/>
  <c r="G7" i="21"/>
  <c r="F7" i="21"/>
  <c r="E7" i="21"/>
  <c r="AJ6" i="21"/>
  <c r="AI6" i="21"/>
  <c r="AH6" i="21"/>
  <c r="AG6" i="21"/>
  <c r="AF6" i="21"/>
  <c r="AE6" i="21"/>
  <c r="AD6" i="21"/>
  <c r="AC6" i="21"/>
  <c r="AB6" i="21"/>
  <c r="AA6" i="21"/>
  <c r="Z6" i="21"/>
  <c r="Y6" i="21"/>
  <c r="X6" i="21"/>
  <c r="W6" i="21"/>
  <c r="V6" i="21"/>
  <c r="U6" i="21"/>
  <c r="T6" i="21"/>
  <c r="S6" i="21"/>
  <c r="R6" i="21"/>
  <c r="Q6" i="21"/>
  <c r="P6" i="21"/>
  <c r="O6" i="21"/>
  <c r="N6" i="21"/>
  <c r="M6" i="21"/>
  <c r="L6" i="21"/>
  <c r="K6" i="21"/>
  <c r="J6" i="21"/>
  <c r="I6" i="21"/>
  <c r="H6" i="21"/>
  <c r="G6" i="21"/>
  <c r="F6" i="21"/>
  <c r="E6" i="21"/>
  <c r="AJ5" i="21"/>
  <c r="AI5" i="21"/>
  <c r="AH5" i="21"/>
  <c r="AM5" i="21" s="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AJ4" i="21"/>
  <c r="AI4" i="21"/>
  <c r="AH4" i="21"/>
  <c r="AG4" i="21"/>
  <c r="AF4" i="21"/>
  <c r="AE4" i="21"/>
  <c r="AD4" i="21"/>
  <c r="AC4" i="21"/>
  <c r="AB4" i="21"/>
  <c r="AA4" i="21"/>
  <c r="Z4" i="21"/>
  <c r="Y4" i="21"/>
  <c r="X4" i="21"/>
  <c r="W4" i="21"/>
  <c r="V4" i="21"/>
  <c r="U4" i="21"/>
  <c r="T4" i="21"/>
  <c r="S4" i="21"/>
  <c r="R4" i="21"/>
  <c r="Q4" i="21"/>
  <c r="P4" i="21"/>
  <c r="O4" i="21"/>
  <c r="N4" i="21"/>
  <c r="M4" i="21"/>
  <c r="L4" i="21"/>
  <c r="K4" i="21"/>
  <c r="J4" i="21"/>
  <c r="I4" i="21"/>
  <c r="H4" i="21"/>
  <c r="G4" i="21"/>
  <c r="F4" i="21"/>
  <c r="E4" i="21"/>
  <c r="AO3" i="21"/>
  <c r="AJ3" i="21"/>
  <c r="AI3" i="21"/>
  <c r="AH3" i="21"/>
  <c r="AL3" i="21" s="1"/>
  <c r="AG3" i="21"/>
  <c r="AF3" i="21"/>
  <c r="AE3" i="21"/>
  <c r="AD3" i="21"/>
  <c r="AC3" i="21"/>
  <c r="AB3" i="21"/>
  <c r="AA3" i="21"/>
  <c r="Z3" i="21"/>
  <c r="Y3" i="21"/>
  <c r="X3" i="21"/>
  <c r="W3" i="21"/>
  <c r="V3" i="21"/>
  <c r="U3" i="21"/>
  <c r="T3" i="21"/>
  <c r="S3" i="21"/>
  <c r="R3" i="21"/>
  <c r="Q3" i="21"/>
  <c r="P3" i="21"/>
  <c r="O3" i="21"/>
  <c r="AM3" i="21" s="1"/>
  <c r="N3" i="21"/>
  <c r="M3" i="21"/>
  <c r="L3" i="21"/>
  <c r="K3" i="21"/>
  <c r="J3" i="21"/>
  <c r="I3" i="21"/>
  <c r="H3" i="21"/>
  <c r="G3" i="21"/>
  <c r="F3" i="21"/>
  <c r="E3" i="21"/>
  <c r="AO3" i="1"/>
  <c r="AJ17" i="6" l="1"/>
  <c r="F17" i="6"/>
  <c r="K17" i="6"/>
  <c r="Q17" i="6"/>
  <c r="V17" i="6"/>
  <c r="AA17" i="6"/>
  <c r="AG17" i="6"/>
  <c r="C10" i="6"/>
  <c r="G17" i="6"/>
  <c r="M17" i="6"/>
  <c r="R17" i="6"/>
  <c r="W17" i="6"/>
  <c r="AC17" i="6"/>
  <c r="AH17" i="6"/>
  <c r="C17" i="6"/>
  <c r="I17" i="6"/>
  <c r="N17" i="6"/>
  <c r="S17" i="6"/>
  <c r="Y17" i="6"/>
  <c r="AD17" i="6"/>
  <c r="AI17" i="6"/>
  <c r="C18" i="6"/>
  <c r="E17" i="6"/>
  <c r="J17" i="6"/>
  <c r="O17" i="6"/>
  <c r="U17" i="6"/>
  <c r="Z17" i="6"/>
  <c r="AE17" i="6"/>
  <c r="AK17" i="6"/>
  <c r="C19" i="6"/>
  <c r="AH11" i="6"/>
  <c r="AD11" i="6"/>
  <c r="Z11" i="6"/>
  <c r="V11" i="6"/>
  <c r="R11" i="6"/>
  <c r="N11" i="6"/>
  <c r="J11" i="6"/>
  <c r="F11" i="6"/>
  <c r="C11" i="6"/>
  <c r="AK11" i="6"/>
  <c r="AG11" i="6"/>
  <c r="AC11" i="6"/>
  <c r="Y11" i="6"/>
  <c r="U11" i="6"/>
  <c r="Q11" i="6"/>
  <c r="M11" i="6"/>
  <c r="I11" i="6"/>
  <c r="E11" i="6"/>
  <c r="AH9" i="6"/>
  <c r="AD9" i="6"/>
  <c r="Z9" i="6"/>
  <c r="V9" i="6"/>
  <c r="R9" i="6"/>
  <c r="N9" i="6"/>
  <c r="J9" i="6"/>
  <c r="F9" i="6"/>
  <c r="E9" i="6"/>
  <c r="K9" i="6"/>
  <c r="P9" i="6"/>
  <c r="U9" i="6"/>
  <c r="AA9" i="6"/>
  <c r="AF9" i="6"/>
  <c r="AK9" i="6"/>
  <c r="I10" i="6"/>
  <c r="Q10" i="6"/>
  <c r="Y10" i="6"/>
  <c r="AG10" i="6"/>
  <c r="G11" i="6"/>
  <c r="O11" i="6"/>
  <c r="W11" i="6"/>
  <c r="AE11" i="6"/>
  <c r="K18" i="6"/>
  <c r="S18" i="6"/>
  <c r="AA18" i="6"/>
  <c r="AI18" i="6"/>
  <c r="I19" i="6"/>
  <c r="Q19" i="6"/>
  <c r="Y19" i="6"/>
  <c r="AG19" i="6"/>
  <c r="G9" i="6"/>
  <c r="L9" i="6"/>
  <c r="Q9" i="6"/>
  <c r="W9" i="6"/>
  <c r="AB9" i="6"/>
  <c r="AG9" i="6"/>
  <c r="E10" i="6"/>
  <c r="J10" i="6"/>
  <c r="R10" i="6"/>
  <c r="Z10" i="6"/>
  <c r="AH10" i="6"/>
  <c r="H11" i="6"/>
  <c r="P11" i="6"/>
  <c r="X11" i="6"/>
  <c r="AF11" i="6"/>
  <c r="D18" i="6"/>
  <c r="L18" i="6"/>
  <c r="T18" i="6"/>
  <c r="AB18" i="6"/>
  <c r="J19" i="6"/>
  <c r="R19" i="6"/>
  <c r="Z19" i="6"/>
  <c r="AH19" i="6"/>
  <c r="AH18" i="6"/>
  <c r="AD18" i="6"/>
  <c r="Z18" i="6"/>
  <c r="V18" i="6"/>
  <c r="R18" i="6"/>
  <c r="N18" i="6"/>
  <c r="J18" i="6"/>
  <c r="F18" i="6"/>
  <c r="AK18" i="6"/>
  <c r="AG18" i="6"/>
  <c r="AC18" i="6"/>
  <c r="Y18" i="6"/>
  <c r="U18" i="6"/>
  <c r="Q18" i="6"/>
  <c r="M18" i="6"/>
  <c r="I18" i="6"/>
  <c r="E18" i="6"/>
  <c r="C9" i="6"/>
  <c r="H9" i="6"/>
  <c r="M9" i="6"/>
  <c r="S9" i="6"/>
  <c r="X9" i="6"/>
  <c r="AC9" i="6"/>
  <c r="AI9" i="6"/>
  <c r="F10" i="6"/>
  <c r="M10" i="6"/>
  <c r="U10" i="6"/>
  <c r="AC10" i="6"/>
  <c r="K11" i="6"/>
  <c r="S11" i="6"/>
  <c r="AA11" i="6"/>
  <c r="AI11" i="6"/>
  <c r="G18" i="6"/>
  <c r="O18" i="6"/>
  <c r="W18" i="6"/>
  <c r="AE18" i="6"/>
  <c r="E19" i="6"/>
  <c r="M19" i="6"/>
  <c r="U19" i="6"/>
  <c r="AC19" i="6"/>
  <c r="AJ10" i="6"/>
  <c r="AF10" i="6"/>
  <c r="AB10" i="6"/>
  <c r="X10" i="6"/>
  <c r="T10" i="6"/>
  <c r="P10" i="6"/>
  <c r="L10" i="6"/>
  <c r="H10" i="6"/>
  <c r="D10" i="6"/>
  <c r="AI10" i="6"/>
  <c r="AE10" i="6"/>
  <c r="AA10" i="6"/>
  <c r="W10" i="6"/>
  <c r="S10" i="6"/>
  <c r="O10" i="6"/>
  <c r="K10" i="6"/>
  <c r="AJ19" i="6"/>
  <c r="AF19" i="6"/>
  <c r="AB19" i="6"/>
  <c r="X19" i="6"/>
  <c r="T19" i="6"/>
  <c r="P19" i="6"/>
  <c r="L19" i="6"/>
  <c r="H19" i="6"/>
  <c r="D19" i="6"/>
  <c r="AI19" i="6"/>
  <c r="AE19" i="6"/>
  <c r="AA19" i="6"/>
  <c r="W19" i="6"/>
  <c r="S19" i="6"/>
  <c r="O19" i="6"/>
  <c r="K19" i="6"/>
  <c r="G19" i="6"/>
  <c r="I9" i="6"/>
  <c r="O9" i="6"/>
  <c r="T9" i="6"/>
  <c r="Y9" i="6"/>
  <c r="AE9" i="6"/>
  <c r="AJ9" i="6"/>
  <c r="G10" i="6"/>
  <c r="N10" i="6"/>
  <c r="V10" i="6"/>
  <c r="AD10" i="6"/>
  <c r="D11" i="6"/>
  <c r="L11" i="6"/>
  <c r="T11" i="6"/>
  <c r="AB11" i="6"/>
  <c r="AJ11" i="6"/>
  <c r="H18" i="6"/>
  <c r="P18" i="6"/>
  <c r="X18" i="6"/>
  <c r="AF18" i="6"/>
  <c r="F19" i="6"/>
  <c r="N19" i="6"/>
  <c r="V19" i="6"/>
  <c r="AD19" i="6"/>
  <c r="D17" i="6"/>
  <c r="H17" i="6"/>
  <c r="L17" i="6"/>
  <c r="P17" i="6"/>
  <c r="T17" i="6"/>
  <c r="X17" i="6"/>
  <c r="AB17" i="6"/>
  <c r="AF17" i="6"/>
  <c r="D32" i="21"/>
  <c r="AK45" i="21"/>
  <c r="D45" i="21"/>
  <c r="C45" i="21"/>
  <c r="AK46" i="21"/>
  <c r="D46" i="21"/>
  <c r="C46" i="21"/>
  <c r="C47" i="21"/>
  <c r="C27" i="21"/>
  <c r="C59" i="21"/>
  <c r="AL20" i="21"/>
  <c r="C21" i="21"/>
  <c r="C31" i="21"/>
  <c r="AL59" i="21"/>
  <c r="AK77" i="21"/>
  <c r="D77" i="21"/>
  <c r="C77" i="21"/>
  <c r="AK85" i="21"/>
  <c r="D85" i="21"/>
  <c r="C85" i="21"/>
  <c r="C33" i="21"/>
  <c r="AN33" i="21" s="1"/>
  <c r="AK59" i="21"/>
  <c r="AL83" i="21"/>
  <c r="C84" i="21"/>
  <c r="D84" i="21"/>
  <c r="AK86" i="21"/>
  <c r="C86" i="21"/>
  <c r="C87" i="21"/>
  <c r="AL24" i="21"/>
  <c r="C25" i="21"/>
  <c r="AL43" i="21"/>
  <c r="C51" i="21"/>
  <c r="AL67" i="21"/>
  <c r="AK68" i="21"/>
  <c r="D69" i="21"/>
  <c r="C69" i="21"/>
  <c r="AK69" i="21" s="1"/>
  <c r="AK70" i="21"/>
  <c r="D70" i="21"/>
  <c r="C70" i="21"/>
  <c r="C71" i="21"/>
  <c r="C3" i="21"/>
  <c r="D28" i="21"/>
  <c r="C29" i="21"/>
  <c r="AN29" i="21" s="1"/>
  <c r="C39" i="21"/>
  <c r="AN39" i="21" s="1"/>
  <c r="AK51" i="21"/>
  <c r="AK60" i="21"/>
  <c r="D60" i="21"/>
  <c r="AK61" i="21"/>
  <c r="D61" i="21"/>
  <c r="C61" i="21"/>
  <c r="D62" i="21"/>
  <c r="C62" i="21"/>
  <c r="C63" i="21"/>
  <c r="C12" i="21"/>
  <c r="AN12" i="21" s="1"/>
  <c r="D13" i="21"/>
  <c r="C14" i="21"/>
  <c r="AN14" i="21" s="1"/>
  <c r="D15" i="21"/>
  <c r="AK16" i="21"/>
  <c r="D16" i="21"/>
  <c r="C16" i="21"/>
  <c r="D3" i="21"/>
  <c r="AL12" i="21"/>
  <c r="C13" i="21"/>
  <c r="AL13" i="21"/>
  <c r="C43" i="21"/>
  <c r="AL51" i="21"/>
  <c r="AK52" i="21"/>
  <c r="D52" i="21"/>
  <c r="D53" i="21"/>
  <c r="C53" i="21"/>
  <c r="AK53" i="21" s="1"/>
  <c r="D54" i="21"/>
  <c r="C54" i="21"/>
  <c r="AK54" i="21" s="1"/>
  <c r="C55" i="21"/>
  <c r="C67" i="21"/>
  <c r="AK67" i="21" s="1"/>
  <c r="AL75" i="21"/>
  <c r="D76" i="21"/>
  <c r="C76" i="21"/>
  <c r="C78" i="21"/>
  <c r="AK78" i="21" s="1"/>
  <c r="C79" i="21"/>
  <c r="AL29" i="21"/>
  <c r="AK44" i="21"/>
  <c r="D4" i="21"/>
  <c r="D6" i="21"/>
  <c r="D8" i="21"/>
  <c r="D10" i="21"/>
  <c r="AL14" i="21"/>
  <c r="C15" i="21"/>
  <c r="AN15" i="21" s="1"/>
  <c r="AL15" i="21"/>
  <c r="AL16" i="21"/>
  <c r="AK17" i="21"/>
  <c r="D17" i="21"/>
  <c r="AL22" i="21"/>
  <c r="C23" i="21"/>
  <c r="C24" i="21"/>
  <c r="AN24" i="21" s="1"/>
  <c r="AK25" i="21"/>
  <c r="D25" i="21"/>
  <c r="C35" i="21"/>
  <c r="AN35" i="21" s="1"/>
  <c r="AL38" i="21"/>
  <c r="D40" i="21"/>
  <c r="C40" i="21"/>
  <c r="AN40" i="21" s="1"/>
  <c r="C41" i="21"/>
  <c r="AN41" i="21" s="1"/>
  <c r="D44" i="21"/>
  <c r="AL44" i="21"/>
  <c r="AL52" i="21"/>
  <c r="AL60" i="21"/>
  <c r="AL62" i="21"/>
  <c r="D68" i="21"/>
  <c r="AL68" i="21"/>
  <c r="AK71" i="21"/>
  <c r="AK79" i="21"/>
  <c r="D80" i="21"/>
  <c r="D81" i="21"/>
  <c r="C81" i="21"/>
  <c r="AK81" i="21" s="1"/>
  <c r="AK87" i="21"/>
  <c r="D88" i="21"/>
  <c r="D89" i="21"/>
  <c r="C89" i="21"/>
  <c r="AK89" i="21" s="1"/>
  <c r="C4" i="21"/>
  <c r="AN4" i="21" s="1"/>
  <c r="D5" i="21"/>
  <c r="C6" i="21"/>
  <c r="AN6" i="21" s="1"/>
  <c r="D7" i="21"/>
  <c r="C8" i="21"/>
  <c r="AN8" i="21" s="1"/>
  <c r="D9" i="21"/>
  <c r="C10" i="21"/>
  <c r="AN10" i="21" s="1"/>
  <c r="D11" i="21"/>
  <c r="C26" i="21"/>
  <c r="AN27" i="21"/>
  <c r="AN31" i="21"/>
  <c r="AL34" i="21"/>
  <c r="D36" i="21"/>
  <c r="C36" i="21"/>
  <c r="AN36" i="21" s="1"/>
  <c r="AK41" i="21"/>
  <c r="D42" i="21"/>
  <c r="C42" i="21"/>
  <c r="AN42" i="21" s="1"/>
  <c r="AL47" i="21"/>
  <c r="AK48" i="21"/>
  <c r="D48" i="21"/>
  <c r="D49" i="21"/>
  <c r="C49" i="21"/>
  <c r="AK49" i="21" s="1"/>
  <c r="D50" i="21"/>
  <c r="C50" i="21"/>
  <c r="AK50" i="21" s="1"/>
  <c r="AL55" i="21"/>
  <c r="AK56" i="21"/>
  <c r="D57" i="21"/>
  <c r="C57" i="21"/>
  <c r="AK57" i="21" s="1"/>
  <c r="D58" i="21"/>
  <c r="C58" i="21"/>
  <c r="AL63" i="21"/>
  <c r="AK64" i="21"/>
  <c r="D64" i="21"/>
  <c r="D65" i="21"/>
  <c r="C65" i="21"/>
  <c r="AK65" i="21" s="1"/>
  <c r="D66" i="21"/>
  <c r="C66" i="21"/>
  <c r="AK66" i="21" s="1"/>
  <c r="AL71" i="21"/>
  <c r="AK72" i="21"/>
  <c r="D73" i="21"/>
  <c r="C73" i="21"/>
  <c r="AK73" i="21" s="1"/>
  <c r="D74" i="21"/>
  <c r="C74" i="21"/>
  <c r="AK74" i="21" s="1"/>
  <c r="C75" i="21"/>
  <c r="AL79" i="21"/>
  <c r="C80" i="21"/>
  <c r="AK80" i="21" s="1"/>
  <c r="AK82" i="21"/>
  <c r="C82" i="21"/>
  <c r="C83" i="21"/>
  <c r="AL87" i="21"/>
  <c r="C88" i="21"/>
  <c r="AK88" i="21" s="1"/>
  <c r="C90" i="21"/>
  <c r="AK6" i="21"/>
  <c r="C18" i="21"/>
  <c r="AK18" i="21" s="1"/>
  <c r="D19" i="21"/>
  <c r="AL4" i="21"/>
  <c r="C5" i="21"/>
  <c r="AK5" i="21" s="1"/>
  <c r="AL6" i="21"/>
  <c r="C7" i="21"/>
  <c r="AL7" i="21"/>
  <c r="AL8" i="21"/>
  <c r="C9" i="21"/>
  <c r="AL10" i="21"/>
  <c r="C11" i="21"/>
  <c r="AL18" i="21"/>
  <c r="C19" i="21"/>
  <c r="AL26" i="21"/>
  <c r="AL35" i="21"/>
  <c r="C37" i="21"/>
  <c r="AN37" i="21" s="1"/>
  <c r="AL41" i="21"/>
  <c r="AK43" i="21"/>
  <c r="AL48" i="21"/>
  <c r="D56" i="21"/>
  <c r="AL56" i="21"/>
  <c r="AL58" i="21"/>
  <c r="AL64" i="21"/>
  <c r="D72" i="21"/>
  <c r="AL72" i="21"/>
  <c r="AK75" i="21"/>
  <c r="AK76" i="21"/>
  <c r="AK83" i="21"/>
  <c r="AK84" i="21"/>
  <c r="AK4" i="21"/>
  <c r="AK7" i="21"/>
  <c r="AK9" i="21"/>
  <c r="AK11" i="21"/>
  <c r="AK19" i="21"/>
  <c r="AK13" i="21"/>
  <c r="AK21" i="21"/>
  <c r="AN3" i="21"/>
  <c r="AK15" i="21"/>
  <c r="AK23" i="21"/>
  <c r="AK3" i="21"/>
  <c r="AL9" i="21"/>
  <c r="AM7" i="21"/>
  <c r="AK12" i="21"/>
  <c r="AM13" i="21"/>
  <c r="AK14" i="21"/>
  <c r="AN5" i="21"/>
  <c r="AN7" i="21"/>
  <c r="AN9" i="21"/>
  <c r="AN11" i="21"/>
  <c r="AN13" i="21"/>
  <c r="AN17" i="21"/>
  <c r="AN19" i="21"/>
  <c r="AN21" i="21"/>
  <c r="AN23" i="21"/>
  <c r="AN25" i="21"/>
  <c r="AK27" i="21"/>
  <c r="AM27" i="21"/>
  <c r="D30" i="21"/>
  <c r="C30" i="21"/>
  <c r="AK30" i="21" s="1"/>
  <c r="AK31" i="21"/>
  <c r="AM33" i="21"/>
  <c r="AM34" i="21"/>
  <c r="AL39" i="21"/>
  <c r="AL5" i="21"/>
  <c r="AM4" i="21"/>
  <c r="AM6" i="21"/>
  <c r="AM10" i="21"/>
  <c r="AM14" i="21"/>
  <c r="AM16" i="21"/>
  <c r="AM18" i="21"/>
  <c r="AM20" i="21"/>
  <c r="AM22" i="21"/>
  <c r="AM24" i="21"/>
  <c r="AL27" i="21"/>
  <c r="AM30" i="21"/>
  <c r="AL30" i="21"/>
  <c r="AL31" i="21"/>
  <c r="AK35" i="21"/>
  <c r="AL37" i="21"/>
  <c r="D38" i="21"/>
  <c r="C38" i="21"/>
  <c r="AN38" i="21" s="1"/>
  <c r="AL11" i="21"/>
  <c r="AN16" i="21"/>
  <c r="AL17" i="21"/>
  <c r="AN18" i="21"/>
  <c r="AL19" i="21"/>
  <c r="AN20" i="21"/>
  <c r="AL21" i="21"/>
  <c r="AN22" i="21"/>
  <c r="AL23" i="21"/>
  <c r="AL25" i="21"/>
  <c r="C28" i="21"/>
  <c r="AK28" i="21" s="1"/>
  <c r="AK29" i="21"/>
  <c r="C32" i="21"/>
  <c r="AK32" i="21" s="1"/>
  <c r="AK33" i="21"/>
  <c r="AM38" i="21"/>
  <c r="AN26" i="21"/>
  <c r="AK26" i="21"/>
  <c r="AM28" i="21"/>
  <c r="AL28" i="21"/>
  <c r="AM32" i="21"/>
  <c r="AL32" i="21"/>
  <c r="AL33" i="21"/>
  <c r="D34" i="21"/>
  <c r="C34" i="21"/>
  <c r="AK34" i="21" s="1"/>
  <c r="AM36" i="21"/>
  <c r="AK39" i="21"/>
  <c r="AK47" i="21"/>
  <c r="AK55" i="21"/>
  <c r="AK63" i="21"/>
  <c r="AK36" i="21"/>
  <c r="AK38" i="21"/>
  <c r="AK40" i="21"/>
  <c r="AK42" i="21"/>
  <c r="AL76" i="21"/>
  <c r="AL80" i="21"/>
  <c r="AL84" i="21"/>
  <c r="AL88" i="21"/>
  <c r="AL40" i="21"/>
  <c r="AL42" i="21"/>
  <c r="AL45" i="21"/>
  <c r="AL49" i="21"/>
  <c r="AL53" i="21"/>
  <c r="AL57" i="21"/>
  <c r="AK58" i="21"/>
  <c r="AL61" i="21"/>
  <c r="AK62" i="21"/>
  <c r="AL65" i="21"/>
  <c r="AL69" i="21"/>
  <c r="AL73" i="21"/>
  <c r="AL77" i="21"/>
  <c r="AL81" i="21"/>
  <c r="AL85" i="21"/>
  <c r="AL89" i="21"/>
  <c r="AK90" i="21"/>
  <c r="AL46" i="21"/>
  <c r="AL50" i="21"/>
  <c r="AL54" i="21"/>
  <c r="AL66" i="21"/>
  <c r="AL70" i="21"/>
  <c r="AL74" i="21"/>
  <c r="AL78" i="21"/>
  <c r="AL82" i="21"/>
  <c r="AL86" i="21"/>
  <c r="AL90" i="21"/>
  <c r="D9" i="6" l="1"/>
  <c r="AN34" i="21"/>
  <c r="AN32" i="21"/>
  <c r="AN28" i="21"/>
  <c r="AK37" i="21"/>
  <c r="AK24" i="21"/>
  <c r="AK8" i="21"/>
  <c r="AK10" i="21"/>
  <c r="AN30" i="21"/>
  <c r="A12" i="13" l="1"/>
  <c r="A11" i="13"/>
  <c r="A10" i="13"/>
  <c r="A6" i="13"/>
  <c r="A5" i="13"/>
  <c r="O6" i="13" l="1"/>
  <c r="N5" i="13"/>
  <c r="M11" i="13"/>
  <c r="P10" i="13"/>
  <c r="N12" i="13"/>
  <c r="B5" i="13"/>
  <c r="G5" i="13"/>
  <c r="K5" i="13"/>
  <c r="O5" i="13"/>
  <c r="H6" i="13"/>
  <c r="L6" i="13"/>
  <c r="P6" i="13"/>
  <c r="E10" i="13"/>
  <c r="I10" i="13"/>
  <c r="M10" i="13"/>
  <c r="B11" i="13"/>
  <c r="F11" i="13"/>
  <c r="J11" i="13"/>
  <c r="N11" i="13"/>
  <c r="G12" i="13"/>
  <c r="K12" i="13"/>
  <c r="O12" i="13"/>
  <c r="H5" i="13"/>
  <c r="L5" i="13"/>
  <c r="P5" i="13"/>
  <c r="E6" i="13"/>
  <c r="I6" i="13"/>
  <c r="M6" i="13"/>
  <c r="B10" i="13"/>
  <c r="F10" i="13"/>
  <c r="J10" i="13"/>
  <c r="N10" i="13"/>
  <c r="G11" i="13"/>
  <c r="K11" i="13"/>
  <c r="O11" i="13"/>
  <c r="H12" i="13"/>
  <c r="L12" i="13"/>
  <c r="P12" i="13"/>
  <c r="E5" i="13"/>
  <c r="I5" i="13"/>
  <c r="M5" i="13"/>
  <c r="B6" i="13"/>
  <c r="F6" i="13"/>
  <c r="J6" i="13"/>
  <c r="N6" i="13"/>
  <c r="G10" i="13"/>
  <c r="K10" i="13"/>
  <c r="O10" i="13"/>
  <c r="H11" i="13"/>
  <c r="L11" i="13"/>
  <c r="P11" i="13"/>
  <c r="E12" i="13"/>
  <c r="I12" i="13"/>
  <c r="M12" i="13"/>
  <c r="F5" i="13"/>
  <c r="J5" i="13"/>
  <c r="G6" i="13"/>
  <c r="K6" i="13"/>
  <c r="H10" i="13"/>
  <c r="L10" i="13"/>
  <c r="E11" i="13"/>
  <c r="I11" i="13"/>
  <c r="F12" i="13"/>
  <c r="J12" i="13"/>
  <c r="F6" i="18"/>
  <c r="G6" i="18"/>
  <c r="E6" i="18"/>
  <c r="D6" i="18"/>
  <c r="C6" i="18"/>
  <c r="E5" i="18"/>
  <c r="D5" i="18"/>
  <c r="B12" i="13" l="1"/>
  <c r="AJ3" i="18"/>
  <c r="AI3" i="18"/>
  <c r="AH3" i="18"/>
  <c r="AG3" i="18"/>
  <c r="AF3" i="18"/>
  <c r="AE3" i="18"/>
  <c r="AD3" i="18"/>
  <c r="AC3" i="18"/>
  <c r="AB3" i="18"/>
  <c r="AA3" i="18"/>
  <c r="Z3" i="18"/>
  <c r="Y3" i="18"/>
  <c r="X3" i="18"/>
  <c r="W3" i="18"/>
  <c r="W3" i="18" a="1"/>
  <c r="V3" i="18"/>
  <c r="U3" i="18"/>
  <c r="T3" i="18"/>
  <c r="S3" i="18"/>
  <c r="D3" i="18" s="1"/>
  <c r="P3" i="18"/>
  <c r="O3" i="18"/>
  <c r="N3" i="18"/>
  <c r="M3" i="18"/>
  <c r="AM3" i="18" s="1"/>
  <c r="L3" i="18" a="1"/>
  <c r="L3" i="18" s="1"/>
  <c r="K3" i="18"/>
  <c r="J3" i="18"/>
  <c r="I3" i="18"/>
  <c r="H3" i="18"/>
  <c r="G3" i="18" a="1"/>
  <c r="G3" i="18" s="1"/>
  <c r="F3" i="18" a="1"/>
  <c r="F3" i="18" s="1"/>
  <c r="E3" i="18"/>
  <c r="AL3" i="18" l="1"/>
  <c r="C3" i="18"/>
  <c r="AK3" i="18"/>
  <c r="C444" i="2" l="1"/>
  <c r="C445" i="2" s="1"/>
  <c r="C446" i="2" s="1"/>
  <c r="C447" i="2" s="1"/>
  <c r="C448" i="2" s="1"/>
  <c r="C449" i="2" s="1"/>
  <c r="C450" i="2" s="1"/>
  <c r="C451" i="2" s="1"/>
  <c r="C452" i="2" s="1"/>
  <c r="C453" i="2" s="1"/>
  <c r="C454" i="2" s="1"/>
  <c r="C455" i="2" s="1"/>
  <c r="C456" i="2" s="1"/>
  <c r="B444" i="2"/>
  <c r="B445" i="2" s="1"/>
  <c r="B446" i="2" s="1"/>
  <c r="B447" i="2" s="1"/>
  <c r="B448" i="2" s="1"/>
  <c r="B449" i="2" s="1"/>
  <c r="B450" i="2" s="1"/>
  <c r="B451" i="2" s="1"/>
  <c r="B452" i="2" s="1"/>
  <c r="B453" i="2" s="1"/>
  <c r="B454" i="2" s="1"/>
  <c r="B455" i="2" s="1"/>
  <c r="B456" i="2" s="1"/>
  <c r="Z443" i="2"/>
  <c r="Y443" i="2"/>
  <c r="T443" i="2"/>
  <c r="O443" i="2"/>
  <c r="N443" i="2"/>
  <c r="I443" i="2"/>
  <c r="Z442" i="2"/>
  <c r="Y442" i="2"/>
  <c r="T442" i="2"/>
  <c r="O442" i="2"/>
  <c r="N442" i="2"/>
  <c r="I442" i="2"/>
  <c r="Z441" i="2"/>
  <c r="Y441" i="2"/>
  <c r="T441" i="2"/>
  <c r="O441" i="2"/>
  <c r="N441" i="2"/>
  <c r="I441" i="2"/>
  <c r="Z440" i="2"/>
  <c r="Y440" i="2"/>
  <c r="T440" i="2"/>
  <c r="O440" i="2"/>
  <c r="N440" i="2"/>
  <c r="I440" i="2"/>
  <c r="Z439" i="2"/>
  <c r="Y439" i="2"/>
  <c r="T439" i="2"/>
  <c r="O439" i="2"/>
  <c r="N439" i="2"/>
  <c r="I439" i="2"/>
  <c r="Z438" i="2"/>
  <c r="Y438" i="2"/>
  <c r="T438" i="2"/>
  <c r="O438" i="2"/>
  <c r="N438" i="2"/>
  <c r="I438" i="2"/>
  <c r="Z437" i="2"/>
  <c r="Y437" i="2"/>
  <c r="T437" i="2"/>
  <c r="O437" i="2"/>
  <c r="N437" i="2"/>
  <c r="I437" i="2"/>
  <c r="Z436" i="2"/>
  <c r="Y436" i="2"/>
  <c r="T436" i="2"/>
  <c r="O436" i="2"/>
  <c r="N436" i="2"/>
  <c r="I436" i="2"/>
  <c r="Z435" i="2"/>
  <c r="Y435" i="2"/>
  <c r="T435" i="2"/>
  <c r="O435" i="2"/>
  <c r="N435" i="2"/>
  <c r="I435" i="2"/>
  <c r="Z434" i="2"/>
  <c r="Y434" i="2"/>
  <c r="T434" i="2"/>
  <c r="O434" i="2"/>
  <c r="N434" i="2"/>
  <c r="I434" i="2"/>
  <c r="Z433" i="2"/>
  <c r="Y433" i="2"/>
  <c r="T433" i="2"/>
  <c r="O433" i="2"/>
  <c r="N433" i="2"/>
  <c r="I433" i="2"/>
  <c r="Z432" i="2"/>
  <c r="Y432" i="2"/>
  <c r="T432" i="2"/>
  <c r="O432" i="2"/>
  <c r="N432" i="2"/>
  <c r="I432" i="2"/>
  <c r="Z431" i="2"/>
  <c r="Y431" i="2"/>
  <c r="T431" i="2"/>
  <c r="O431" i="2"/>
  <c r="N431" i="2"/>
  <c r="I431" i="2"/>
  <c r="Z430" i="2"/>
  <c r="Y430" i="2"/>
  <c r="T430" i="2"/>
  <c r="O430" i="2"/>
  <c r="N430" i="2"/>
  <c r="I430" i="2"/>
  <c r="Z429" i="2"/>
  <c r="Y429" i="2"/>
  <c r="T429" i="2"/>
  <c r="O429" i="2"/>
  <c r="N429" i="2"/>
  <c r="I429" i="2"/>
  <c r="Z428" i="2"/>
  <c r="Y428" i="2"/>
  <c r="T428" i="2"/>
  <c r="O428" i="2"/>
  <c r="N428" i="2"/>
  <c r="I428" i="2"/>
  <c r="Z427" i="2"/>
  <c r="Y427" i="2"/>
  <c r="T427" i="2"/>
  <c r="O427" i="2"/>
  <c r="N427" i="2"/>
  <c r="I427" i="2"/>
  <c r="Z426" i="2"/>
  <c r="Y426" i="2"/>
  <c r="T426" i="2"/>
  <c r="O426" i="2"/>
  <c r="N426" i="2"/>
  <c r="I426" i="2"/>
  <c r="Z425" i="2"/>
  <c r="Y425" i="2"/>
  <c r="T425" i="2"/>
  <c r="O425" i="2"/>
  <c r="N425" i="2"/>
  <c r="I425" i="2"/>
  <c r="Z424" i="2"/>
  <c r="Y424" i="2"/>
  <c r="T424" i="2"/>
  <c r="O424" i="2"/>
  <c r="N424" i="2"/>
  <c r="I424" i="2"/>
  <c r="Z423" i="2"/>
  <c r="Y423" i="2"/>
  <c r="T423" i="2"/>
  <c r="O423" i="2"/>
  <c r="N423" i="2"/>
  <c r="I423" i="2"/>
  <c r="Z422" i="2"/>
  <c r="Y422" i="2"/>
  <c r="T422" i="2"/>
  <c r="O422" i="2"/>
  <c r="N422" i="2"/>
  <c r="I422" i="2"/>
  <c r="Z421" i="2"/>
  <c r="Y421" i="2"/>
  <c r="T421" i="2"/>
  <c r="O421" i="2"/>
  <c r="N421" i="2"/>
  <c r="I421" i="2"/>
  <c r="Z420" i="2"/>
  <c r="Y420" i="2"/>
  <c r="T420" i="2"/>
  <c r="O420" i="2"/>
  <c r="N420" i="2"/>
  <c r="I420" i="2"/>
  <c r="Z419" i="2"/>
  <c r="Y419" i="2"/>
  <c r="T419" i="2"/>
  <c r="O419" i="2"/>
  <c r="N419" i="2"/>
  <c r="I419" i="2"/>
  <c r="Z418" i="2"/>
  <c r="Y418" i="2"/>
  <c r="T418" i="2"/>
  <c r="O418" i="2"/>
  <c r="N418" i="2"/>
  <c r="I418" i="2"/>
  <c r="Z417" i="2"/>
  <c r="Y417" i="2"/>
  <c r="T417" i="2"/>
  <c r="O417" i="2"/>
  <c r="N417" i="2"/>
  <c r="I417" i="2"/>
  <c r="Z416" i="2"/>
  <c r="Y416" i="2"/>
  <c r="T416" i="2"/>
  <c r="O416" i="2"/>
  <c r="N416" i="2"/>
  <c r="I416" i="2"/>
  <c r="Z415" i="2"/>
  <c r="Y415" i="2"/>
  <c r="T415" i="2"/>
  <c r="O415" i="2"/>
  <c r="N415" i="2"/>
  <c r="I415" i="2"/>
  <c r="Z414" i="2"/>
  <c r="Y414" i="2"/>
  <c r="T414" i="2"/>
  <c r="O414" i="2"/>
  <c r="N414" i="2"/>
  <c r="I414" i="2"/>
  <c r="Z413" i="2"/>
  <c r="Y413" i="2"/>
  <c r="T413" i="2"/>
  <c r="O413" i="2"/>
  <c r="N413" i="2"/>
  <c r="I413" i="2"/>
  <c r="Z412" i="2"/>
  <c r="Y412" i="2"/>
  <c r="T412" i="2"/>
  <c r="O412" i="2"/>
  <c r="N412" i="2"/>
  <c r="I412" i="2"/>
  <c r="Z411" i="2"/>
  <c r="Y411" i="2"/>
  <c r="T411" i="2"/>
  <c r="O411" i="2"/>
  <c r="N411" i="2"/>
  <c r="I411" i="2"/>
  <c r="Z410" i="2"/>
  <c r="Y410" i="2"/>
  <c r="T410" i="2"/>
  <c r="O410" i="2"/>
  <c r="N410" i="2"/>
  <c r="I410" i="2"/>
  <c r="Z409" i="2"/>
  <c r="Y409" i="2"/>
  <c r="T409" i="2"/>
  <c r="O409" i="2"/>
  <c r="N409" i="2"/>
  <c r="I409" i="2"/>
  <c r="Z408" i="2"/>
  <c r="Y408" i="2"/>
  <c r="T408" i="2"/>
  <c r="O408" i="2"/>
  <c r="N408" i="2"/>
  <c r="I408" i="2"/>
  <c r="Z407" i="2"/>
  <c r="Y407" i="2"/>
  <c r="T407" i="2"/>
  <c r="O407" i="2"/>
  <c r="N407" i="2"/>
  <c r="I407" i="2"/>
  <c r="Z406" i="2"/>
  <c r="Y406" i="2"/>
  <c r="T406" i="2"/>
  <c r="O406" i="2"/>
  <c r="N406" i="2"/>
  <c r="I406" i="2"/>
  <c r="Z405" i="2"/>
  <c r="Y405" i="2"/>
  <c r="T405" i="2"/>
  <c r="O405" i="2"/>
  <c r="N405" i="2"/>
  <c r="I405" i="2"/>
  <c r="Z404" i="2"/>
  <c r="Y404" i="2"/>
  <c r="T404" i="2"/>
  <c r="O404" i="2"/>
  <c r="N404" i="2"/>
  <c r="I404" i="2"/>
  <c r="Z403" i="2"/>
  <c r="Y403" i="2"/>
  <c r="T403" i="2"/>
  <c r="O403" i="2"/>
  <c r="N403" i="2"/>
  <c r="I403" i="2"/>
  <c r="Z402" i="2"/>
  <c r="Y402" i="2"/>
  <c r="T402" i="2"/>
  <c r="O402" i="2"/>
  <c r="N402" i="2"/>
  <c r="I402" i="2"/>
  <c r="Z401" i="2"/>
  <c r="Y401" i="2"/>
  <c r="T401" i="2"/>
  <c r="O401" i="2"/>
  <c r="N401" i="2"/>
  <c r="I401" i="2"/>
  <c r="Z400" i="2"/>
  <c r="Y400" i="2"/>
  <c r="T400" i="2"/>
  <c r="O400" i="2"/>
  <c r="N400" i="2"/>
  <c r="I400" i="2"/>
  <c r="Z399" i="2"/>
  <c r="Y399" i="2"/>
  <c r="T399" i="2"/>
  <c r="O399" i="2"/>
  <c r="N399" i="2"/>
  <c r="I399" i="2"/>
  <c r="Y366" i="2" l="1"/>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T366" i="2"/>
  <c r="Z366" i="2" s="1"/>
  <c r="T367" i="2"/>
  <c r="T368" i="2"/>
  <c r="Z368" i="2" s="1"/>
  <c r="T369" i="2"/>
  <c r="T370" i="2"/>
  <c r="Z370" i="2" s="1"/>
  <c r="T371" i="2"/>
  <c r="T372" i="2"/>
  <c r="Z372" i="2" s="1"/>
  <c r="T373" i="2"/>
  <c r="T374" i="2"/>
  <c r="Z374" i="2" s="1"/>
  <c r="T375" i="2"/>
  <c r="T376" i="2"/>
  <c r="Z376" i="2" s="1"/>
  <c r="T377" i="2"/>
  <c r="T378" i="2"/>
  <c r="Z378" i="2" s="1"/>
  <c r="T379" i="2"/>
  <c r="T380" i="2"/>
  <c r="Z380" i="2" s="1"/>
  <c r="T381" i="2"/>
  <c r="T382" i="2"/>
  <c r="Z382" i="2" s="1"/>
  <c r="T383" i="2"/>
  <c r="T384" i="2"/>
  <c r="Z384" i="2" s="1"/>
  <c r="T385" i="2"/>
  <c r="T386" i="2"/>
  <c r="Z386" i="2" s="1"/>
  <c r="T387" i="2"/>
  <c r="T388" i="2"/>
  <c r="Z388" i="2" s="1"/>
  <c r="T389" i="2"/>
  <c r="T390" i="2"/>
  <c r="Z390" i="2" s="1"/>
  <c r="T391" i="2"/>
  <c r="T392" i="2"/>
  <c r="Z392" i="2" s="1"/>
  <c r="T393" i="2"/>
  <c r="T394" i="2"/>
  <c r="Z394" i="2" s="1"/>
  <c r="T395" i="2"/>
  <c r="T396" i="2"/>
  <c r="Z396" i="2" s="1"/>
  <c r="T397" i="2"/>
  <c r="T398" i="2"/>
  <c r="Z398" i="2" s="1"/>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O395" i="2" l="1"/>
  <c r="O391" i="2"/>
  <c r="O387" i="2"/>
  <c r="O383" i="2"/>
  <c r="O379" i="2"/>
  <c r="O375" i="2"/>
  <c r="O371" i="2"/>
  <c r="Z397" i="2"/>
  <c r="Z393" i="2"/>
  <c r="Z389" i="2"/>
  <c r="Z385" i="2"/>
  <c r="Z381" i="2"/>
  <c r="Z377" i="2"/>
  <c r="O389" i="2"/>
  <c r="O385" i="2"/>
  <c r="O381" i="2"/>
  <c r="O377" i="2"/>
  <c r="O373" i="2"/>
  <c r="O369" i="2"/>
  <c r="Z395" i="2"/>
  <c r="Z391" i="2"/>
  <c r="Z387" i="2"/>
  <c r="Z383" i="2"/>
  <c r="Z379" i="2"/>
  <c r="Z375" i="2"/>
  <c r="Z371" i="2"/>
  <c r="Z367" i="2"/>
  <c r="O367" i="2"/>
  <c r="Z373" i="2"/>
  <c r="Z369" i="2"/>
  <c r="O397" i="2"/>
  <c r="O393" i="2"/>
  <c r="G47" i="8" l="1"/>
  <c r="H47" i="8" s="1"/>
  <c r="F47" i="8"/>
  <c r="E47" i="8"/>
  <c r="D47" i="8"/>
  <c r="C47" i="8"/>
  <c r="B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47" i="8"/>
  <c r="F48" i="8"/>
  <c r="D48" i="8"/>
  <c r="B48" i="8"/>
  <c r="E48" i="8"/>
  <c r="C48" i="8"/>
  <c r="I47" i="8" l="1"/>
  <c r="G48" i="8"/>
  <c r="H48" i="8" l="1"/>
  <c r="I48" i="8"/>
  <c r="J41" i="14"/>
  <c r="I41" i="14"/>
  <c r="J42" i="14"/>
  <c r="I42" i="14"/>
  <c r="J32" i="14"/>
  <c r="I32" i="14"/>
  <c r="J40" i="14"/>
  <c r="I40" i="14"/>
  <c r="J31" i="14"/>
  <c r="I31" i="14"/>
  <c r="J39" i="14"/>
  <c r="I39" i="14"/>
  <c r="J38" i="14"/>
  <c r="I38" i="14"/>
  <c r="J35" i="14"/>
  <c r="I35" i="14"/>
  <c r="J37" i="14"/>
  <c r="I37" i="14"/>
  <c r="J29" i="14"/>
  <c r="I29" i="14"/>
  <c r="J34" i="14"/>
  <c r="I34" i="14"/>
  <c r="J25" i="14"/>
  <c r="I25" i="14"/>
  <c r="J27" i="14"/>
  <c r="I27" i="14"/>
  <c r="J33" i="14"/>
  <c r="I33" i="14"/>
  <c r="J30" i="14"/>
  <c r="I30" i="14"/>
  <c r="J36" i="14"/>
  <c r="I36" i="14"/>
  <c r="J24" i="14"/>
  <c r="I24" i="14"/>
  <c r="J28" i="14"/>
  <c r="I28" i="14"/>
  <c r="J26" i="14"/>
  <c r="I26" i="14"/>
  <c r="J23" i="14"/>
  <c r="I23" i="14"/>
  <c r="J19" i="14"/>
  <c r="I19" i="14"/>
  <c r="J20" i="14"/>
  <c r="I20" i="14"/>
  <c r="J17" i="14"/>
  <c r="I17" i="14"/>
  <c r="J22" i="14"/>
  <c r="I22" i="14"/>
  <c r="J21" i="14"/>
  <c r="I21" i="14"/>
  <c r="J14" i="14"/>
  <c r="I14" i="14"/>
  <c r="J18" i="14"/>
  <c r="I18" i="14"/>
  <c r="J13" i="14"/>
  <c r="I13" i="14"/>
  <c r="J11" i="14"/>
  <c r="I11" i="14"/>
  <c r="J16" i="14"/>
  <c r="I16" i="14"/>
  <c r="J15" i="14"/>
  <c r="I15" i="14"/>
  <c r="J12" i="14"/>
  <c r="I12" i="14"/>
  <c r="J10" i="14"/>
  <c r="I10" i="14"/>
  <c r="J9" i="14"/>
  <c r="I9" i="14"/>
  <c r="J8" i="14"/>
  <c r="I8" i="14"/>
  <c r="J7" i="14"/>
  <c r="I7" i="14"/>
  <c r="J6" i="14"/>
  <c r="I6" i="14"/>
  <c r="J4" i="14"/>
  <c r="I4" i="14"/>
  <c r="J3" i="14"/>
  <c r="I3" i="14"/>
  <c r="J5" i="14"/>
  <c r="I5" i="14"/>
  <c r="E2" i="14"/>
  <c r="D2" i="14"/>
  <c r="C49" i="8"/>
  <c r="G49" i="8"/>
  <c r="I49" i="8" l="1"/>
  <c r="H49" i="8"/>
  <c r="A4" i="13"/>
  <c r="D2" i="6"/>
  <c r="B9" i="13"/>
  <c r="O9" i="13"/>
  <c r="P9" i="13"/>
  <c r="N9" i="13"/>
  <c r="M9" i="13"/>
  <c r="D9" i="13"/>
  <c r="E9" i="13"/>
  <c r="F9" i="13"/>
  <c r="G9" i="13"/>
  <c r="H9" i="13"/>
  <c r="I9" i="13"/>
  <c r="J9" i="13"/>
  <c r="K9" i="13"/>
  <c r="L9" i="13"/>
  <c r="C9" i="13"/>
  <c r="F49" i="8"/>
  <c r="B49" i="8"/>
  <c r="E49" i="8"/>
  <c r="D49" i="8"/>
  <c r="C50" i="8"/>
  <c r="G50" i="8"/>
  <c r="P4" i="13" l="1"/>
  <c r="L4" i="13"/>
  <c r="H4" i="13"/>
  <c r="O4" i="13"/>
  <c r="K4" i="13"/>
  <c r="G4" i="13"/>
  <c r="N4" i="13"/>
  <c r="J4" i="13"/>
  <c r="F4" i="13"/>
  <c r="B4" i="13"/>
  <c r="M4" i="13"/>
  <c r="I4" i="13"/>
  <c r="E4" i="13"/>
  <c r="H50" i="8"/>
  <c r="I50" i="8"/>
  <c r="B50" i="8"/>
  <c r="D50" i="8"/>
  <c r="E50" i="8"/>
  <c r="F50" i="8"/>
  <c r="D51" i="8"/>
  <c r="G51" i="8"/>
  <c r="I51" i="8" l="1"/>
  <c r="H51" i="8"/>
  <c r="B51" i="8"/>
  <c r="C51" i="8"/>
  <c r="F51" i="8"/>
  <c r="F52" i="8"/>
  <c r="E51" i="8"/>
  <c r="G52" i="8"/>
  <c r="I52" i="8" l="1"/>
  <c r="H52" i="8"/>
  <c r="C52" i="2"/>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D52" i="8"/>
  <c r="D53" i="8"/>
  <c r="C52" i="8"/>
  <c r="E52" i="8"/>
  <c r="B52" i="8"/>
  <c r="G53" i="8"/>
  <c r="I53" i="8" l="1"/>
  <c r="H53" i="8"/>
  <c r="C167" i="2"/>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C53" i="8"/>
  <c r="G54" i="8"/>
  <c r="E53" i="8"/>
  <c r="B53" i="8"/>
  <c r="E54" i="8"/>
  <c r="D54" i="8"/>
  <c r="F53" i="8"/>
  <c r="I54" i="8" l="1"/>
  <c r="H54" i="8"/>
  <c r="C335" i="2"/>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Z500" i="2" s="1"/>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Z596" i="2" s="1"/>
  <c r="T597" i="2"/>
  <c r="T598" i="2"/>
  <c r="T599" i="2"/>
  <c r="T600" i="2"/>
  <c r="T601" i="2"/>
  <c r="T602" i="2"/>
  <c r="T603" i="2"/>
  <c r="T604" i="2"/>
  <c r="T605" i="2"/>
  <c r="T606" i="2"/>
  <c r="T607" i="2"/>
  <c r="T608" i="2"/>
  <c r="T609" i="2"/>
  <c r="T610" i="2"/>
  <c r="T611" i="2"/>
  <c r="T612" i="2"/>
  <c r="Z612" i="2" s="1"/>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Z578" i="2" s="1"/>
  <c r="Y579" i="2"/>
  <c r="Y580" i="2"/>
  <c r="Y581" i="2"/>
  <c r="Y582" i="2"/>
  <c r="Y583" i="2"/>
  <c r="Y584" i="2"/>
  <c r="Y585" i="2"/>
  <c r="Y586" i="2"/>
  <c r="Y587" i="2"/>
  <c r="Y588" i="2"/>
  <c r="Y589" i="2"/>
  <c r="Y590" i="2"/>
  <c r="Y591" i="2"/>
  <c r="Y592" i="2"/>
  <c r="Y593" i="2"/>
  <c r="Y594" i="2"/>
  <c r="Z594" i="2" s="1"/>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Z175" i="2" s="1"/>
  <c r="Y176" i="2"/>
  <c r="Y177" i="2"/>
  <c r="Y178" i="2"/>
  <c r="Y179" i="2"/>
  <c r="Z179" i="2" s="1"/>
  <c r="Y180" i="2"/>
  <c r="Y181" i="2"/>
  <c r="Y182" i="2"/>
  <c r="Y183" i="2"/>
  <c r="Z183" i="2" s="1"/>
  <c r="Y184" i="2"/>
  <c r="Y185" i="2"/>
  <c r="Y186" i="2"/>
  <c r="Y187" i="2"/>
  <c r="Z187" i="2" s="1"/>
  <c r="Y188" i="2"/>
  <c r="Y189" i="2"/>
  <c r="Y190" i="2"/>
  <c r="Y191" i="2"/>
  <c r="Z191" i="2" s="1"/>
  <c r="Y192" i="2"/>
  <c r="Y193" i="2"/>
  <c r="Y194" i="2"/>
  <c r="Y195" i="2"/>
  <c r="Z195" i="2" s="1"/>
  <c r="Y196" i="2"/>
  <c r="Y197" i="2"/>
  <c r="Y198" i="2"/>
  <c r="Y199" i="2"/>
  <c r="Z199" i="2" s="1"/>
  <c r="Y200" i="2"/>
  <c r="Y201" i="2"/>
  <c r="Y202" i="2"/>
  <c r="Y203" i="2"/>
  <c r="Z203" i="2" s="1"/>
  <c r="Y204" i="2"/>
  <c r="Y205" i="2"/>
  <c r="Y206" i="2"/>
  <c r="Y207" i="2"/>
  <c r="Z207" i="2" s="1"/>
  <c r="Y208" i="2"/>
  <c r="Y209" i="2"/>
  <c r="Y210" i="2"/>
  <c r="Y211" i="2"/>
  <c r="Y212" i="2"/>
  <c r="Y213" i="2"/>
  <c r="Y214" i="2"/>
  <c r="Y215" i="2"/>
  <c r="Y216" i="2"/>
  <c r="Y217" i="2"/>
  <c r="Y218" i="2"/>
  <c r="Y219" i="2"/>
  <c r="Z219" i="2" s="1"/>
  <c r="Y220" i="2"/>
  <c r="Y221" i="2"/>
  <c r="Y222" i="2"/>
  <c r="Y223" i="2"/>
  <c r="Z223" i="2" s="1"/>
  <c r="Y224" i="2"/>
  <c r="Y225" i="2"/>
  <c r="Y226" i="2"/>
  <c r="Y227" i="2"/>
  <c r="Z227" i="2" s="1"/>
  <c r="Y228" i="2"/>
  <c r="Y229" i="2"/>
  <c r="Y230" i="2"/>
  <c r="Y231" i="2"/>
  <c r="Z231" i="2" s="1"/>
  <c r="Y232" i="2"/>
  <c r="Y233" i="2"/>
  <c r="Y234" i="2"/>
  <c r="Y235" i="2"/>
  <c r="Z235" i="2" s="1"/>
  <c r="Y23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O298" i="2" s="1"/>
  <c r="I299" i="2"/>
  <c r="I300" i="2"/>
  <c r="I301" i="2"/>
  <c r="I302" i="2"/>
  <c r="O302" i="2" s="1"/>
  <c r="I303" i="2"/>
  <c r="I304" i="2"/>
  <c r="I305" i="2"/>
  <c r="I306" i="2"/>
  <c r="O306" i="2" s="1"/>
  <c r="I307" i="2"/>
  <c r="I308" i="2"/>
  <c r="I309" i="2"/>
  <c r="I310" i="2"/>
  <c r="O310" i="2" s="1"/>
  <c r="I311" i="2"/>
  <c r="I312" i="2"/>
  <c r="I313" i="2"/>
  <c r="I314" i="2"/>
  <c r="O314" i="2" s="1"/>
  <c r="I315" i="2"/>
  <c r="I316" i="2"/>
  <c r="I317" i="2"/>
  <c r="I318" i="2"/>
  <c r="O318" i="2" s="1"/>
  <c r="I319" i="2"/>
  <c r="I320" i="2"/>
  <c r="I321" i="2"/>
  <c r="I322" i="2"/>
  <c r="O322" i="2" s="1"/>
  <c r="I323" i="2"/>
  <c r="I324" i="2"/>
  <c r="I325" i="2"/>
  <c r="I326" i="2"/>
  <c r="O326" i="2" s="1"/>
  <c r="I327" i="2"/>
  <c r="I328" i="2"/>
  <c r="I329" i="2"/>
  <c r="I330" i="2"/>
  <c r="O330" i="2" s="1"/>
  <c r="I331" i="2"/>
  <c r="I332" i="2"/>
  <c r="I333" i="2"/>
  <c r="I334" i="2"/>
  <c r="O334" i="2" s="1"/>
  <c r="I335" i="2"/>
  <c r="I336" i="2"/>
  <c r="I337" i="2"/>
  <c r="I338" i="2"/>
  <c r="O338" i="2" s="1"/>
  <c r="I339" i="2"/>
  <c r="I340" i="2"/>
  <c r="I341" i="2"/>
  <c r="I342" i="2"/>
  <c r="O342" i="2" s="1"/>
  <c r="I343" i="2"/>
  <c r="I344" i="2"/>
  <c r="I345" i="2"/>
  <c r="I346" i="2"/>
  <c r="O346" i="2" s="1"/>
  <c r="I347" i="2"/>
  <c r="I348" i="2"/>
  <c r="I349" i="2"/>
  <c r="I350" i="2"/>
  <c r="O350" i="2" s="1"/>
  <c r="I351" i="2"/>
  <c r="I352" i="2"/>
  <c r="I353" i="2"/>
  <c r="I354" i="2"/>
  <c r="O354" i="2" s="1"/>
  <c r="I355" i="2"/>
  <c r="I356" i="2"/>
  <c r="I357" i="2"/>
  <c r="I358" i="2"/>
  <c r="O358" i="2" s="1"/>
  <c r="I359" i="2"/>
  <c r="I360" i="2"/>
  <c r="I361" i="2"/>
  <c r="I362" i="2"/>
  <c r="O362" i="2" s="1"/>
  <c r="I363" i="2"/>
  <c r="I364" i="2"/>
  <c r="I365"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O753" i="2" s="1"/>
  <c r="I754" i="2"/>
  <c r="I755" i="2"/>
  <c r="I756" i="2"/>
  <c r="I757" i="2"/>
  <c r="O757" i="2" s="1"/>
  <c r="I758" i="2"/>
  <c r="I759" i="2"/>
  <c r="I760" i="2"/>
  <c r="I761" i="2"/>
  <c r="O761" i="2" s="1"/>
  <c r="I762" i="2"/>
  <c r="I763" i="2"/>
  <c r="I764" i="2"/>
  <c r="I765" i="2"/>
  <c r="O765" i="2" s="1"/>
  <c r="I766" i="2"/>
  <c r="I767" i="2"/>
  <c r="I768" i="2"/>
  <c r="I769" i="2"/>
  <c r="O769" i="2" s="1"/>
  <c r="I770" i="2"/>
  <c r="I771" i="2"/>
  <c r="I772" i="2"/>
  <c r="I773" i="2"/>
  <c r="O773" i="2" s="1"/>
  <c r="I774" i="2"/>
  <c r="I775" i="2"/>
  <c r="I776" i="2"/>
  <c r="I777" i="2"/>
  <c r="O777" i="2" s="1"/>
  <c r="I778" i="2"/>
  <c r="I779" i="2"/>
  <c r="I780" i="2"/>
  <c r="I781" i="2"/>
  <c r="O781" i="2" s="1"/>
  <c r="I782" i="2"/>
  <c r="I783" i="2"/>
  <c r="I784" i="2"/>
  <c r="I785" i="2"/>
  <c r="O785" i="2" s="1"/>
  <c r="I786" i="2"/>
  <c r="I787" i="2"/>
  <c r="I788" i="2"/>
  <c r="I789" i="2"/>
  <c r="O789" i="2" s="1"/>
  <c r="I790" i="2"/>
  <c r="I791" i="2"/>
  <c r="I792" i="2"/>
  <c r="I793" i="2"/>
  <c r="O793" i="2" s="1"/>
  <c r="I794" i="2"/>
  <c r="I795" i="2"/>
  <c r="I796" i="2"/>
  <c r="I797" i="2"/>
  <c r="O797" i="2" s="1"/>
  <c r="I798" i="2"/>
  <c r="I799" i="2"/>
  <c r="I800" i="2"/>
  <c r="O800" i="2" s="1"/>
  <c r="I801" i="2"/>
  <c r="O801" i="2" s="1"/>
  <c r="I802" i="2"/>
  <c r="I803" i="2"/>
  <c r="I804" i="2"/>
  <c r="O804" i="2" s="1"/>
  <c r="I805" i="2"/>
  <c r="O805" i="2" s="1"/>
  <c r="I806" i="2"/>
  <c r="I807" i="2"/>
  <c r="I808" i="2"/>
  <c r="O808" i="2" s="1"/>
  <c r="I809" i="2"/>
  <c r="O809" i="2" s="1"/>
  <c r="I810" i="2"/>
  <c r="I811" i="2"/>
  <c r="I812" i="2"/>
  <c r="O812" i="2" s="1"/>
  <c r="I813" i="2"/>
  <c r="O813" i="2" s="1"/>
  <c r="I814" i="2"/>
  <c r="I815" i="2"/>
  <c r="I816" i="2"/>
  <c r="O816" i="2" s="1"/>
  <c r="I817" i="2"/>
  <c r="O817" i="2" s="1"/>
  <c r="I818" i="2"/>
  <c r="I819" i="2"/>
  <c r="I820" i="2"/>
  <c r="O820" i="2" s="1"/>
  <c r="I821" i="2"/>
  <c r="O821" i="2" s="1"/>
  <c r="I822" i="2"/>
  <c r="I823" i="2"/>
  <c r="I824" i="2"/>
  <c r="O824" i="2" s="1"/>
  <c r="I825" i="2"/>
  <c r="O825" i="2" s="1"/>
  <c r="I826" i="2"/>
  <c r="I827" i="2"/>
  <c r="I828" i="2"/>
  <c r="O828" i="2" s="1"/>
  <c r="I829" i="2"/>
  <c r="O829" i="2" s="1"/>
  <c r="I830" i="2"/>
  <c r="I831" i="2"/>
  <c r="I832" i="2"/>
  <c r="O832" i="2" s="1"/>
  <c r="I833" i="2"/>
  <c r="O833" i="2" s="1"/>
  <c r="I834" i="2"/>
  <c r="I835" i="2"/>
  <c r="I836" i="2"/>
  <c r="O836" i="2" s="1"/>
  <c r="I837" i="2"/>
  <c r="O837" i="2" s="1"/>
  <c r="I838" i="2"/>
  <c r="I839" i="2"/>
  <c r="I840" i="2"/>
  <c r="O840" i="2" s="1"/>
  <c r="I841" i="2"/>
  <c r="O841" i="2" s="1"/>
  <c r="I842" i="2"/>
  <c r="I843" i="2"/>
  <c r="I844" i="2"/>
  <c r="O844" i="2" s="1"/>
  <c r="I845" i="2"/>
  <c r="O845" i="2" s="1"/>
  <c r="I846" i="2"/>
  <c r="I847" i="2"/>
  <c r="I848" i="2"/>
  <c r="O848" i="2" s="1"/>
  <c r="I849" i="2"/>
  <c r="O849" i="2" s="1"/>
  <c r="I850" i="2"/>
  <c r="I851" i="2"/>
  <c r="I852" i="2"/>
  <c r="O852" i="2" s="1"/>
  <c r="I853" i="2"/>
  <c r="O853" i="2" s="1"/>
  <c r="I854" i="2"/>
  <c r="I855" i="2"/>
  <c r="I856" i="2"/>
  <c r="O856" i="2" s="1"/>
  <c r="I857" i="2"/>
  <c r="O857" i="2" s="1"/>
  <c r="I858" i="2"/>
  <c r="I859" i="2"/>
  <c r="I860" i="2"/>
  <c r="O860" i="2" s="1"/>
  <c r="I861" i="2"/>
  <c r="O861" i="2" s="1"/>
  <c r="I862" i="2"/>
  <c r="I863" i="2"/>
  <c r="I864" i="2"/>
  <c r="O864" i="2" s="1"/>
  <c r="I865" i="2"/>
  <c r="O865" i="2" s="1"/>
  <c r="I866" i="2"/>
  <c r="I867" i="2"/>
  <c r="I868" i="2"/>
  <c r="O868" i="2" s="1"/>
  <c r="I869" i="2"/>
  <c r="O869" i="2" s="1"/>
  <c r="I870" i="2"/>
  <c r="I871" i="2"/>
  <c r="I872" i="2"/>
  <c r="O872" i="2" s="1"/>
  <c r="I873" i="2"/>
  <c r="O873" i="2" s="1"/>
  <c r="I874" i="2"/>
  <c r="I875" i="2"/>
  <c r="I876" i="2"/>
  <c r="O876" i="2" s="1"/>
  <c r="I877" i="2"/>
  <c r="O877" i="2" s="1"/>
  <c r="I878" i="2"/>
  <c r="I879" i="2"/>
  <c r="I880" i="2"/>
  <c r="O880" i="2" s="1"/>
  <c r="I881" i="2"/>
  <c r="O881" i="2" s="1"/>
  <c r="I882" i="2"/>
  <c r="I883" i="2"/>
  <c r="I884" i="2"/>
  <c r="O884" i="2" s="1"/>
  <c r="I885" i="2"/>
  <c r="O885" i="2" s="1"/>
  <c r="I886" i="2"/>
  <c r="I887" i="2"/>
  <c r="I888" i="2"/>
  <c r="O888" i="2" s="1"/>
  <c r="I889" i="2"/>
  <c r="O889" i="2" s="1"/>
  <c r="I890" i="2"/>
  <c r="I891" i="2"/>
  <c r="I892" i="2"/>
  <c r="O892" i="2" s="1"/>
  <c r="I893" i="2"/>
  <c r="O893" i="2" s="1"/>
  <c r="I894" i="2"/>
  <c r="I895" i="2"/>
  <c r="I896" i="2"/>
  <c r="I897" i="2"/>
  <c r="O897" i="2" s="1"/>
  <c r="I898" i="2"/>
  <c r="I899" i="2"/>
  <c r="I900" i="2"/>
  <c r="I901" i="2"/>
  <c r="O901" i="2" s="1"/>
  <c r="I902" i="2"/>
  <c r="I903" i="2"/>
  <c r="I904" i="2"/>
  <c r="I905" i="2"/>
  <c r="O905" i="2" s="1"/>
  <c r="I906" i="2"/>
  <c r="I907" i="2"/>
  <c r="I908" i="2"/>
  <c r="I909" i="2"/>
  <c r="O909" i="2" s="1"/>
  <c r="I910" i="2"/>
  <c r="I911" i="2"/>
  <c r="I912" i="2"/>
  <c r="I913" i="2"/>
  <c r="O913" i="2" s="1"/>
  <c r="I914" i="2"/>
  <c r="I915" i="2"/>
  <c r="I916" i="2"/>
  <c r="I917" i="2"/>
  <c r="O917" i="2" s="1"/>
  <c r="I918" i="2"/>
  <c r="I919" i="2"/>
  <c r="I920" i="2"/>
  <c r="I921" i="2"/>
  <c r="O921" i="2" s="1"/>
  <c r="I922" i="2"/>
  <c r="I923" i="2"/>
  <c r="I924" i="2"/>
  <c r="I925" i="2"/>
  <c r="O925" i="2" s="1"/>
  <c r="I926" i="2"/>
  <c r="I927" i="2"/>
  <c r="I928"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E55" i="8"/>
  <c r="B55" i="8"/>
  <c r="D55" i="8"/>
  <c r="F55" i="8"/>
  <c r="B54" i="8"/>
  <c r="C54" i="8"/>
  <c r="G55" i="8"/>
  <c r="C55" i="8"/>
  <c r="F54" i="8"/>
  <c r="D10" i="13" l="1"/>
  <c r="D12" i="13"/>
  <c r="D6" i="13"/>
  <c r="D5" i="13"/>
  <c r="D4" i="13"/>
  <c r="D11" i="13"/>
  <c r="R3" i="18" a="1"/>
  <c r="R3" i="18" s="1"/>
  <c r="Z50" i="2"/>
  <c r="Z30" i="2"/>
  <c r="Z26" i="2"/>
  <c r="O313" i="2"/>
  <c r="O309" i="2"/>
  <c r="O305" i="2"/>
  <c r="O297" i="2"/>
  <c r="O293" i="2"/>
  <c r="O289" i="2"/>
  <c r="O285" i="2"/>
  <c r="O281" i="2"/>
  <c r="O277" i="2"/>
  <c r="O273" i="2"/>
  <c r="O269" i="2"/>
  <c r="O265" i="2"/>
  <c r="O261" i="2"/>
  <c r="O257" i="2"/>
  <c r="O253" i="2"/>
  <c r="O249" i="2"/>
  <c r="O245" i="2"/>
  <c r="O241" i="2"/>
  <c r="O237" i="2"/>
  <c r="O233" i="2"/>
  <c r="O225" i="2"/>
  <c r="O221" i="2"/>
  <c r="O217" i="2"/>
  <c r="O213" i="2"/>
  <c r="O209" i="2"/>
  <c r="O205" i="2"/>
  <c r="O201" i="2"/>
  <c r="O197" i="2"/>
  <c r="O193" i="2"/>
  <c r="O189" i="2"/>
  <c r="O185" i="2"/>
  <c r="O181" i="2"/>
  <c r="O177" i="2"/>
  <c r="O173" i="2"/>
  <c r="O169" i="2"/>
  <c r="O165" i="2"/>
  <c r="O161" i="2"/>
  <c r="O157" i="2"/>
  <c r="O153" i="2"/>
  <c r="O149" i="2"/>
  <c r="O145" i="2"/>
  <c r="O141" i="2"/>
  <c r="O137" i="2"/>
  <c r="O133" i="2"/>
  <c r="O129" i="2"/>
  <c r="O125" i="2"/>
  <c r="O121" i="2"/>
  <c r="O117" i="2"/>
  <c r="Z221" i="2"/>
  <c r="Z217" i="2"/>
  <c r="Z209" i="2"/>
  <c r="Z197" i="2"/>
  <c r="Z189" i="2"/>
  <c r="Z185" i="2"/>
  <c r="Z181" i="2"/>
  <c r="Z177" i="2"/>
  <c r="Z173" i="2"/>
  <c r="Z169" i="2"/>
  <c r="Z165" i="2"/>
  <c r="Z161" i="2"/>
  <c r="Z157" i="2"/>
  <c r="Z153" i="2"/>
  <c r="Z149" i="2"/>
  <c r="Z145" i="2"/>
  <c r="Z141" i="2"/>
  <c r="Z137" i="2"/>
  <c r="Z133" i="2"/>
  <c r="Z129" i="2"/>
  <c r="Z125" i="2"/>
  <c r="Z121" i="2"/>
  <c r="Z117" i="2"/>
  <c r="Z113" i="2"/>
  <c r="Z109" i="2"/>
  <c r="Z105" i="2"/>
  <c r="Z101" i="2"/>
  <c r="Z97" i="2"/>
  <c r="Z93" i="2"/>
  <c r="Z89" i="2"/>
  <c r="Z81" i="2"/>
  <c r="Z77" i="2"/>
  <c r="Z73" i="2"/>
  <c r="Z69" i="2"/>
  <c r="Z65" i="2"/>
  <c r="Z61" i="2"/>
  <c r="Z57" i="2"/>
  <c r="Z53" i="2"/>
  <c r="Z49" i="2"/>
  <c r="Z45" i="2"/>
  <c r="Z37" i="2"/>
  <c r="Z33" i="2"/>
  <c r="Z29" i="2"/>
  <c r="Z25" i="2"/>
  <c r="Z21" i="2"/>
  <c r="Z17" i="2"/>
  <c r="Z13" i="2"/>
  <c r="Z9" i="2"/>
  <c r="Z325" i="2"/>
  <c r="Z321" i="2"/>
  <c r="Z313" i="2"/>
  <c r="Z309" i="2"/>
  <c r="Z305" i="2"/>
  <c r="Z301" i="2"/>
  <c r="Z297" i="2"/>
  <c r="Z293" i="2"/>
  <c r="Z289" i="2"/>
  <c r="Z285" i="2"/>
  <c r="Z281" i="2"/>
  <c r="Z277" i="2"/>
  <c r="Z273" i="2"/>
  <c r="Z269" i="2"/>
  <c r="Z265" i="2"/>
  <c r="Z261" i="2"/>
  <c r="Z257" i="2"/>
  <c r="Z253" i="2"/>
  <c r="Z249" i="2"/>
  <c r="Z245" i="2"/>
  <c r="Z241" i="2"/>
  <c r="O115" i="2"/>
  <c r="O111" i="2"/>
  <c r="O107" i="2"/>
  <c r="O103" i="2"/>
  <c r="O99" i="2"/>
  <c r="O95" i="2"/>
  <c r="O91" i="2"/>
  <c r="O87" i="2"/>
  <c r="O79" i="2"/>
  <c r="O75" i="2"/>
  <c r="O47" i="2"/>
  <c r="O39" i="2"/>
  <c r="O35" i="2"/>
  <c r="O31" i="2"/>
  <c r="O27" i="2"/>
  <c r="O23" i="2"/>
  <c r="O19" i="2"/>
  <c r="O11" i="2"/>
  <c r="O3" i="2"/>
  <c r="O108" i="2"/>
  <c r="O88" i="2"/>
  <c r="O112" i="2"/>
  <c r="O104" i="2"/>
  <c r="O96" i="2"/>
  <c r="O60" i="2"/>
  <c r="O52" i="2"/>
  <c r="O32" i="2"/>
  <c r="O16" i="2"/>
  <c r="O364" i="2"/>
  <c r="O360" i="2"/>
  <c r="O356" i="2"/>
  <c r="O352" i="2"/>
  <c r="O348" i="2"/>
  <c r="O344" i="2"/>
  <c r="O340" i="2"/>
  <c r="O336" i="2"/>
  <c r="O332" i="2"/>
  <c r="O328" i="2"/>
  <c r="O324" i="2"/>
  <c r="O320" i="2"/>
  <c r="O316" i="2"/>
  <c r="O304" i="2"/>
  <c r="O300" i="2"/>
  <c r="O292" i="2"/>
  <c r="O288" i="2"/>
  <c r="O284" i="2"/>
  <c r="O280" i="2"/>
  <c r="O276" i="2"/>
  <c r="O272" i="2"/>
  <c r="O268" i="2"/>
  <c r="O264" i="2"/>
  <c r="O260" i="2"/>
  <c r="O256" i="2"/>
  <c r="O252" i="2"/>
  <c r="O248" i="2"/>
  <c r="O244" i="2"/>
  <c r="O240" i="2"/>
  <c r="O236" i="2"/>
  <c r="O232" i="2"/>
  <c r="O228" i="2"/>
  <c r="O224" i="2"/>
  <c r="O220" i="2"/>
  <c r="O216" i="2"/>
  <c r="O212" i="2"/>
  <c r="O208" i="2"/>
  <c r="O204" i="2"/>
  <c r="O200" i="2"/>
  <c r="O196" i="2"/>
  <c r="O192" i="2"/>
  <c r="O188" i="2"/>
  <c r="O184" i="2"/>
  <c r="O180" i="2"/>
  <c r="O176" i="2"/>
  <c r="O172" i="2"/>
  <c r="O168" i="2"/>
  <c r="O164" i="2"/>
  <c r="O160" i="2"/>
  <c r="O156" i="2"/>
  <c r="O152" i="2"/>
  <c r="O148" i="2"/>
  <c r="O144" i="2"/>
  <c r="O140" i="2"/>
  <c r="O136" i="2"/>
  <c r="O132" i="2"/>
  <c r="O128" i="2"/>
  <c r="O124" i="2"/>
  <c r="O120" i="2"/>
  <c r="O116" i="2"/>
  <c r="Z928" i="2"/>
  <c r="Z332" i="2"/>
  <c r="Z316" i="2"/>
  <c r="O56" i="2"/>
  <c r="O48" i="2"/>
  <c r="O36" i="2"/>
  <c r="O28" i="2"/>
  <c r="O20" i="2"/>
  <c r="O12" i="2"/>
  <c r="O926" i="2"/>
  <c r="O922" i="2"/>
  <c r="O918" i="2"/>
  <c r="O914" i="2"/>
  <c r="O910" i="2"/>
  <c r="O906" i="2"/>
  <c r="O902" i="2"/>
  <c r="O898" i="2"/>
  <c r="O894" i="2"/>
  <c r="O890" i="2"/>
  <c r="O886" i="2"/>
  <c r="O882" i="2"/>
  <c r="O878" i="2"/>
  <c r="O874" i="2"/>
  <c r="O870" i="2"/>
  <c r="O866" i="2"/>
  <c r="O862" i="2"/>
  <c r="O858" i="2"/>
  <c r="O854" i="2"/>
  <c r="O850" i="2"/>
  <c r="O846" i="2"/>
  <c r="O842" i="2"/>
  <c r="O838" i="2"/>
  <c r="O834" i="2"/>
  <c r="O830" i="2"/>
  <c r="O826" i="2"/>
  <c r="O822" i="2"/>
  <c r="O818" i="2"/>
  <c r="O814" i="2"/>
  <c r="O810" i="2"/>
  <c r="O806" i="2"/>
  <c r="O802" i="2"/>
  <c r="O798" i="2"/>
  <c r="O794" i="2"/>
  <c r="O790" i="2"/>
  <c r="O786" i="2"/>
  <c r="O782" i="2"/>
  <c r="O778" i="2"/>
  <c r="O774" i="2"/>
  <c r="O770" i="2"/>
  <c r="O766" i="2"/>
  <c r="O762" i="2"/>
  <c r="O682" i="2"/>
  <c r="O678" i="2"/>
  <c r="O674" i="2"/>
  <c r="O670" i="2"/>
  <c r="O666" i="2"/>
  <c r="O662" i="2"/>
  <c r="O658" i="2"/>
  <c r="O654" i="2"/>
  <c r="O650" i="2"/>
  <c r="O646" i="2"/>
  <c r="O642" i="2"/>
  <c r="O638" i="2"/>
  <c r="O634" i="2"/>
  <c r="O630" i="2"/>
  <c r="O626" i="2"/>
  <c r="O622" i="2"/>
  <c r="O618" i="2"/>
  <c r="O614" i="2"/>
  <c r="O610" i="2"/>
  <c r="O606" i="2"/>
  <c r="O602" i="2"/>
  <c r="O598" i="2"/>
  <c r="O594" i="2"/>
  <c r="O311" i="2"/>
  <c r="O303" i="2"/>
  <c r="O295" i="2"/>
  <c r="O287" i="2"/>
  <c r="O283" i="2"/>
  <c r="O279" i="2"/>
  <c r="O275" i="2"/>
  <c r="O271" i="2"/>
  <c r="O267" i="2"/>
  <c r="O263" i="2"/>
  <c r="O259" i="2"/>
  <c r="O255" i="2"/>
  <c r="O251" i="2"/>
  <c r="O247" i="2"/>
  <c r="I55" i="8"/>
  <c r="H55" i="8"/>
  <c r="Z312" i="2"/>
  <c r="Z308" i="2"/>
  <c r="Z304" i="2"/>
  <c r="Z300" i="2"/>
  <c r="Z296" i="2"/>
  <c r="Z292" i="2"/>
  <c r="Z288" i="2"/>
  <c r="Z284" i="2"/>
  <c r="Z280" i="2"/>
  <c r="Z276" i="2"/>
  <c r="Z272" i="2"/>
  <c r="Z268" i="2"/>
  <c r="Z264" i="2"/>
  <c r="Z260" i="2"/>
  <c r="Z256" i="2"/>
  <c r="Z252" i="2"/>
  <c r="Z248" i="2"/>
  <c r="Z244" i="2"/>
  <c r="Z240" i="2"/>
  <c r="Z924" i="2"/>
  <c r="Z920" i="2"/>
  <c r="Z916" i="2"/>
  <c r="Z912" i="2"/>
  <c r="Z908" i="2"/>
  <c r="Z904" i="2"/>
  <c r="Z900" i="2"/>
  <c r="Z896" i="2"/>
  <c r="Z892" i="2"/>
  <c r="Z888" i="2"/>
  <c r="Z884" i="2"/>
  <c r="Z880" i="2"/>
  <c r="Z876" i="2"/>
  <c r="Z872" i="2"/>
  <c r="Z868" i="2"/>
  <c r="Z864" i="2"/>
  <c r="Z860" i="2"/>
  <c r="Z856" i="2"/>
  <c r="Z852" i="2"/>
  <c r="Z848" i="2"/>
  <c r="Z844" i="2"/>
  <c r="Z840" i="2"/>
  <c r="Z836" i="2"/>
  <c r="Z832" i="2"/>
  <c r="Z828" i="2"/>
  <c r="Z824" i="2"/>
  <c r="Z820" i="2"/>
  <c r="Z816" i="2"/>
  <c r="Z812" i="2"/>
  <c r="Z808" i="2"/>
  <c r="Z804" i="2"/>
  <c r="Z800" i="2"/>
  <c r="Z796" i="2"/>
  <c r="Z792" i="2"/>
  <c r="Z788" i="2"/>
  <c r="Z784" i="2"/>
  <c r="Z780" i="2"/>
  <c r="Z776" i="2"/>
  <c r="Z772" i="2"/>
  <c r="Z768" i="2"/>
  <c r="Z764" i="2"/>
  <c r="Z760" i="2"/>
  <c r="Z756" i="2"/>
  <c r="Z752" i="2"/>
  <c r="Z748" i="2"/>
  <c r="Z744" i="2"/>
  <c r="Z740" i="2"/>
  <c r="Z736" i="2"/>
  <c r="Z732" i="2"/>
  <c r="Z728" i="2"/>
  <c r="Z724" i="2"/>
  <c r="Z720" i="2"/>
  <c r="Z716" i="2"/>
  <c r="Z712" i="2"/>
  <c r="Z708" i="2"/>
  <c r="Z704" i="2"/>
  <c r="Z700" i="2"/>
  <c r="Z696" i="2"/>
  <c r="Z692" i="2"/>
  <c r="Z688" i="2"/>
  <c r="Z684" i="2"/>
  <c r="Z680" i="2"/>
  <c r="Z676" i="2"/>
  <c r="Z672" i="2"/>
  <c r="Z668" i="2"/>
  <c r="Z664" i="2"/>
  <c r="Z660" i="2"/>
  <c r="Z656" i="2"/>
  <c r="Z652" i="2"/>
  <c r="Z648" i="2"/>
  <c r="Z644" i="2"/>
  <c r="Z640" i="2"/>
  <c r="Z636" i="2"/>
  <c r="Z632" i="2"/>
  <c r="Z628" i="2"/>
  <c r="Z624" i="2"/>
  <c r="Z620" i="2"/>
  <c r="Z616" i="2"/>
  <c r="O105" i="2"/>
  <c r="O85" i="2"/>
  <c r="O77" i="2"/>
  <c r="O65" i="2"/>
  <c r="O53" i="2"/>
  <c r="O45" i="2"/>
  <c r="O29" i="2"/>
  <c r="O13" i="2"/>
  <c r="O113" i="2"/>
  <c r="O101" i="2"/>
  <c r="O81" i="2"/>
  <c r="O69" i="2"/>
  <c r="O61" i="2"/>
  <c r="O49" i="2"/>
  <c r="O37" i="2"/>
  <c r="O25" i="2"/>
  <c r="O17" i="2"/>
  <c r="O927" i="2"/>
  <c r="O923" i="2"/>
  <c r="O919" i="2"/>
  <c r="O915" i="2"/>
  <c r="O911" i="2"/>
  <c r="O907" i="2"/>
  <c r="O903" i="2"/>
  <c r="O899" i="2"/>
  <c r="O895" i="2"/>
  <c r="O891" i="2"/>
  <c r="O887" i="2"/>
  <c r="O883" i="2"/>
  <c r="O879" i="2"/>
  <c r="O875" i="2"/>
  <c r="O871" i="2"/>
  <c r="O867" i="2"/>
  <c r="O863" i="2"/>
  <c r="O859" i="2"/>
  <c r="O855" i="2"/>
  <c r="O851" i="2"/>
  <c r="O847" i="2"/>
  <c r="O843" i="2"/>
  <c r="O839" i="2"/>
  <c r="O835" i="2"/>
  <c r="O831" i="2"/>
  <c r="O827" i="2"/>
  <c r="O823" i="2"/>
  <c r="O819" i="2"/>
  <c r="O815" i="2"/>
  <c r="O811" i="2"/>
  <c r="O807" i="2"/>
  <c r="O803" i="2"/>
  <c r="O799" i="2"/>
  <c r="O795" i="2"/>
  <c r="O791" i="2"/>
  <c r="O787" i="2"/>
  <c r="O783" i="2"/>
  <c r="O779" i="2"/>
  <c r="O775" i="2"/>
  <c r="O771" i="2"/>
  <c r="O767" i="2"/>
  <c r="O763" i="2"/>
  <c r="O759" i="2"/>
  <c r="O755" i="2"/>
  <c r="O751" i="2"/>
  <c r="O747" i="2"/>
  <c r="O743" i="2"/>
  <c r="O739" i="2"/>
  <c r="O735" i="2"/>
  <c r="O731" i="2"/>
  <c r="O727" i="2"/>
  <c r="O723" i="2"/>
  <c r="O719" i="2"/>
  <c r="O715" i="2"/>
  <c r="O711" i="2"/>
  <c r="O707" i="2"/>
  <c r="O703" i="2"/>
  <c r="O699" i="2"/>
  <c r="O695" i="2"/>
  <c r="O691" i="2"/>
  <c r="O687" i="2"/>
  <c r="O683" i="2"/>
  <c r="O679" i="2"/>
  <c r="O675" i="2"/>
  <c r="O671" i="2"/>
  <c r="O667" i="2"/>
  <c r="O663" i="2"/>
  <c r="O659" i="2"/>
  <c r="O655" i="2"/>
  <c r="O651" i="2"/>
  <c r="O647" i="2"/>
  <c r="O643" i="2"/>
  <c r="O639" i="2"/>
  <c r="O635" i="2"/>
  <c r="O631" i="2"/>
  <c r="O627" i="2"/>
  <c r="Z496" i="2"/>
  <c r="Z492" i="2"/>
  <c r="Z488" i="2"/>
  <c r="Z484" i="2"/>
  <c r="Z480" i="2"/>
  <c r="Z476" i="2"/>
  <c r="Z472" i="2"/>
  <c r="Z468" i="2"/>
  <c r="Z464" i="2"/>
  <c r="Z460" i="2"/>
  <c r="O623" i="2"/>
  <c r="O619" i="2"/>
  <c r="O615" i="2"/>
  <c r="O611" i="2"/>
  <c r="O607" i="2"/>
  <c r="O603" i="2"/>
  <c r="O599" i="2"/>
  <c r="O595" i="2"/>
  <c r="O591" i="2"/>
  <c r="O587" i="2"/>
  <c r="O583" i="2"/>
  <c r="O579" i="2"/>
  <c r="O575" i="2"/>
  <c r="O571" i="2"/>
  <c r="O567" i="2"/>
  <c r="O563" i="2"/>
  <c r="O559" i="2"/>
  <c r="O555" i="2"/>
  <c r="O551" i="2"/>
  <c r="O547" i="2"/>
  <c r="O543" i="2"/>
  <c r="O539" i="2"/>
  <c r="O535" i="2"/>
  <c r="O531" i="2"/>
  <c r="O527" i="2"/>
  <c r="O523" i="2"/>
  <c r="O519" i="2"/>
  <c r="O515" i="2"/>
  <c r="O511" i="2"/>
  <c r="O507" i="2"/>
  <c r="O503" i="2"/>
  <c r="O499" i="2"/>
  <c r="O495" i="2"/>
  <c r="O491" i="2"/>
  <c r="O487" i="2"/>
  <c r="O483" i="2"/>
  <c r="O479" i="2"/>
  <c r="O475" i="2"/>
  <c r="O471" i="2"/>
  <c r="O467" i="2"/>
  <c r="O463" i="2"/>
  <c r="O459" i="2"/>
  <c r="Z608" i="2"/>
  <c r="Z604" i="2"/>
  <c r="Z600" i="2"/>
  <c r="Z927" i="2"/>
  <c r="Z923" i="2"/>
  <c r="Z919" i="2"/>
  <c r="Z915" i="2"/>
  <c r="Z907" i="2"/>
  <c r="Z903" i="2"/>
  <c r="Z715" i="2"/>
  <c r="Z711" i="2"/>
  <c r="Z707" i="2"/>
  <c r="Z703" i="2"/>
  <c r="Z699" i="2"/>
  <c r="Z691" i="2"/>
  <c r="Z687" i="2"/>
  <c r="Z683" i="2"/>
  <c r="Z611" i="2"/>
  <c r="Z607" i="2"/>
  <c r="Z603" i="2"/>
  <c r="Z599" i="2"/>
  <c r="Z539" i="2"/>
  <c r="Z535" i="2"/>
  <c r="Z531" i="2"/>
  <c r="Z527" i="2"/>
  <c r="Z507" i="2"/>
  <c r="Z503" i="2"/>
  <c r="Z459" i="2"/>
  <c r="O590" i="2"/>
  <c r="O586" i="2"/>
  <c r="O582" i="2"/>
  <c r="O578" i="2"/>
  <c r="O574" i="2"/>
  <c r="O570" i="2"/>
  <c r="O566" i="2"/>
  <c r="O562" i="2"/>
  <c r="O558" i="2"/>
  <c r="O554" i="2"/>
  <c r="O550" i="2"/>
  <c r="O546" i="2"/>
  <c r="O542" i="2"/>
  <c r="O538" i="2"/>
  <c r="O534" i="2"/>
  <c r="O530" i="2"/>
  <c r="O526" i="2"/>
  <c r="O522" i="2"/>
  <c r="O518" i="2"/>
  <c r="O514" i="2"/>
  <c r="O510" i="2"/>
  <c r="O506" i="2"/>
  <c r="O502" i="2"/>
  <c r="O498" i="2"/>
  <c r="O494" i="2"/>
  <c r="O490" i="2"/>
  <c r="O486" i="2"/>
  <c r="O482" i="2"/>
  <c r="O478" i="2"/>
  <c r="O474" i="2"/>
  <c r="O470" i="2"/>
  <c r="O466" i="2"/>
  <c r="O462" i="2"/>
  <c r="O458" i="2"/>
  <c r="Z592" i="2"/>
  <c r="Z588" i="2"/>
  <c r="Z584" i="2"/>
  <c r="Z580" i="2"/>
  <c r="Z348" i="2"/>
  <c r="Z344" i="2"/>
  <c r="Z336" i="2"/>
  <c r="Z882" i="2"/>
  <c r="Z738" i="2"/>
  <c r="Z722" i="2"/>
  <c r="Z682" i="2"/>
  <c r="Z236" i="2"/>
  <c r="Z232" i="2"/>
  <c r="Z228" i="2"/>
  <c r="Z224" i="2"/>
  <c r="Z220" i="2"/>
  <c r="Z208" i="2"/>
  <c r="Z204" i="2"/>
  <c r="Z200" i="2"/>
  <c r="Z196" i="2"/>
  <c r="Z192" i="2"/>
  <c r="Z188" i="2"/>
  <c r="Z184" i="2"/>
  <c r="Z180" i="2"/>
  <c r="Z176" i="2"/>
  <c r="Z172" i="2"/>
  <c r="Z168" i="2"/>
  <c r="Z164" i="2"/>
  <c r="Z160" i="2"/>
  <c r="Z156" i="2"/>
  <c r="Z152" i="2"/>
  <c r="Z148" i="2"/>
  <c r="Z144" i="2"/>
  <c r="Z140" i="2"/>
  <c r="Z136" i="2"/>
  <c r="Z132" i="2"/>
  <c r="Z128" i="2"/>
  <c r="Z124" i="2"/>
  <c r="Z120" i="2"/>
  <c r="Z116" i="2"/>
  <c r="Z112" i="2"/>
  <c r="Z108" i="2"/>
  <c r="Z104" i="2"/>
  <c r="Z100" i="2"/>
  <c r="Z96" i="2"/>
  <c r="Z92" i="2"/>
  <c r="Z88" i="2"/>
  <c r="Z84" i="2"/>
  <c r="Z80" i="2"/>
  <c r="Z76" i="2"/>
  <c r="Z72" i="2"/>
  <c r="Z68" i="2"/>
  <c r="Z64" i="2"/>
  <c r="Z60" i="2"/>
  <c r="Z56" i="2"/>
  <c r="Z52" i="2"/>
  <c r="Z48" i="2"/>
  <c r="Z44" i="2"/>
  <c r="Z40" i="2"/>
  <c r="Z32" i="2"/>
  <c r="Z28" i="2"/>
  <c r="Z24" i="2"/>
  <c r="Z20" i="2"/>
  <c r="Z16" i="2"/>
  <c r="Z12" i="2"/>
  <c r="Z8" i="2"/>
  <c r="Z4" i="2"/>
  <c r="Z324" i="2"/>
  <c r="Z320" i="2"/>
  <c r="Z576" i="2"/>
  <c r="Z572" i="2"/>
  <c r="Z568" i="2"/>
  <c r="Z564" i="2"/>
  <c r="Z560" i="2"/>
  <c r="Z556" i="2"/>
  <c r="Z552" i="2"/>
  <c r="Z548" i="2"/>
  <c r="Z544" i="2"/>
  <c r="Z540" i="2"/>
  <c r="Z536" i="2"/>
  <c r="Z532" i="2"/>
  <c r="Z528" i="2"/>
  <c r="Z524" i="2"/>
  <c r="Z520" i="2"/>
  <c r="Z516" i="2"/>
  <c r="Z512" i="2"/>
  <c r="Z508" i="2"/>
  <c r="Z504" i="2"/>
  <c r="Z328"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O476" i="2"/>
  <c r="O472" i="2"/>
  <c r="O468" i="2"/>
  <c r="O464" i="2"/>
  <c r="O460" i="2"/>
  <c r="Z718" i="2"/>
  <c r="Z714" i="2"/>
  <c r="Z710" i="2"/>
  <c r="Z706" i="2"/>
  <c r="Z702" i="2"/>
  <c r="Z698" i="2"/>
  <c r="Z678" i="2"/>
  <c r="Z674" i="2"/>
  <c r="Z670" i="2"/>
  <c r="Z666" i="2"/>
  <c r="Z662" i="2"/>
  <c r="Z658" i="2"/>
  <c r="Z654" i="2"/>
  <c r="Z490" i="2"/>
  <c r="Z486" i="2"/>
  <c r="Z482" i="2"/>
  <c r="Z478" i="2"/>
  <c r="Z474" i="2"/>
  <c r="Z470" i="2"/>
  <c r="O796" i="2"/>
  <c r="O788" i="2"/>
  <c r="O780" i="2"/>
  <c r="O772" i="2"/>
  <c r="O764" i="2"/>
  <c r="O760" i="2"/>
  <c r="O752" i="2"/>
  <c r="O744" i="2"/>
  <c r="O736" i="2"/>
  <c r="O728" i="2"/>
  <c r="O724" i="2"/>
  <c r="O716" i="2"/>
  <c r="O708" i="2"/>
  <c r="O700" i="2"/>
  <c r="O692" i="2"/>
  <c r="O684" i="2"/>
  <c r="O676" i="2"/>
  <c r="O668" i="2"/>
  <c r="O644"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466" i="2"/>
  <c r="Z462" i="2"/>
  <c r="Z358" i="2"/>
  <c r="Z354" i="2"/>
  <c r="Z350" i="2"/>
  <c r="Z346" i="2"/>
  <c r="Z342" i="2"/>
  <c r="Z694" i="2"/>
  <c r="Z690" i="2"/>
  <c r="Z686" i="2"/>
  <c r="Z610" i="2"/>
  <c r="Z606" i="2"/>
  <c r="Z602" i="2"/>
  <c r="Z598" i="2"/>
  <c r="Z538" i="2"/>
  <c r="Z534" i="2"/>
  <c r="Z530" i="2"/>
  <c r="Z526" i="2"/>
  <c r="Z522" i="2"/>
  <c r="Z518" i="2"/>
  <c r="Z514" i="2"/>
  <c r="Z510" i="2"/>
  <c r="Z506" i="2"/>
  <c r="Z502" i="2"/>
  <c r="Z458" i="2"/>
  <c r="Z338" i="2"/>
  <c r="Z334" i="2"/>
  <c r="Z590" i="2"/>
  <c r="Z586" i="2"/>
  <c r="Z582" i="2"/>
  <c r="Z498" i="2"/>
  <c r="Z494"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475" i="2"/>
  <c r="Z471" i="2"/>
  <c r="Z467"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477" i="2"/>
  <c r="O473" i="2"/>
  <c r="O469" i="2"/>
  <c r="O465" i="2"/>
  <c r="O461" i="2"/>
  <c r="O457" i="2"/>
  <c r="O301" i="2"/>
  <c r="O308" i="2"/>
  <c r="Z911" i="2"/>
  <c r="Z863" i="2"/>
  <c r="Z851" i="2"/>
  <c r="Z767" i="2"/>
  <c r="Z667" i="2"/>
  <c r="Z619" i="2"/>
  <c r="Z575"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363" i="2"/>
  <c r="O359" i="2"/>
  <c r="O355" i="2"/>
  <c r="O351" i="2"/>
  <c r="O347" i="2"/>
  <c r="O343" i="2"/>
  <c r="O339" i="2"/>
  <c r="O335" i="2"/>
  <c r="O331" i="2"/>
  <c r="O327" i="2"/>
  <c r="O323" i="2"/>
  <c r="O319" i="2"/>
  <c r="O315" i="2"/>
  <c r="O307" i="2"/>
  <c r="O299" i="2"/>
  <c r="O291" i="2"/>
  <c r="O365" i="2"/>
  <c r="O361" i="2"/>
  <c r="O357" i="2"/>
  <c r="O353" i="2"/>
  <c r="O349" i="2"/>
  <c r="O345" i="2"/>
  <c r="O341" i="2"/>
  <c r="O337" i="2"/>
  <c r="O333" i="2"/>
  <c r="O329" i="2"/>
  <c r="O325" i="2"/>
  <c r="O321" i="2"/>
  <c r="O317" i="2"/>
  <c r="O312" i="2"/>
  <c r="O296" i="2"/>
  <c r="O24" i="2"/>
  <c r="Z871" i="2"/>
  <c r="Z899" i="2"/>
  <c r="Z867" i="2"/>
  <c r="Z835" i="2"/>
  <c r="Z803" i="2"/>
  <c r="Z759" i="2"/>
  <c r="Z719" i="2"/>
  <c r="Z695" i="2"/>
  <c r="Z623" i="2"/>
  <c r="Z591" i="2"/>
  <c r="Z495" i="2"/>
  <c r="Z463"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477" i="2"/>
  <c r="Z473" i="2"/>
  <c r="Z469" i="2"/>
  <c r="Z465" i="2"/>
  <c r="Z461" i="2"/>
  <c r="Z457"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AD4" i="8"/>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E56" i="8"/>
  <c r="G56" i="8"/>
  <c r="B56" i="8"/>
  <c r="C10" i="13" l="1"/>
  <c r="C5" i="13"/>
  <c r="C12" i="13"/>
  <c r="C11" i="13"/>
  <c r="C4" i="13"/>
  <c r="C6" i="13"/>
  <c r="Q3" i="18" a="1"/>
  <c r="Q3" i="18" s="1"/>
  <c r="N13" i="14"/>
  <c r="N5" i="14"/>
  <c r="N41" i="14"/>
  <c r="N10" i="14"/>
  <c r="N34" i="14"/>
  <c r="N11" i="14"/>
  <c r="N37" i="14"/>
  <c r="N30" i="14"/>
  <c r="N18" i="14"/>
  <c r="N14" i="14"/>
  <c r="N23" i="14"/>
  <c r="N3" i="14"/>
  <c r="N27" i="14"/>
  <c r="N33" i="14"/>
  <c r="N29" i="14"/>
  <c r="N8" i="14"/>
  <c r="N31" i="14"/>
  <c r="N26" i="14"/>
  <c r="N39" i="14"/>
  <c r="AC4" i="8"/>
  <c r="N42" i="14"/>
  <c r="N4" i="14"/>
  <c r="N25" i="14"/>
  <c r="N36" i="14"/>
  <c r="N6" i="14"/>
  <c r="N19" i="14"/>
  <c r="N38" i="14"/>
  <c r="N9" i="14"/>
  <c r="N15" i="14"/>
  <c r="N20" i="14"/>
  <c r="N22" i="14"/>
  <c r="N35" i="14"/>
  <c r="N12" i="14"/>
  <c r="N32" i="14"/>
  <c r="N17" i="14"/>
  <c r="N40" i="14"/>
  <c r="N21" i="14"/>
  <c r="N24" i="14"/>
  <c r="N28" i="14"/>
  <c r="N16" i="14"/>
  <c r="N7" i="14"/>
  <c r="I56" i="8"/>
  <c r="H56" i="8"/>
  <c r="B300" i="2"/>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AF4" i="8"/>
  <c r="AG4" i="8"/>
  <c r="AE4" i="8"/>
  <c r="AH4" i="8"/>
  <c r="AI4" i="8"/>
  <c r="AA8" i="8"/>
  <c r="G57" i="8"/>
  <c r="C56" i="8"/>
  <c r="F56" i="8"/>
  <c r="D56" i="8"/>
  <c r="C57" i="8"/>
  <c r="F57" i="8"/>
  <c r="AN4" i="1" l="1"/>
  <c r="K7" i="14" s="1"/>
  <c r="O7" i="14"/>
  <c r="AN20" i="1"/>
  <c r="K15" i="14" s="1"/>
  <c r="O15" i="14"/>
  <c r="AN13" i="1"/>
  <c r="O11" i="14"/>
  <c r="AN6" i="1"/>
  <c r="K4" i="14" s="1"/>
  <c r="O4" i="14"/>
  <c r="AN22" i="1"/>
  <c r="O20" i="14"/>
  <c r="AN15" i="1"/>
  <c r="O37" i="14"/>
  <c r="AN8" i="1"/>
  <c r="K25" i="14" s="1"/>
  <c r="O25" i="14"/>
  <c r="AN24" i="1"/>
  <c r="O22" i="14"/>
  <c r="AN17" i="1"/>
  <c r="O30" i="14"/>
  <c r="AN10" i="1"/>
  <c r="K36" i="14" s="1"/>
  <c r="O36" i="14"/>
  <c r="AN26" i="1"/>
  <c r="K35" i="14" s="1"/>
  <c r="O35" i="14"/>
  <c r="AN19" i="1"/>
  <c r="O18" i="14"/>
  <c r="AN12" i="1"/>
  <c r="O6" i="14"/>
  <c r="AN5" i="1"/>
  <c r="K5" i="14" s="1"/>
  <c r="O5" i="14"/>
  <c r="AN21" i="1"/>
  <c r="K14" i="14" s="1"/>
  <c r="O14" i="14"/>
  <c r="O19" i="14"/>
  <c r="AN14" i="1"/>
  <c r="K19" i="14" s="1"/>
  <c r="AN7" i="1"/>
  <c r="K41" i="14" s="1"/>
  <c r="O41" i="14"/>
  <c r="AN23" i="1"/>
  <c r="O23" i="14"/>
  <c r="AN16" i="1"/>
  <c r="K38" i="14" s="1"/>
  <c r="O38" i="14"/>
  <c r="AN9" i="1"/>
  <c r="K10" i="14" s="1"/>
  <c r="O10" i="14"/>
  <c r="AN25" i="1"/>
  <c r="O3" i="14"/>
  <c r="AN18" i="1"/>
  <c r="K9" i="14" s="1"/>
  <c r="O9" i="14"/>
  <c r="AN11" i="1"/>
  <c r="K34" i="14" s="1"/>
  <c r="O34" i="14"/>
  <c r="AN27" i="1"/>
  <c r="K27" i="14" s="1"/>
  <c r="O27" i="14"/>
  <c r="AN3" i="1"/>
  <c r="K13" i="14" s="1"/>
  <c r="O13" i="14"/>
  <c r="AN29" i="1"/>
  <c r="K33" i="14" s="1"/>
  <c r="O33" i="14"/>
  <c r="AN38" i="1"/>
  <c r="K24" i="14" s="1"/>
  <c r="O24" i="14"/>
  <c r="AN31" i="1"/>
  <c r="K29" i="14" s="1"/>
  <c r="O29" i="14"/>
  <c r="AN40" i="1"/>
  <c r="O28" i="14"/>
  <c r="AN33" i="1"/>
  <c r="K8" i="14" s="1"/>
  <c r="O8" i="14"/>
  <c r="AN42" i="1"/>
  <c r="K16" i="14" s="1"/>
  <c r="O16" i="14"/>
  <c r="AN35" i="1"/>
  <c r="O31" i="14"/>
  <c r="AN36" i="1"/>
  <c r="O21" i="14"/>
  <c r="AN37" i="1"/>
  <c r="K26" i="14" s="1"/>
  <c r="O26" i="14"/>
  <c r="AN30" i="1"/>
  <c r="K32" i="14" s="1"/>
  <c r="O32" i="14"/>
  <c r="AN39" i="1"/>
  <c r="K39" i="14" s="1"/>
  <c r="O39" i="14"/>
  <c r="AN32" i="1"/>
  <c r="O17" i="14"/>
  <c r="AN41" i="1"/>
  <c r="K42" i="14" s="1"/>
  <c r="O42" i="14"/>
  <c r="AN34" i="1"/>
  <c r="O40" i="14"/>
  <c r="I57" i="8"/>
  <c r="H57" i="8"/>
  <c r="AN28" i="1"/>
  <c r="K12" i="14" s="1"/>
  <c r="O12" i="14"/>
  <c r="M21" i="14"/>
  <c r="M12" i="14"/>
  <c r="M15" i="14"/>
  <c r="M6" i="14"/>
  <c r="M7" i="14"/>
  <c r="L25" i="14"/>
  <c r="L28" i="14"/>
  <c r="L17" i="14"/>
  <c r="L22" i="14"/>
  <c r="L38" i="14"/>
  <c r="M16" i="14"/>
  <c r="M40" i="14"/>
  <c r="M35" i="14"/>
  <c r="M9" i="14"/>
  <c r="M36" i="14"/>
  <c r="M34" i="14"/>
  <c r="M18" i="14"/>
  <c r="L36" i="14"/>
  <c r="L40" i="14"/>
  <c r="M27" i="14"/>
  <c r="L31" i="14"/>
  <c r="L27" i="14"/>
  <c r="L18" i="14"/>
  <c r="L34" i="14"/>
  <c r="L7" i="14"/>
  <c r="M26" i="14"/>
  <c r="M33" i="14"/>
  <c r="M14" i="14"/>
  <c r="M11" i="14"/>
  <c r="L42" i="14"/>
  <c r="L8" i="14"/>
  <c r="L3" i="14"/>
  <c r="L30" i="14"/>
  <c r="L10" i="14"/>
  <c r="M41" i="14"/>
  <c r="L9" i="14"/>
  <c r="L4" i="14"/>
  <c r="L32" i="14"/>
  <c r="M31" i="14"/>
  <c r="L39" i="14"/>
  <c r="M28" i="14"/>
  <c r="M17" i="14"/>
  <c r="M22" i="14"/>
  <c r="M38" i="14"/>
  <c r="M25" i="14"/>
  <c r="L13" i="14"/>
  <c r="M13" i="14"/>
  <c r="L21" i="14"/>
  <c r="L12" i="14"/>
  <c r="L15" i="14"/>
  <c r="M10" i="14"/>
  <c r="M24" i="14"/>
  <c r="M32" i="14"/>
  <c r="M20" i="14"/>
  <c r="M19" i="14"/>
  <c r="M4" i="14"/>
  <c r="M23" i="14"/>
  <c r="M37" i="14"/>
  <c r="L16" i="14"/>
  <c r="L35" i="14"/>
  <c r="M39" i="14"/>
  <c r="L29" i="14"/>
  <c r="L23" i="14"/>
  <c r="L37" i="14"/>
  <c r="L41" i="14"/>
  <c r="L6" i="14"/>
  <c r="M42" i="14"/>
  <c r="M8" i="14"/>
  <c r="M3" i="14"/>
  <c r="M30" i="14"/>
  <c r="M5" i="14"/>
  <c r="L26" i="14"/>
  <c r="L33" i="14"/>
  <c r="L14" i="14"/>
  <c r="L11" i="14"/>
  <c r="L5" i="14"/>
  <c r="L20" i="14"/>
  <c r="L19" i="14"/>
  <c r="L24" i="14"/>
  <c r="M29" i="14"/>
  <c r="AB4" i="8"/>
  <c r="Z8" i="8"/>
  <c r="Y8" i="8"/>
  <c r="X8" i="8"/>
  <c r="W8" i="8"/>
  <c r="V8" i="8"/>
  <c r="U8" i="8"/>
  <c r="T8" i="8"/>
  <c r="S8" i="8"/>
  <c r="D57" i="8"/>
  <c r="E57" i="8"/>
  <c r="C58" i="8"/>
  <c r="B57" i="8"/>
  <c r="G58" i="8"/>
  <c r="K21" i="14" l="1"/>
  <c r="K31" i="14"/>
  <c r="K40" i="14"/>
  <c r="K17" i="14"/>
  <c r="K3" i="14"/>
  <c r="K22" i="14"/>
  <c r="K23" i="14"/>
  <c r="K20" i="14"/>
  <c r="K18" i="14"/>
  <c r="K30" i="14"/>
  <c r="K37" i="14"/>
  <c r="K11" i="14"/>
  <c r="K6" i="14"/>
  <c r="K28" i="14"/>
  <c r="H58" i="8"/>
  <c r="I58" i="8"/>
  <c r="B7" i="13"/>
  <c r="B13" i="13"/>
  <c r="P8" i="8"/>
  <c r="Q8" i="8"/>
  <c r="R8" i="8"/>
  <c r="O8" i="8"/>
  <c r="L8" i="8"/>
  <c r="M8" i="8"/>
  <c r="N8" i="8"/>
  <c r="K8" i="8"/>
  <c r="H8" i="8"/>
  <c r="I8" i="8"/>
  <c r="J8" i="8"/>
  <c r="G8" i="8"/>
  <c r="C8" i="8"/>
  <c r="D8" i="8"/>
  <c r="E8" i="8"/>
  <c r="F8" i="8"/>
  <c r="B8" i="8"/>
  <c r="D58" i="8"/>
  <c r="B58" i="8"/>
  <c r="F58" i="8"/>
  <c r="E58" i="8"/>
  <c r="E59" i="8"/>
  <c r="G59" i="8"/>
  <c r="I59" i="8" l="1"/>
  <c r="H59" i="8"/>
  <c r="B4" i="8"/>
  <c r="A4" i="8"/>
  <c r="D59" i="8"/>
  <c r="B59" i="8"/>
  <c r="G60" i="8"/>
  <c r="C59" i="8"/>
  <c r="F59" i="8"/>
  <c r="E60" i="8"/>
  <c r="I60" i="8" l="1"/>
  <c r="H60" i="8"/>
  <c r="O4" i="8"/>
  <c r="C4" i="8"/>
  <c r="D60" i="8"/>
  <c r="G61" i="8"/>
  <c r="C60" i="8"/>
  <c r="F60" i="8"/>
  <c r="B60" i="8"/>
  <c r="C61" i="8"/>
  <c r="I61" i="8" l="1"/>
  <c r="H61" i="8"/>
  <c r="D4" i="8"/>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B62" i="8"/>
  <c r="D61" i="8"/>
  <c r="G62" i="8"/>
  <c r="E61" i="8"/>
  <c r="F61" i="8"/>
  <c r="B61" i="8"/>
  <c r="I62" i="8" l="1"/>
  <c r="H62" i="8"/>
  <c r="AD8" i="8"/>
  <c r="AC8" i="8"/>
  <c r="P4" i="8"/>
  <c r="F62" i="8"/>
  <c r="G63" i="8"/>
  <c r="AB9" i="8"/>
  <c r="C62" i="8"/>
  <c r="D9" i="8"/>
  <c r="D62" i="8"/>
  <c r="E62" i="8"/>
  <c r="B63" i="8"/>
  <c r="I63" i="8" l="1"/>
  <c r="H63" i="8"/>
  <c r="AD9" i="8"/>
  <c r="AC9" i="8"/>
  <c r="U4" i="8"/>
  <c r="Q4" i="8"/>
  <c r="F4" i="8"/>
  <c r="K4" i="8"/>
  <c r="R4" i="8"/>
  <c r="W4" i="8"/>
  <c r="J4" i="8"/>
  <c r="V4" i="8"/>
  <c r="G4" i="8"/>
  <c r="L4" i="8"/>
  <c r="S4" i="8"/>
  <c r="T4" i="8"/>
  <c r="X4" i="8"/>
  <c r="H4" i="8"/>
  <c r="I4" i="8"/>
  <c r="M4" i="8"/>
  <c r="N4" i="8"/>
  <c r="Y4" i="8"/>
  <c r="Z4" i="8"/>
  <c r="AA4" i="8"/>
  <c r="M9" i="8"/>
  <c r="X9" i="8"/>
  <c r="S9" i="8"/>
  <c r="Z9" i="8"/>
  <c r="R9" i="8"/>
  <c r="N9" i="8"/>
  <c r="C63" i="8"/>
  <c r="G64" i="8"/>
  <c r="H9" i="8"/>
  <c r="P9" i="8"/>
  <c r="D63" i="8"/>
  <c r="Q9" i="8"/>
  <c r="W9" i="8"/>
  <c r="F9" i="8"/>
  <c r="T9" i="8"/>
  <c r="F64" i="8"/>
  <c r="K9" i="8"/>
  <c r="F63" i="8"/>
  <c r="L9" i="8"/>
  <c r="E63" i="8"/>
  <c r="U9" i="8"/>
  <c r="AA9" i="8"/>
  <c r="E9" i="8"/>
  <c r="B9" i="8"/>
  <c r="O9" i="8"/>
  <c r="G9" i="8"/>
  <c r="Y9" i="8"/>
  <c r="J9" i="8"/>
  <c r="C9" i="8"/>
  <c r="V9" i="8"/>
  <c r="I9" i="8"/>
  <c r="AB10" i="8"/>
  <c r="H10" i="8"/>
  <c r="I64" i="8" l="1"/>
  <c r="H64" i="8"/>
  <c r="AD10" i="8"/>
  <c r="AC10" i="8"/>
  <c r="M10" i="8"/>
  <c r="W10" i="8"/>
  <c r="AA10" i="8"/>
  <c r="C10" i="8"/>
  <c r="C64" i="8"/>
  <c r="S10" i="8"/>
  <c r="G65" i="8"/>
  <c r="U10" i="8"/>
  <c r="R10" i="8"/>
  <c r="Q10" i="8"/>
  <c r="I10" i="8"/>
  <c r="L10" i="8"/>
  <c r="AB11" i="8"/>
  <c r="D10" i="8"/>
  <c r="X10" i="8"/>
  <c r="D64" i="8"/>
  <c r="F10" i="8"/>
  <c r="J10" i="8"/>
  <c r="B64" i="8"/>
  <c r="V10" i="8"/>
  <c r="Y10" i="8"/>
  <c r="T10" i="8"/>
  <c r="M11" i="8"/>
  <c r="P10" i="8"/>
  <c r="Z10" i="8"/>
  <c r="X11" i="8"/>
  <c r="G10" i="8"/>
  <c r="E65" i="8"/>
  <c r="B10" i="8"/>
  <c r="E10" i="8"/>
  <c r="N10" i="8"/>
  <c r="E64" i="8"/>
  <c r="O10" i="8"/>
  <c r="K10" i="8"/>
  <c r="S11" i="8"/>
  <c r="I65" i="8" l="1"/>
  <c r="H65" i="8"/>
  <c r="E20" i="6"/>
  <c r="D20" i="6"/>
  <c r="D12" i="6"/>
  <c r="E12" i="6"/>
  <c r="AD11" i="8"/>
  <c r="AC11" i="8"/>
  <c r="AA11" i="8"/>
  <c r="R11" i="8"/>
  <c r="F11" i="8"/>
  <c r="O11" i="8"/>
  <c r="G66" i="8"/>
  <c r="K11" i="8"/>
  <c r="T11" i="8"/>
  <c r="Z11" i="8"/>
  <c r="U11" i="8"/>
  <c r="J11" i="8"/>
  <c r="B65" i="8"/>
  <c r="P11" i="8"/>
  <c r="N11" i="8"/>
  <c r="D65" i="8"/>
  <c r="L11" i="8"/>
  <c r="B11" i="8"/>
  <c r="E11" i="8"/>
  <c r="I11" i="8"/>
  <c r="G11" i="8"/>
  <c r="W11" i="8"/>
  <c r="Q11" i="8"/>
  <c r="E66" i="8"/>
  <c r="Y11" i="8"/>
  <c r="D11" i="8"/>
  <c r="H11" i="8"/>
  <c r="F65" i="8"/>
  <c r="V11" i="8"/>
  <c r="C65" i="8"/>
  <c r="C11" i="8"/>
  <c r="AB12" i="8"/>
  <c r="F12" i="8"/>
  <c r="I66" i="8" l="1"/>
  <c r="H66" i="8"/>
  <c r="AD12" i="8"/>
  <c r="AC12" i="8"/>
  <c r="O12" i="8"/>
  <c r="Z12" i="8"/>
  <c r="H12" i="8"/>
  <c r="D66" i="8"/>
  <c r="R12" i="8"/>
  <c r="AA12" i="8"/>
  <c r="M12" i="8"/>
  <c r="D12" i="8"/>
  <c r="J12" i="8"/>
  <c r="L12" i="8"/>
  <c r="I12" i="8"/>
  <c r="T12" i="8"/>
  <c r="X12" i="8"/>
  <c r="W12" i="8"/>
  <c r="E67" i="8"/>
  <c r="E12" i="8"/>
  <c r="K12" i="8"/>
  <c r="Q12" i="8"/>
  <c r="U12" i="8"/>
  <c r="C66" i="8"/>
  <c r="S12" i="8"/>
  <c r="P12" i="8"/>
  <c r="N12" i="8"/>
  <c r="V12" i="8"/>
  <c r="G12" i="8"/>
  <c r="B66" i="8"/>
  <c r="Y12" i="8"/>
  <c r="B12" i="8"/>
  <c r="F66" i="8"/>
  <c r="C12" i="8"/>
  <c r="G67" i="8"/>
  <c r="AB13" i="8"/>
  <c r="G13" i="8"/>
  <c r="I67" i="8" l="1"/>
  <c r="H67" i="8"/>
  <c r="AD13" i="8"/>
  <c r="AC13" i="8"/>
  <c r="D67" i="8"/>
  <c r="X13" i="8"/>
  <c r="T13" i="8"/>
  <c r="Y13" i="8"/>
  <c r="B13" i="8"/>
  <c r="Q13" i="8"/>
  <c r="F13" i="8"/>
  <c r="G68" i="8"/>
  <c r="L13" i="8"/>
  <c r="C68" i="8"/>
  <c r="K13" i="8"/>
  <c r="O13" i="8"/>
  <c r="AB14" i="8"/>
  <c r="C13" i="8"/>
  <c r="B68" i="8"/>
  <c r="D13" i="8"/>
  <c r="P13" i="8"/>
  <c r="F67" i="8"/>
  <c r="V13" i="8"/>
  <c r="N13" i="8"/>
  <c r="S13" i="8"/>
  <c r="W13" i="8"/>
  <c r="I13" i="8"/>
  <c r="C67" i="8"/>
  <c r="B67" i="8"/>
  <c r="M13" i="8"/>
  <c r="U13" i="8"/>
  <c r="E68" i="8"/>
  <c r="AA13" i="8"/>
  <c r="Z13" i="8"/>
  <c r="H13" i="8"/>
  <c r="R13" i="8"/>
  <c r="J13" i="8"/>
  <c r="E13" i="8"/>
  <c r="H14" i="8"/>
  <c r="I68" i="8" l="1"/>
  <c r="H68" i="8"/>
  <c r="AD14" i="8"/>
  <c r="AC14" i="8"/>
  <c r="P14" i="8"/>
  <c r="Y14" i="8"/>
  <c r="T14" i="8"/>
  <c r="M14" i="8"/>
  <c r="F14" i="8"/>
  <c r="L14" i="8"/>
  <c r="F68" i="8"/>
  <c r="G69" i="8"/>
  <c r="E14" i="8"/>
  <c r="S14" i="8"/>
  <c r="Q14" i="8"/>
  <c r="J14" i="8"/>
  <c r="W14" i="8"/>
  <c r="Z14" i="8"/>
  <c r="N14" i="8"/>
  <c r="C14" i="8"/>
  <c r="I14" i="8"/>
  <c r="O14" i="8"/>
  <c r="C69" i="8"/>
  <c r="K14" i="8"/>
  <c r="G14" i="8"/>
  <c r="N15" i="8"/>
  <c r="D68" i="8"/>
  <c r="AA14" i="8"/>
  <c r="X14" i="8"/>
  <c r="AB15" i="8"/>
  <c r="U14" i="8"/>
  <c r="V14" i="8"/>
  <c r="D14" i="8"/>
  <c r="B14" i="8"/>
  <c r="R14" i="8"/>
  <c r="I69" i="8" l="1"/>
  <c r="H69" i="8"/>
  <c r="AD15" i="8"/>
  <c r="AC15" i="8"/>
  <c r="G15" i="8"/>
  <c r="P15" i="8"/>
  <c r="K15" i="8"/>
  <c r="F15" i="8"/>
  <c r="B69" i="8"/>
  <c r="Z15" i="8"/>
  <c r="C70" i="8"/>
  <c r="G70" i="8"/>
  <c r="J15" i="8"/>
  <c r="D69" i="8"/>
  <c r="L15" i="8"/>
  <c r="AA15" i="8"/>
  <c r="T15" i="8"/>
  <c r="H15" i="8"/>
  <c r="E69" i="8"/>
  <c r="V15" i="8"/>
  <c r="Q15" i="8"/>
  <c r="W15" i="8"/>
  <c r="M15" i="8"/>
  <c r="I15" i="8"/>
  <c r="C15" i="8"/>
  <c r="S15" i="8"/>
  <c r="D15" i="8"/>
  <c r="E15" i="8"/>
  <c r="R15" i="8"/>
  <c r="O15" i="8"/>
  <c r="U15" i="8"/>
  <c r="Y15" i="8"/>
  <c r="F69" i="8"/>
  <c r="B15" i="8"/>
  <c r="X15" i="8"/>
  <c r="AB16" i="8"/>
  <c r="AA16" i="8"/>
  <c r="I70" i="8" l="1"/>
  <c r="H70" i="8"/>
  <c r="AD16" i="8"/>
  <c r="AC16" i="8"/>
  <c r="B16" i="8"/>
  <c r="D16" i="8"/>
  <c r="W16" i="8"/>
  <c r="E70" i="8"/>
  <c r="U16" i="8"/>
  <c r="E16" i="8"/>
  <c r="V16" i="8"/>
  <c r="S16" i="8"/>
  <c r="B70" i="8"/>
  <c r="M16" i="8"/>
  <c r="Y16" i="8"/>
  <c r="F16" i="8"/>
  <c r="X16" i="8"/>
  <c r="P16" i="8"/>
  <c r="J16" i="8"/>
  <c r="N16" i="8"/>
  <c r="F70" i="8"/>
  <c r="D70" i="8"/>
  <c r="G71" i="8"/>
  <c r="R16" i="8"/>
  <c r="O16" i="8"/>
  <c r="C16" i="8"/>
  <c r="K16" i="8"/>
  <c r="G16" i="8"/>
  <c r="H16" i="8"/>
  <c r="I16" i="8"/>
  <c r="Q16" i="8"/>
  <c r="Z16" i="8"/>
  <c r="L16" i="8"/>
  <c r="T16" i="8"/>
  <c r="E71" i="8"/>
  <c r="AB17" i="8"/>
  <c r="N17" i="8"/>
  <c r="I71" i="8" l="1"/>
  <c r="H71" i="8"/>
  <c r="AD17" i="8"/>
  <c r="AC17" i="8"/>
  <c r="D71" i="8"/>
  <c r="AA17" i="8"/>
  <c r="E72" i="8"/>
  <c r="D17" i="8"/>
  <c r="S17" i="8"/>
  <c r="Z17" i="8"/>
  <c r="O17" i="8"/>
  <c r="P17" i="8"/>
  <c r="G72" i="8"/>
  <c r="E17" i="8"/>
  <c r="G17" i="8"/>
  <c r="AB18" i="8"/>
  <c r="B17" i="8"/>
  <c r="H17" i="8"/>
  <c r="F17" i="8"/>
  <c r="C71" i="8"/>
  <c r="V17" i="8"/>
  <c r="R17" i="8"/>
  <c r="M17" i="8"/>
  <c r="C72" i="8"/>
  <c r="C17" i="8"/>
  <c r="B72" i="8"/>
  <c r="Y17" i="8"/>
  <c r="Q17" i="8"/>
  <c r="W17" i="8"/>
  <c r="G18" i="8"/>
  <c r="X17" i="8"/>
  <c r="K17" i="8"/>
  <c r="F71" i="8"/>
  <c r="J17" i="8"/>
  <c r="B71" i="8"/>
  <c r="L17" i="8"/>
  <c r="U17" i="8"/>
  <c r="I17" i="8"/>
  <c r="T17" i="8"/>
  <c r="I72" i="8" l="1"/>
  <c r="H72" i="8"/>
  <c r="AD18" i="8"/>
  <c r="AC18" i="8"/>
  <c r="D72" i="8"/>
  <c r="Y18" i="8"/>
  <c r="F18" i="8"/>
  <c r="S18" i="8"/>
  <c r="I18" i="8"/>
  <c r="K18" i="8"/>
  <c r="N18" i="8"/>
  <c r="L18" i="8"/>
  <c r="G73" i="8"/>
  <c r="Z18" i="8"/>
  <c r="P18" i="8"/>
  <c r="F73" i="8"/>
  <c r="X18" i="8"/>
  <c r="E19" i="8"/>
  <c r="F72" i="8"/>
  <c r="U18" i="8"/>
  <c r="AA18" i="8"/>
  <c r="D18" i="8"/>
  <c r="C18" i="8"/>
  <c r="O18" i="8"/>
  <c r="M18" i="8"/>
  <c r="R18" i="8"/>
  <c r="W18" i="8"/>
  <c r="B18" i="8"/>
  <c r="Q18" i="8"/>
  <c r="V18" i="8"/>
  <c r="J18" i="8"/>
  <c r="E18" i="8"/>
  <c r="T18" i="8"/>
  <c r="H18" i="8"/>
  <c r="AB19" i="8"/>
  <c r="H73" i="8" l="1"/>
  <c r="I73" i="8"/>
  <c r="AD19" i="8"/>
  <c r="AC19" i="8"/>
  <c r="B73" i="8"/>
  <c r="B19" i="8"/>
  <c r="G74" i="8"/>
  <c r="I19" i="8"/>
  <c r="E73" i="8"/>
  <c r="F74" i="8"/>
  <c r="T19" i="8"/>
  <c r="S19" i="8"/>
  <c r="W19" i="8"/>
  <c r="E74" i="8"/>
  <c r="Y19" i="8"/>
  <c r="U19" i="8"/>
  <c r="N19" i="8"/>
  <c r="D73" i="8"/>
  <c r="F19" i="8"/>
  <c r="V19" i="8"/>
  <c r="Y20" i="8"/>
  <c r="G19" i="8"/>
  <c r="C19" i="8"/>
  <c r="X19" i="8"/>
  <c r="H19" i="8"/>
  <c r="L19" i="8"/>
  <c r="Q19" i="8"/>
  <c r="M19" i="8"/>
  <c r="P19" i="8"/>
  <c r="D74" i="8"/>
  <c r="J19" i="8"/>
  <c r="R19" i="8"/>
  <c r="AA19" i="8"/>
  <c r="K19" i="8"/>
  <c r="Z19" i="8"/>
  <c r="D19" i="8"/>
  <c r="O19" i="8"/>
  <c r="C73" i="8"/>
  <c r="AB20" i="8"/>
  <c r="H74" i="8" l="1"/>
  <c r="I74" i="8"/>
  <c r="AD20" i="8"/>
  <c r="AC20" i="8"/>
  <c r="C74" i="8"/>
  <c r="P20" i="8"/>
  <c r="U20" i="8"/>
  <c r="X20" i="8"/>
  <c r="H20" i="8"/>
  <c r="Z20" i="8"/>
  <c r="F20" i="8"/>
  <c r="T20" i="8"/>
  <c r="AA20" i="8"/>
  <c r="O20" i="8"/>
  <c r="I20" i="8"/>
  <c r="K20" i="8"/>
  <c r="V20" i="8"/>
  <c r="G20" i="8"/>
  <c r="G75" i="8"/>
  <c r="M20" i="8"/>
  <c r="E20" i="8"/>
  <c r="W20" i="8"/>
  <c r="N20" i="8"/>
  <c r="Q20" i="8"/>
  <c r="D75" i="8"/>
  <c r="R20" i="8"/>
  <c r="B74" i="8"/>
  <c r="S20" i="8"/>
  <c r="B20" i="8"/>
  <c r="AA21" i="8"/>
  <c r="AB21" i="8"/>
  <c r="L20" i="8"/>
  <c r="J20" i="8"/>
  <c r="C20" i="8"/>
  <c r="D20" i="8"/>
  <c r="I75" i="8" l="1"/>
  <c r="H75" i="8"/>
  <c r="AD21" i="8"/>
  <c r="AC21" i="8"/>
  <c r="B75" i="8"/>
  <c r="W21" i="8"/>
  <c r="C75" i="8"/>
  <c r="U21" i="8"/>
  <c r="N22" i="8"/>
  <c r="T21" i="8"/>
  <c r="R21" i="8"/>
  <c r="E21" i="8"/>
  <c r="X21" i="8"/>
  <c r="G21" i="8"/>
  <c r="F21" i="8"/>
  <c r="I21" i="8"/>
  <c r="Q21" i="8"/>
  <c r="K21" i="8"/>
  <c r="F76" i="8"/>
  <c r="O21" i="8"/>
  <c r="P21" i="8"/>
  <c r="N21" i="8"/>
  <c r="E75" i="8"/>
  <c r="Y21" i="8"/>
  <c r="L21" i="8"/>
  <c r="C76" i="8"/>
  <c r="C21" i="8"/>
  <c r="F75" i="8"/>
  <c r="Z21" i="8"/>
  <c r="B21" i="8"/>
  <c r="M21" i="8"/>
  <c r="J21" i="8"/>
  <c r="D21" i="8"/>
  <c r="H21" i="8"/>
  <c r="S21" i="8"/>
  <c r="V21" i="8"/>
  <c r="G76" i="8"/>
  <c r="AB22" i="8"/>
  <c r="I76" i="8" l="1"/>
  <c r="H76" i="8"/>
  <c r="AD22" i="8"/>
  <c r="AC22" i="8"/>
  <c r="H22" i="8"/>
  <c r="T22" i="8"/>
  <c r="V22" i="8"/>
  <c r="Q22" i="8"/>
  <c r="Z22" i="8"/>
  <c r="B76" i="8"/>
  <c r="Y22" i="8"/>
  <c r="I22" i="8"/>
  <c r="D77" i="8"/>
  <c r="D22" i="8"/>
  <c r="P22" i="8"/>
  <c r="F77" i="8"/>
  <c r="AA22" i="8"/>
  <c r="L22" i="8"/>
  <c r="J22" i="8"/>
  <c r="U22" i="8"/>
  <c r="X22" i="8"/>
  <c r="G77" i="8"/>
  <c r="W22" i="8"/>
  <c r="O22" i="8"/>
  <c r="S22" i="8"/>
  <c r="E76" i="8"/>
  <c r="E77" i="8"/>
  <c r="M22" i="8"/>
  <c r="R22" i="8"/>
  <c r="AB23" i="8"/>
  <c r="K22" i="8"/>
  <c r="E22" i="8"/>
  <c r="F22" i="8"/>
  <c r="C22" i="8"/>
  <c r="Y23" i="8"/>
  <c r="G22" i="8"/>
  <c r="D76" i="8"/>
  <c r="B22" i="8"/>
  <c r="H77" i="8" l="1"/>
  <c r="I77" i="8"/>
  <c r="AD23" i="8"/>
  <c r="AC23" i="8"/>
  <c r="K23" i="8"/>
  <c r="Q23" i="8"/>
  <c r="B23" i="8"/>
  <c r="W23" i="8"/>
  <c r="F23" i="8"/>
  <c r="M23" i="8"/>
  <c r="Z23" i="8"/>
  <c r="R23" i="8"/>
  <c r="F78" i="8"/>
  <c r="G23" i="8"/>
  <c r="F24" i="8"/>
  <c r="D23" i="8"/>
  <c r="U23" i="8"/>
  <c r="X23" i="8"/>
  <c r="AA23" i="8"/>
  <c r="I23" i="8"/>
  <c r="L23" i="8"/>
  <c r="S23" i="8"/>
  <c r="V23" i="8"/>
  <c r="AB24" i="8"/>
  <c r="J23" i="8"/>
  <c r="E23" i="8"/>
  <c r="G78" i="8"/>
  <c r="B77" i="8"/>
  <c r="H23" i="8"/>
  <c r="T23" i="8"/>
  <c r="C77" i="8"/>
  <c r="O23" i="8"/>
  <c r="N23" i="8"/>
  <c r="B78" i="8"/>
  <c r="P23" i="8"/>
  <c r="C23" i="8"/>
  <c r="I78" i="8" l="1"/>
  <c r="H78" i="8"/>
  <c r="AD24" i="8"/>
  <c r="AC24" i="8"/>
  <c r="D78" i="8"/>
  <c r="Y24" i="8"/>
  <c r="I24" i="8"/>
  <c r="T24" i="8"/>
  <c r="X24" i="8"/>
  <c r="L24" i="8"/>
  <c r="H24" i="8"/>
  <c r="Z24" i="8"/>
  <c r="AB25" i="8"/>
  <c r="G79" i="8"/>
  <c r="N24" i="8"/>
  <c r="P24" i="8"/>
  <c r="AA24" i="8"/>
  <c r="O24" i="8"/>
  <c r="Q24" i="8"/>
  <c r="C24" i="8"/>
  <c r="J24" i="8"/>
  <c r="S24" i="8"/>
  <c r="C78" i="8"/>
  <c r="M24" i="8"/>
  <c r="E24" i="8"/>
  <c r="G24" i="8"/>
  <c r="J25" i="8"/>
  <c r="B24" i="8"/>
  <c r="U24" i="8"/>
  <c r="V24" i="8"/>
  <c r="K24" i="8"/>
  <c r="D24" i="8"/>
  <c r="E78" i="8"/>
  <c r="R24" i="8"/>
  <c r="W24" i="8"/>
  <c r="F79" i="8"/>
  <c r="D79" i="8"/>
  <c r="H79" i="8" l="1"/>
  <c r="I79" i="8"/>
  <c r="AD25" i="8"/>
  <c r="AC25" i="8"/>
  <c r="I25" i="8"/>
  <c r="C25" i="8"/>
  <c r="Q25" i="8"/>
  <c r="L25" i="8"/>
  <c r="AA25" i="8"/>
  <c r="X25" i="8"/>
  <c r="W25" i="8"/>
  <c r="AB26" i="8"/>
  <c r="G80" i="8"/>
  <c r="D25" i="8"/>
  <c r="C79" i="8"/>
  <c r="B80" i="8"/>
  <c r="Z25" i="8"/>
  <c r="Y25" i="8"/>
  <c r="R25" i="8"/>
  <c r="G25" i="8"/>
  <c r="N25" i="8"/>
  <c r="P25" i="8"/>
  <c r="O25" i="8"/>
  <c r="S25" i="8"/>
  <c r="F25" i="8"/>
  <c r="E25" i="8"/>
  <c r="V25" i="8"/>
  <c r="E79" i="8"/>
  <c r="U25" i="8"/>
  <c r="B79" i="8"/>
  <c r="T25" i="8"/>
  <c r="K25" i="8"/>
  <c r="D80" i="8"/>
  <c r="H25" i="8"/>
  <c r="M25" i="8"/>
  <c r="B25" i="8"/>
  <c r="X26" i="8"/>
  <c r="I80" i="8" l="1"/>
  <c r="H80" i="8"/>
  <c r="AD26" i="8"/>
  <c r="AC26" i="8"/>
  <c r="P26" i="8"/>
  <c r="W26" i="8"/>
  <c r="T26" i="8"/>
  <c r="V26" i="8"/>
  <c r="E80" i="8"/>
  <c r="S26" i="8"/>
  <c r="O26" i="8"/>
  <c r="AB27" i="8"/>
  <c r="Q26" i="8"/>
  <c r="F26" i="8"/>
  <c r="N26" i="8"/>
  <c r="C80" i="8"/>
  <c r="M26" i="8"/>
  <c r="C81" i="8"/>
  <c r="Z26" i="8"/>
  <c r="K26" i="8"/>
  <c r="H26" i="8"/>
  <c r="U26" i="8"/>
  <c r="R26" i="8"/>
  <c r="J26" i="8"/>
  <c r="D81" i="8"/>
  <c r="L26" i="8"/>
  <c r="AA26" i="8"/>
  <c r="Y26" i="8"/>
  <c r="G81" i="8"/>
  <c r="C26" i="8"/>
  <c r="D26" i="8"/>
  <c r="E26" i="8"/>
  <c r="F80" i="8"/>
  <c r="G26" i="8"/>
  <c r="B26" i="8"/>
  <c r="I26" i="8"/>
  <c r="B27" i="8"/>
  <c r="I81" i="8" l="1"/>
  <c r="H81" i="8"/>
  <c r="AD27" i="8"/>
  <c r="AC27" i="8"/>
  <c r="F81" i="8"/>
  <c r="L27" i="8"/>
  <c r="E81" i="8"/>
  <c r="X27" i="8"/>
  <c r="AB28" i="8"/>
  <c r="P27" i="8"/>
  <c r="R27" i="8"/>
  <c r="E82" i="8"/>
  <c r="W27" i="8"/>
  <c r="AA27" i="8"/>
  <c r="Z27" i="8"/>
  <c r="J27" i="8"/>
  <c r="Q27" i="8"/>
  <c r="O27" i="8"/>
  <c r="C27" i="8"/>
  <c r="D27" i="8"/>
  <c r="N27" i="8"/>
  <c r="G82" i="8"/>
  <c r="U27" i="8"/>
  <c r="H27" i="8"/>
  <c r="V27" i="8"/>
  <c r="K27" i="8"/>
  <c r="M27" i="8"/>
  <c r="F27" i="8"/>
  <c r="F28" i="8"/>
  <c r="G27" i="8"/>
  <c r="T27" i="8"/>
  <c r="E27" i="8"/>
  <c r="B81" i="8"/>
  <c r="S27" i="8"/>
  <c r="Y27" i="8"/>
  <c r="I27" i="8"/>
  <c r="D82" i="8"/>
  <c r="H82" i="8" l="1"/>
  <c r="I82" i="8"/>
  <c r="AD28" i="8"/>
  <c r="AC28" i="8"/>
  <c r="P28" i="8"/>
  <c r="R28" i="8"/>
  <c r="W28" i="8"/>
  <c r="E28" i="8"/>
  <c r="F82" i="8"/>
  <c r="I28" i="8"/>
  <c r="J28" i="8"/>
  <c r="AB29" i="8"/>
  <c r="E83" i="8"/>
  <c r="U28" i="8"/>
  <c r="Y28" i="8"/>
  <c r="Z28" i="8"/>
  <c r="L29" i="8"/>
  <c r="B83" i="8"/>
  <c r="B28" i="8"/>
  <c r="B82" i="8"/>
  <c r="D28" i="8"/>
  <c r="S28" i="8"/>
  <c r="T28" i="8"/>
  <c r="L28" i="8"/>
  <c r="M28" i="8"/>
  <c r="K28" i="8"/>
  <c r="N28" i="8"/>
  <c r="H28" i="8"/>
  <c r="Q28" i="8"/>
  <c r="V28" i="8"/>
  <c r="X28" i="8"/>
  <c r="G28" i="8"/>
  <c r="O28" i="8"/>
  <c r="C28" i="8"/>
  <c r="C82" i="8"/>
  <c r="AA28" i="8"/>
  <c r="G83" i="8"/>
  <c r="H83" i="8" l="1"/>
  <c r="I83" i="8"/>
  <c r="AD29" i="8"/>
  <c r="AC29" i="8"/>
  <c r="D83" i="8"/>
  <c r="G29" i="8"/>
  <c r="N29" i="8"/>
  <c r="AA29" i="8"/>
  <c r="B29" i="8"/>
  <c r="Y29" i="8"/>
  <c r="E29" i="8"/>
  <c r="O29" i="8"/>
  <c r="AB30" i="8"/>
  <c r="T29" i="8"/>
  <c r="H30" i="8"/>
  <c r="F29" i="8"/>
  <c r="S29" i="8"/>
  <c r="V29" i="8"/>
  <c r="I29" i="8"/>
  <c r="R29" i="8"/>
  <c r="H29" i="8"/>
  <c r="M29" i="8"/>
  <c r="C83" i="8"/>
  <c r="J29" i="8"/>
  <c r="D29" i="8"/>
  <c r="K29" i="8"/>
  <c r="P29" i="8"/>
  <c r="Z29" i="8"/>
  <c r="U29" i="8"/>
  <c r="X29" i="8"/>
  <c r="Q29" i="8"/>
  <c r="F83" i="8"/>
  <c r="C29" i="8"/>
  <c r="W29" i="8"/>
  <c r="AD30" i="8" l="1"/>
  <c r="AC30" i="8"/>
  <c r="U30" i="8"/>
  <c r="D30" i="8"/>
  <c r="Y30" i="8"/>
  <c r="AA30" i="8"/>
  <c r="G30" i="8"/>
  <c r="K30" i="8"/>
  <c r="S30" i="8"/>
  <c r="X30" i="8"/>
  <c r="B30" i="8"/>
  <c r="I30" i="8"/>
  <c r="Z30" i="8"/>
  <c r="AB31" i="8"/>
  <c r="R30" i="8"/>
  <c r="M30" i="8"/>
  <c r="C30" i="8"/>
  <c r="F30" i="8"/>
  <c r="P30" i="8"/>
  <c r="V30" i="8"/>
  <c r="W30" i="8"/>
  <c r="Q30" i="8"/>
  <c r="O30" i="8"/>
  <c r="L30" i="8"/>
  <c r="J30" i="8"/>
  <c r="N30" i="8"/>
  <c r="E30" i="8"/>
  <c r="T30" i="8"/>
  <c r="M31" i="8"/>
  <c r="AD31" i="8" l="1"/>
  <c r="AC31" i="8"/>
  <c r="K31" i="8"/>
  <c r="T31" i="8"/>
  <c r="Y31" i="8"/>
  <c r="J31" i="8"/>
  <c r="L31" i="8"/>
  <c r="E31" i="8"/>
  <c r="V31" i="8"/>
  <c r="C31" i="8"/>
  <c r="W31" i="8"/>
  <c r="AA31" i="8"/>
  <c r="F31" i="8"/>
  <c r="G31" i="8"/>
  <c r="P31" i="8"/>
  <c r="O31" i="8"/>
  <c r="N31" i="8"/>
  <c r="X31" i="8"/>
  <c r="I31" i="8"/>
  <c r="Z31" i="8"/>
  <c r="D31" i="8"/>
  <c r="U31" i="8"/>
  <c r="R31" i="8"/>
  <c r="Q31" i="8"/>
  <c r="B31" i="8"/>
  <c r="S31" i="8"/>
  <c r="H31" i="8"/>
  <c r="AB32" i="8"/>
  <c r="AA32" i="8"/>
  <c r="AD32" i="8" l="1"/>
  <c r="AC32" i="8"/>
  <c r="N32" i="8"/>
  <c r="E32" i="8"/>
  <c r="K32" i="8"/>
  <c r="D32" i="8"/>
  <c r="R32" i="8"/>
  <c r="S32" i="8"/>
  <c r="Z32" i="8"/>
  <c r="J32" i="8"/>
  <c r="P32" i="8"/>
  <c r="B32" i="8"/>
  <c r="F32" i="8"/>
  <c r="U32" i="8"/>
  <c r="Q32" i="8"/>
  <c r="T32" i="8"/>
  <c r="I32" i="8"/>
  <c r="X32" i="8"/>
  <c r="Y32" i="8"/>
  <c r="H32" i="8"/>
  <c r="O32" i="8"/>
  <c r="W32" i="8"/>
  <c r="M32" i="8"/>
  <c r="AA33" i="8"/>
  <c r="C32" i="8"/>
  <c r="AB33" i="8"/>
  <c r="G32" i="8"/>
  <c r="L32" i="8"/>
  <c r="V32" i="8"/>
  <c r="AD33" i="8" l="1"/>
  <c r="AC33" i="8"/>
  <c r="Z33" i="8"/>
  <c r="K33" i="8"/>
  <c r="L33" i="8"/>
  <c r="R33" i="8"/>
  <c r="U33" i="8"/>
  <c r="W33" i="8"/>
  <c r="M34" i="8"/>
  <c r="B33" i="8"/>
  <c r="S33" i="8"/>
  <c r="V33" i="8"/>
  <c r="X33" i="8"/>
  <c r="M33" i="8"/>
  <c r="AB34" i="8"/>
  <c r="O33" i="8"/>
  <c r="G33" i="8"/>
  <c r="P33" i="8"/>
  <c r="H33" i="8"/>
  <c r="I33" i="8"/>
  <c r="E33" i="8"/>
  <c r="T33" i="8"/>
  <c r="F33" i="8"/>
  <c r="Y33" i="8"/>
  <c r="Q33" i="8"/>
  <c r="J33" i="8"/>
  <c r="C33" i="8"/>
  <c r="D33" i="8"/>
  <c r="N33" i="8"/>
  <c r="AD34" i="8" l="1"/>
  <c r="AC34" i="8"/>
  <c r="H34" i="8"/>
  <c r="X34" i="8"/>
  <c r="O34" i="8"/>
  <c r="J34" i="8"/>
  <c r="N34" i="8"/>
  <c r="K34" i="8"/>
  <c r="V34" i="8"/>
  <c r="Q34" i="8"/>
  <c r="W34" i="8"/>
  <c r="AA34" i="8"/>
  <c r="T34" i="8"/>
  <c r="I34" i="8"/>
  <c r="S34" i="8"/>
  <c r="U34" i="8"/>
  <c r="AB35" i="8"/>
  <c r="B34" i="8"/>
  <c r="P34" i="8"/>
  <c r="G34" i="8"/>
  <c r="R34" i="8"/>
  <c r="F34" i="8"/>
  <c r="E34" i="8"/>
  <c r="L34" i="8"/>
  <c r="Y34" i="8"/>
  <c r="D34" i="8"/>
  <c r="S35" i="8"/>
  <c r="Z34" i="8"/>
  <c r="C34" i="8"/>
  <c r="AC35" i="8" l="1"/>
  <c r="AD35" i="8"/>
  <c r="D35" i="8"/>
  <c r="P35" i="8"/>
  <c r="G35" i="8"/>
  <c r="V36" i="8"/>
  <c r="H35" i="8"/>
  <c r="G36" i="8"/>
  <c r="C36" i="8"/>
  <c r="Q35" i="8"/>
  <c r="Y35" i="8"/>
  <c r="E35" i="8"/>
  <c r="O35" i="8"/>
  <c r="U35" i="8"/>
  <c r="M35" i="8"/>
  <c r="AA35" i="8"/>
  <c r="R35" i="8"/>
  <c r="X35" i="8"/>
  <c r="C35" i="8"/>
  <c r="I35" i="8"/>
  <c r="J35" i="8"/>
  <c r="AB36" i="8"/>
  <c r="N35" i="8"/>
  <c r="Z35" i="8"/>
  <c r="V35" i="8"/>
  <c r="W35" i="8"/>
  <c r="T35" i="8"/>
  <c r="B35" i="8"/>
  <c r="K35" i="8"/>
  <c r="L35" i="8"/>
  <c r="F35" i="8"/>
  <c r="AD36" i="8" l="1"/>
  <c r="AC36" i="8"/>
  <c r="L36" i="8"/>
  <c r="D36" i="8"/>
  <c r="M36" i="8"/>
  <c r="X36" i="8"/>
  <c r="B36" i="8"/>
  <c r="O36" i="8"/>
  <c r="E36" i="8"/>
  <c r="J36" i="8"/>
  <c r="Y36" i="8"/>
  <c r="W36" i="8"/>
  <c r="R36" i="8"/>
  <c r="F36" i="8"/>
  <c r="Z36" i="8"/>
  <c r="P36" i="8"/>
  <c r="Q36" i="8"/>
  <c r="H36" i="8"/>
  <c r="K36" i="8"/>
  <c r="S36" i="8"/>
  <c r="N36" i="8"/>
  <c r="T36" i="8"/>
  <c r="I36" i="8"/>
  <c r="AA36" i="8"/>
  <c r="AB37" i="8"/>
  <c r="AA37" i="8"/>
  <c r="U36" i="8"/>
  <c r="AC37" i="8" l="1"/>
  <c r="AD37" i="8"/>
  <c r="K37" i="8"/>
  <c r="C37" i="8"/>
  <c r="Z37" i="8"/>
  <c r="G37" i="8"/>
  <c r="G38" i="8"/>
  <c r="R37" i="8"/>
  <c r="P37" i="8"/>
  <c r="B37" i="8"/>
  <c r="S37" i="8"/>
  <c r="I37" i="8"/>
  <c r="Q37" i="8"/>
  <c r="X37" i="8"/>
  <c r="W37" i="8"/>
  <c r="H37" i="8"/>
  <c r="M37" i="8"/>
  <c r="N37" i="8"/>
  <c r="O37" i="8"/>
  <c r="J37" i="8"/>
  <c r="U37" i="8"/>
  <c r="D37" i="8"/>
  <c r="F37" i="8"/>
  <c r="T37" i="8"/>
  <c r="Y37" i="8"/>
  <c r="L37" i="8"/>
  <c r="E37" i="8"/>
  <c r="V37" i="8"/>
  <c r="AB38" i="8"/>
  <c r="AD38" i="8" l="1"/>
  <c r="AC38" i="8"/>
  <c r="R38" i="8"/>
  <c r="O38" i="8"/>
  <c r="AA38" i="8"/>
  <c r="N38" i="8"/>
  <c r="J38" i="8"/>
  <c r="L38" i="8"/>
  <c r="K38" i="8"/>
  <c r="W38" i="8"/>
  <c r="X38" i="8"/>
  <c r="S38" i="8"/>
  <c r="B38" i="8"/>
  <c r="Q38" i="8"/>
  <c r="Y38" i="8"/>
  <c r="C38" i="8"/>
  <c r="H38" i="8"/>
  <c r="U38" i="8"/>
  <c r="I38" i="8"/>
  <c r="T38" i="8"/>
  <c r="E38" i="8"/>
  <c r="D38" i="8"/>
  <c r="Z38" i="8"/>
  <c r="AB39" i="8"/>
  <c r="C39" i="8"/>
  <c r="V38" i="8"/>
  <c r="P38" i="8"/>
  <c r="F38" i="8"/>
  <c r="M38" i="8"/>
  <c r="AD39" i="8" l="1"/>
  <c r="AC39" i="8"/>
  <c r="H39" i="8"/>
  <c r="V39" i="8"/>
  <c r="Z39" i="8"/>
  <c r="W39" i="8"/>
  <c r="D40" i="8"/>
  <c r="E39" i="8"/>
  <c r="R39" i="8"/>
  <c r="B39" i="8"/>
  <c r="X39" i="8"/>
  <c r="N39" i="8"/>
  <c r="AB40" i="8"/>
  <c r="T39" i="8"/>
  <c r="P39" i="8"/>
  <c r="D39" i="8"/>
  <c r="S39" i="8"/>
  <c r="Y39" i="8"/>
  <c r="J39" i="8"/>
  <c r="AA39" i="8"/>
  <c r="L39" i="8"/>
  <c r="K39" i="8"/>
  <c r="I39" i="8"/>
  <c r="M39" i="8"/>
  <c r="F39" i="8"/>
  <c r="O39" i="8"/>
  <c r="G39" i="8"/>
  <c r="U39" i="8"/>
  <c r="Q39" i="8"/>
  <c r="AD40" i="8" l="1"/>
  <c r="AC40" i="8"/>
  <c r="K40" i="8"/>
  <c r="V40" i="8"/>
  <c r="G40" i="8"/>
  <c r="X40" i="8"/>
  <c r="R40" i="8"/>
  <c r="AA40" i="8"/>
  <c r="Z40" i="8"/>
  <c r="Q40" i="8"/>
  <c r="F40" i="8"/>
  <c r="M40" i="8"/>
  <c r="U40" i="8"/>
  <c r="Y40" i="8"/>
  <c r="O40" i="8"/>
  <c r="C40" i="8"/>
  <c r="AB41" i="8"/>
  <c r="E40" i="8"/>
  <c r="B40" i="8"/>
  <c r="T40" i="8"/>
  <c r="I40" i="8"/>
  <c r="J40" i="8"/>
  <c r="W40" i="8"/>
  <c r="H40" i="8"/>
  <c r="S40" i="8"/>
  <c r="L40" i="8"/>
  <c r="N40" i="8"/>
  <c r="P40" i="8"/>
  <c r="S41" i="8"/>
  <c r="AD41" i="8" l="1"/>
  <c r="AC41" i="8"/>
  <c r="F41" i="8"/>
  <c r="D42" i="8"/>
  <c r="Y41" i="8"/>
  <c r="I41" i="8"/>
  <c r="C41" i="8"/>
  <c r="D41" i="8"/>
  <c r="Z41" i="8"/>
  <c r="J41" i="8"/>
  <c r="X41" i="8"/>
  <c r="K41" i="8"/>
  <c r="T41" i="8"/>
  <c r="W41" i="8"/>
  <c r="P41" i="8"/>
  <c r="G41" i="8"/>
  <c r="B41" i="8"/>
  <c r="N41" i="8"/>
  <c r="H41" i="8"/>
  <c r="AB42" i="8"/>
  <c r="E41" i="8"/>
  <c r="M41" i="8"/>
  <c r="Q41" i="8"/>
  <c r="O41" i="8"/>
  <c r="V41" i="8"/>
  <c r="R41" i="8"/>
  <c r="L41" i="8"/>
  <c r="U41" i="8"/>
  <c r="AA41" i="8"/>
  <c r="AD42" i="8" l="1"/>
  <c r="AC42" i="8"/>
  <c r="I42" i="8"/>
  <c r="N42" i="8"/>
  <c r="S42" i="8"/>
  <c r="P42" i="8"/>
  <c r="F42" i="8"/>
  <c r="B42" i="8"/>
  <c r="S43" i="8"/>
  <c r="K42" i="8"/>
  <c r="Z42" i="8"/>
  <c r="R42" i="8"/>
  <c r="V42" i="8"/>
  <c r="G42" i="8"/>
  <c r="T42" i="8"/>
  <c r="X42" i="8"/>
  <c r="AA42" i="8"/>
  <c r="Q42" i="8"/>
  <c r="M42" i="8"/>
  <c r="H42" i="8"/>
  <c r="C42" i="8"/>
  <c r="Y42" i="8"/>
  <c r="AB43" i="8"/>
  <c r="E42" i="8"/>
  <c r="L42" i="8"/>
  <c r="O42" i="8"/>
  <c r="U42" i="8"/>
  <c r="W42" i="8"/>
  <c r="J42" i="8"/>
  <c r="AC43" i="8" l="1"/>
  <c r="AD43" i="8"/>
  <c r="N43" i="8"/>
  <c r="Q43" i="8"/>
  <c r="Y43" i="8"/>
  <c r="I43" i="8"/>
  <c r="AA43" i="8"/>
  <c r="P43" i="8"/>
  <c r="C43" i="8"/>
  <c r="Z43" i="8"/>
  <c r="O43" i="8"/>
  <c r="R43" i="8"/>
  <c r="L43" i="8"/>
  <c r="X43" i="8"/>
  <c r="E43" i="8"/>
  <c r="G43" i="8"/>
  <c r="M43" i="8"/>
  <c r="K43" i="8"/>
  <c r="F43" i="8"/>
  <c r="U43" i="8"/>
  <c r="D43" i="8"/>
  <c r="B43" i="8"/>
  <c r="H43" i="8"/>
  <c r="W43" i="8"/>
  <c r="V43" i="8"/>
  <c r="J43" i="8"/>
  <c r="T43" i="8"/>
</calcChain>
</file>

<file path=xl/sharedStrings.xml><?xml version="1.0" encoding="utf-8"?>
<sst xmlns="http://schemas.openxmlformats.org/spreadsheetml/2006/main" count="1919" uniqueCount="503">
  <si>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</si>
  <si>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</si>
  <si>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</si>
  <si>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</si>
  <si>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</si>
  <si>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</si>
  <si>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</si>
  <si>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</si>
  <si>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</si>
  <si>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</si>
  <si>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</si>
  <si>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</si>
  <si>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</si>
  <si>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</si>
  <si>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</si>
  <si>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</si>
  <si>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</si>
  <si>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</si>
  <si>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</si>
  <si>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</si>
  <si>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</si>
  <si>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</si>
  <si>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</si>
  <si>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</si>
  <si>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</si>
  <si>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</si>
  <si>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</si>
  <si>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</si>
  <si>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</si>
  <si>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</si>
  <si>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</si>
  <si>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</si>
  <si>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</si>
  <si>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</si>
  <si>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</si>
  <si>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</si>
  <si>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</si>
  <si>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</si>
  <si>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</si>
  <si>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</si>
  <si>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</si>
  <si>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</si>
  <si>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</si>
  <si>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</si>
  <si>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</si>
  <si>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</si>
  <si>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</si>
  <si>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</si>
  <si>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</si>
  <si>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</si>
  <si>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</si>
  <si>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</si>
  <si>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</si>
  <si>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</si>
  <si>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</si>
  <si>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</si>
  <si>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</si>
  <si>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</si>
  <si>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</si>
  <si>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</si>
  <si>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</si>
  <si>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</si>
  <si>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</si>
  <si>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</si>
  <si>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</si>
  <si>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</si>
  <si>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</si>
  <si>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</si>
  <si>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</si>
  <si>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</si>
  <si>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</si>
  <si>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</si>
  <si>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</si>
  <si>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</si>
  <si>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</si>
  <si>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</si>
  <si>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</si>
  <si>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</si>
  <si>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</si>
  <si>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</si>
  <si>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</si>
  <si>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</si>
  <si>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</si>
  <si>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</si>
  <si>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</si>
  <si>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</si>
  <si>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</si>
  <si>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</si>
  <si>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</si>
  <si>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</si>
  <si>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</si>
  <si>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</si>
  <si>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</si>
  <si>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</si>
  <si>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</si>
  <si>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</si>
  <si>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</si>
  <si>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</si>
  <si>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</si>
  <si>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</si>
  <si>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</si>
  <si>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</si>
  <si>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</si>
  <si>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SCOUTER NAMES:</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</si>
  <si>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</si>
  <si>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</si>
  <si>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</si>
  <si>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</si>
  <si>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</si>
  <si>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</si>
  <si>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</si>
  <si>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</si>
  <si>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</si>
  <si>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</si>
  <si>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</si>
  <si>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</si>
  <si>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</si>
  <si>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</si>
  <si>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</si>
  <si>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</si>
  <si>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</si>
  <si>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</si>
  <si>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</si>
  <si>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</si>
  <si>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</si>
  <si>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</si>
  <si>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</si>
  <si>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</si>
  <si>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</si>
  <si>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</si>
  <si>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</si>
  <si>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</si>
  <si>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</si>
  <si>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</si>
  <si>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</si>
  <si>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</si>
  <si>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</si>
  <si>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</si>
  <si>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</si>
  <si>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</si>
  <si>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</si>
  <si>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</si>
  <si>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</si>
  <si>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</si>
  <si>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</si>
  <si>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</si>
  <si>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</si>
  <si>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</si>
  <si>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</si>
  <si>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</si>
  <si>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</si>
  <si>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</si>
  <si>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</si>
  <si>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</si>
  <si>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</si>
  <si>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</si>
  <si>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</si>
  <si>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</si>
  <si>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</si>
  <si>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</si>
  <si>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</si>
  <si>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</si>
  <si>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</si>
  <si>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</si>
  <si>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</si>
  <si>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</si>
  <si>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</si>
  <si>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</si>
  <si>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</si>
  <si>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</si>
  <si>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</si>
  <si>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</si>
  <si>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</si>
  <si>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</si>
  <si>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</si>
  <si>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</si>
  <si>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</si>
  <si>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</si>
  <si>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</si>
  <si>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</si>
  <si>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</si>
  <si>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</si>
  <si>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</si>
  <si>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</si>
  <si>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</si>
  <si>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</si>
  <si>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</si>
  <si>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</si>
  <si>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</si>
  <si>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</si>
  <si>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</si>
  <si>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</si>
  <si>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</si>
  <si>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</si>
  <si>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</si>
  <si>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</si>
  <si>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</si>
  <si>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</si>
  <si>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</si>
  <si>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</si>
  <si>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</si>
  <si>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</si>
  <si>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</si>
  <si>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</si>
  <si>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</si>
  <si>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</si>
  <si>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</si>
  <si>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</si>
  <si>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</si>
  <si>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</si>
  <si>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</si>
  <si>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</si>
  <si>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</si>
  <si>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</si>
  <si>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</si>
  <si>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</si>
  <si>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</si>
  <si>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</si>
  <si>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</si>
  <si>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</si>
  <si>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</si>
  <si>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</si>
  <si>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</si>
  <si>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</si>
  <si>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</si>
  <si>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</si>
  <si>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</si>
  <si>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</si>
  <si>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</si>
  <si>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</si>
  <si>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</si>
  <si>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</si>
  <si>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</si>
  <si>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</si>
  <si>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</si>
  <si>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</si>
  <si>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</si>
  <si>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</si>
  <si>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</si>
  <si>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</si>
  <si>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</si>
  <si>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</si>
  <si>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</si>
  <si>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</si>
  <si>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</si>
  <si>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</si>
  <si>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</si>
  <si>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</si>
  <si>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</si>
  <si>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</si>
  <si>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</si>
  <si>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</si>
  <si>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</si>
  <si>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</si>
  <si>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</si>
  <si>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</si>
  <si>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</si>
  <si>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</si>
  <si>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</si>
  <si>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</si>
  <si>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</si>
  <si>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</si>
  <si>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</si>
  <si>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</si>
  <si>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</si>
  <si>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</si>
  <si>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</si>
  <si>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</si>
  <si>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</si>
  <si>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</si>
  <si>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</si>
  <si>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</si>
  <si>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</si>
  <si>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</si>
  <si>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</si>
  <si>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</si>
  <si>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</si>
  <si>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</si>
  <si>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</si>
  <si>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</si>
  <si>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</si>
  <si>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</si>
  <si>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</si>
  <si>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</si>
  <si>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</si>
  <si>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</si>
  <si>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</si>
  <si>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</si>
  <si>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</si>
  <si>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</si>
  <si>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</si>
  <si>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</si>
  <si>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</si>
  <si>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</si>
  <si>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</si>
  <si>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</si>
  <si>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</si>
  <si>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</si>
  <si>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</si>
  <si>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</si>
  <si>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</si>
  <si>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</si>
  <si>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</si>
  <si>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</si>
  <si>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</si>
  <si>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</si>
  <si>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</si>
  <si>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</si>
  <si>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</si>
  <si>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</si>
  <si>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</si>
  <si>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</si>
  <si>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</si>
  <si>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</si>
  <si>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</si>
  <si>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</si>
  <si>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</si>
  <si>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</si>
  <si>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</si>
  <si>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</si>
  <si>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</si>
  <si>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</si>
  <si>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</si>
  <si>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</si>
  <si>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</si>
  <si>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</si>
  <si>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</si>
  <si>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</si>
  <si>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</si>
  <si>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</si>
  <si>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</si>
  <si>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</si>
  <si>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</si>
  <si>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</si>
  <si>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</si>
  <si>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</si>
  <si>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</si>
  <si>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</si>
  <si>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</si>
  <si>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</si>
  <si>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</si>
  <si>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</si>
  <si>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</si>
  <si>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</si>
  <si>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</si>
  <si>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</si>
  <si>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</si>
  <si>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</si>
  <si>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</si>
  <si>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</si>
  <si>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First Pick List</t>
  </si>
  <si>
    <t>Second Pick List</t>
  </si>
  <si>
    <t>1st Desireability</t>
  </si>
  <si>
    <t>2nd Desireability</t>
  </si>
  <si>
    <t>Climb?</t>
  </si>
  <si>
    <t>Second Desirability</t>
  </si>
  <si>
    <t>FIRST</t>
  </si>
  <si>
    <t>SECOND</t>
  </si>
  <si>
    <t>2auto</t>
  </si>
  <si>
    <t>2autoThreshold</t>
  </si>
  <si>
    <t xml:space="preserve">2hatch </t>
  </si>
  <si>
    <t>2cargo</t>
  </si>
  <si>
    <t>2rocket23</t>
  </si>
  <si>
    <t>2climb</t>
  </si>
  <si>
    <t>2climbThreshold</t>
  </si>
  <si>
    <t>cNoCargo</t>
  </si>
  <si>
    <t>2assist</t>
  </si>
  <si>
    <t>cNoCargoThreshold</t>
  </si>
  <si>
    <t>2assistThreshold</t>
  </si>
  <si>
    <t>2penalty</t>
  </si>
  <si>
    <t>hNoHatch</t>
  </si>
  <si>
    <t>2dropHatch</t>
  </si>
  <si>
    <t>hNoHatchThreshold</t>
  </si>
  <si>
    <t>2tippedBroke</t>
  </si>
  <si>
    <t>2noAuto</t>
  </si>
  <si>
    <t>2noAutoThreshold</t>
  </si>
  <si>
    <t>2doesNothing</t>
  </si>
  <si>
    <t>2doesNothingThreshold</t>
  </si>
  <si>
    <t>EVENT</t>
  </si>
  <si>
    <t>Durham</t>
  </si>
  <si>
    <t>Colour-coding</t>
  </si>
  <si>
    <t>Climb</t>
  </si>
  <si>
    <t>green</t>
  </si>
  <si>
    <t>yellow</t>
  </si>
  <si>
    <t>Desirabilities</t>
  </si>
  <si>
    <t>red</t>
  </si>
  <si>
    <t>negative</t>
  </si>
  <si>
    <t>meets doesNothing criteria</t>
  </si>
  <si>
    <t>level 3 max (average is displayed)</t>
  </si>
  <si>
    <t>level 2 max (average is displayed)</t>
  </si>
  <si>
    <t>the second desirability looks for teams that place gamepieces</t>
  </si>
  <si>
    <t>it does not look for robots that can do defense</t>
  </si>
  <si>
    <t>Team</t>
  </si>
  <si>
    <t>Fouls</t>
  </si>
  <si>
    <t>Tech Fouls</t>
  </si>
  <si>
    <t>What rule(s)?</t>
  </si>
  <si>
    <t>MATCH #</t>
  </si>
  <si>
    <t>FOULS</t>
  </si>
  <si>
    <t>TECH</t>
  </si>
  <si>
    <t>SCOUT NAME:</t>
  </si>
  <si>
    <t>RULES</t>
  </si>
  <si>
    <t xml:space="preserve">RULES </t>
  </si>
  <si>
    <t>PENALTIES</t>
  </si>
  <si>
    <t>OFFENSE</t>
  </si>
  <si>
    <t>FOUND ON ROW</t>
  </si>
  <si>
    <t>blue</t>
  </si>
  <si>
    <t>NO ORANGE LIGHT BLINKING</t>
  </si>
  <si>
    <t>TIPPED WHILE CLIMBING</t>
  </si>
  <si>
    <t>Georgian Prescout</t>
  </si>
  <si>
    <t>Didn't show up</t>
  </si>
  <si>
    <t>DIdn't show up</t>
  </si>
  <si>
    <t>Hatches placed were not very accurate (didn't cover full hole)</t>
  </si>
  <si>
    <t>Ryerson Prescout</t>
  </si>
  <si>
    <t>Humber</t>
  </si>
  <si>
    <t>York</t>
  </si>
  <si>
    <t>Waterloooooooo</t>
  </si>
  <si>
    <t>Gearheads</t>
  </si>
  <si>
    <t>Tiger Techs</t>
  </si>
  <si>
    <t>Agincourt Skunkworks</t>
  </si>
  <si>
    <t>The Big Bang</t>
  </si>
  <si>
    <t>Red Devils</t>
  </si>
  <si>
    <t>Merge Robotics</t>
  </si>
  <si>
    <t>Cardinal Robotics</t>
  </si>
  <si>
    <t>ABSOLUTE ROBOTICS</t>
  </si>
  <si>
    <t>Allspark9</t>
  </si>
  <si>
    <t>Raider Robotics</t>
  </si>
  <si>
    <t xml:space="preserve"> Full Metal Mustangs</t>
  </si>
  <si>
    <t>Irish Iron</t>
  </si>
  <si>
    <t>Richardson Stormbots</t>
  </si>
  <si>
    <t>Celt-X</t>
  </si>
  <si>
    <t>Pink Titans</t>
  </si>
  <si>
    <t>PARAGON</t>
  </si>
  <si>
    <t>Cap Alpaca</t>
  </si>
  <si>
    <t>BT Robotics</t>
  </si>
  <si>
    <t>Romero Robotics</t>
  </si>
  <si>
    <t xml:space="preserve">SJB Odyssey </t>
  </si>
  <si>
    <t>Thistletown Scot Bots</t>
  </si>
  <si>
    <t>Aurobots</t>
  </si>
  <si>
    <t>EOM Lions</t>
  </si>
  <si>
    <t>Team MineKee</t>
  </si>
  <si>
    <t>Desireability</t>
  </si>
  <si>
    <t>More RoboDawgs</t>
  </si>
  <si>
    <t>RoboDawgs 3D</t>
  </si>
  <si>
    <t>The RoboDawgs</t>
  </si>
  <si>
    <t>Kinetic Knights</t>
  </si>
  <si>
    <t>Ice Cubed</t>
  </si>
  <si>
    <t>Inverse Paradox</t>
  </si>
  <si>
    <t>Cybergnomes</t>
  </si>
  <si>
    <t>The Gryphons</t>
  </si>
  <si>
    <t>Code Red Robotics the Stray Dogs</t>
  </si>
  <si>
    <t>Tractor Technicians</t>
  </si>
  <si>
    <t>Saints Bot</t>
  </si>
  <si>
    <t>Mustangs</t>
  </si>
  <si>
    <t>Cougar Robotics</t>
  </si>
  <si>
    <t>Falcons</t>
  </si>
  <si>
    <t>Sabotage</t>
  </si>
  <si>
    <t>Javawockies</t>
  </si>
  <si>
    <t>Iron Stallions</t>
  </si>
  <si>
    <t>Deus Ex Machina</t>
  </si>
  <si>
    <t>A-Team Robotics</t>
  </si>
  <si>
    <t>Banting Memorial high school</t>
  </si>
  <si>
    <t>Big Celtic 6</t>
  </si>
  <si>
    <t>Atomic Dishwashers</t>
  </si>
  <si>
    <t>KDHS Kolts</t>
  </si>
  <si>
    <t>Markham FireBirds</t>
  </si>
  <si>
    <t>DECISIONS</t>
  </si>
  <si>
    <t>Quals 61</t>
  </si>
  <si>
    <t>Quals 62</t>
  </si>
  <si>
    <t>Quals 63</t>
  </si>
  <si>
    <t>Quals 64</t>
  </si>
  <si>
    <t>Quals 65</t>
  </si>
  <si>
    <t>Quals 66</t>
  </si>
  <si>
    <t>Quals 67</t>
  </si>
  <si>
    <t>Quals 68</t>
  </si>
  <si>
    <t>Quals 69</t>
  </si>
  <si>
    <t>Quals 70</t>
  </si>
  <si>
    <t>Quals 71</t>
  </si>
  <si>
    <t>Quals 72</t>
  </si>
  <si>
    <t>Iron Bears</t>
  </si>
  <si>
    <t>East York Cybernetics "The Cybernauts"</t>
  </si>
  <si>
    <t>Sprockets</t>
  </si>
  <si>
    <t>Orbit Robotics</t>
  </si>
  <si>
    <t>MaxTech</t>
  </si>
  <si>
    <t>Newman Robotics</t>
  </si>
  <si>
    <t>Spirit Robotics</t>
  </si>
  <si>
    <t>Panthers</t>
  </si>
  <si>
    <t>Spartan Robotics</t>
  </si>
  <si>
    <t>Wolverines</t>
  </si>
  <si>
    <t>Robo Sapiens</t>
  </si>
  <si>
    <t>Binary Power</t>
  </si>
  <si>
    <t>Vipers</t>
  </si>
  <si>
    <t>SMT Titans</t>
  </si>
  <si>
    <t>O'Connor Robotics</t>
  </si>
  <si>
    <t>Hayden Robotics</t>
  </si>
  <si>
    <t>LYNX</t>
  </si>
  <si>
    <t>Supreme Robotics</t>
  </si>
  <si>
    <t>Voyageur Robotics</t>
  </si>
  <si>
    <t>Cyber Squad</t>
  </si>
  <si>
    <t>ACCN Techtronix</t>
  </si>
  <si>
    <t>ALT-F4</t>
  </si>
  <si>
    <t>Bill Hogarth Secondary School</t>
  </si>
  <si>
    <t>HNMCS Robotics</t>
  </si>
  <si>
    <t>UHS Wolfpack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</si>
</sst>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
      <sz val="12"/>
      <color rgb="FF006100"/>
      <name val="Calibri"/>
      <family val="2"/>
      <scheme val="minor"/>
    </font>
    <font>
      <sz val="12"/>
      <color rgb="FF9C0006"/>
      <name val="Calibri"/>
      <family val="2"/>
      <scheme val="minor"/>
    </font>
    <font>
      <sz val="12"/>
      <color rgb="FF9C5700"/>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2" tint="-9.9978637043366805E-2"/>
        <bgColor indexed="64"/>
      </patternFill>
    </fill>
    <fill>
      <patternFill patternType="solid">
        <fgColor rgb="FF95BDDA"/>
        <bgColor indexed="64"/>
      </patternFill>
    </fill>
  </fills>
  <borders count="126">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style="medium">
        <color auto="1"/>
      </left>
      <right/>
      <top style="thin">
        <color auto="1"/>
      </top>
      <bottom/>
      <diagonal/>
    </border>
    <border>
      <left style="medium">
        <color auto="1"/>
      </left>
      <right style="hair">
        <color auto="1"/>
      </right>
      <top style="thin">
        <color auto="1"/>
      </top>
      <bottom style="thin">
        <color auto="1"/>
      </bottom>
      <diagonal/>
    </border>
    <border>
      <left style="medium">
        <color auto="1"/>
      </left>
      <right style="hair">
        <color auto="1"/>
      </right>
      <top/>
      <bottom style="hair">
        <color auto="1"/>
      </bottom>
      <diagonal/>
    </border>
    <border>
      <left style="medium">
        <color auto="1"/>
      </left>
      <right style="hair">
        <color auto="1"/>
      </right>
      <top style="hair">
        <color auto="1"/>
      </top>
      <bottom/>
      <diagonal/>
    </border>
    <border>
      <left/>
      <right style="thin">
        <color auto="1"/>
      </right>
      <top style="thin">
        <color auto="1"/>
      </top>
      <bottom style="thin">
        <color auto="1"/>
      </bottom>
      <diagonal/>
    </border>
    <border>
      <left/>
      <right style="medium">
        <color auto="1"/>
      </right>
      <top style="thin">
        <color auto="1"/>
      </top>
      <bottom style="hair">
        <color auto="1"/>
      </bottom>
      <diagonal/>
    </border>
    <border>
      <left/>
      <right style="medium">
        <color auto="1"/>
      </right>
      <top style="hair">
        <color auto="1"/>
      </top>
      <bottom style="hair">
        <color auto="1"/>
      </bottom>
      <diagonal/>
    </border>
    <border>
      <left/>
      <right style="medium">
        <color auto="1"/>
      </right>
      <top style="hair">
        <color auto="1"/>
      </top>
      <bottom/>
      <diagonal/>
    </border>
    <border>
      <left/>
      <right style="medium">
        <color auto="1"/>
      </right>
      <top style="thin">
        <color auto="1"/>
      </top>
      <bottom style="thin">
        <color auto="1"/>
      </bottom>
      <diagonal/>
    </border>
    <border>
      <left/>
      <right style="medium">
        <color auto="1"/>
      </right>
      <top style="hair">
        <color auto="1"/>
      </top>
      <bottom style="medium">
        <color auto="1"/>
      </bottom>
      <diagonal/>
    </border>
    <border>
      <left/>
      <right style="hair">
        <color auto="1"/>
      </right>
      <top style="hair">
        <color auto="1"/>
      </top>
      <bottom style="medium">
        <color auto="1"/>
      </bottom>
      <diagonal/>
    </border>
    <border>
      <left style="thin">
        <color rgb="FF000000"/>
      </left>
      <right/>
      <top/>
      <bottom/>
      <diagonal/>
    </border>
    <border>
      <left style="medium">
        <color auto="1"/>
      </left>
      <right/>
      <top style="hair">
        <color auto="1"/>
      </top>
      <bottom style="medium">
        <color auto="1"/>
      </bottom>
      <diagonal/>
    </border>
  </borders>
  <cellStyleXfs count="6">
    <xf numFmtId="0" fontId="0" fillId="0" borderId="0"/>
    <xf numFmtId="0" fontId="5" fillId="0" borderId="0"/>
    <xf numFmtId="0" fontId="10" fillId="0" borderId="0" applyNumberFormat="0" applyFill="0" applyBorder="0" applyAlignment="0" applyProtection="0"/>
    <xf numFmtId="0" fontId="13" fillId="12"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cellStyleXfs>
  <cellXfs count="225">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41" xfId="1" applyFont="1" applyFill="1" applyBorder="1" applyAlignment="1">
      <alignment horizontal="center" vertical="center"/>
    </xf>
    <xf numFmtId="0" fontId="6" fillId="5" borderId="42" xfId="1" applyFont="1" applyFill="1" applyBorder="1" applyAlignment="1">
      <alignment horizontal="center" vertical="center"/>
    </xf>
    <xf numFmtId="0" fontId="7" fillId="0" borderId="0" xfId="1" applyFont="1" applyAlignment="1">
      <alignment horizontal="center" vertical="center"/>
    </xf>
    <xf numFmtId="0" fontId="6" fillId="0" borderId="47" xfId="1" applyFont="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5" borderId="50" xfId="1" applyFont="1" applyFill="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0" borderId="54" xfId="1" applyFont="1" applyBorder="1" applyAlignment="1">
      <alignment horizontal="center" vertical="center"/>
    </xf>
    <xf numFmtId="0" fontId="6" fillId="0" borderId="55" xfId="1" applyFont="1" applyBorder="1" applyAlignment="1">
      <alignment horizontal="center" vertical="center"/>
    </xf>
    <xf numFmtId="0" fontId="6" fillId="0" borderId="56" xfId="1" applyFont="1" applyBorder="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6" fillId="0" borderId="59" xfId="1" applyFont="1" applyBorder="1" applyAlignment="1">
      <alignment horizontal="center" vertical="center"/>
    </xf>
    <xf numFmtId="0" fontId="7" fillId="5" borderId="0" xfId="1" applyFont="1" applyFill="1" applyAlignment="1">
      <alignment horizontal="center" vertical="center"/>
    </xf>
    <xf numFmtId="0" fontId="6" fillId="5" borderId="60" xfId="1" applyFont="1" applyFill="1" applyBorder="1" applyAlignment="1">
      <alignment horizontal="center" vertical="center"/>
    </xf>
    <xf numFmtId="0" fontId="6" fillId="5" borderId="61" xfId="1" applyFont="1" applyFill="1" applyBorder="1" applyAlignment="1">
      <alignment horizontal="center" vertical="center"/>
    </xf>
    <xf numFmtId="0" fontId="0" fillId="0" borderId="64" xfId="0" applyBorder="1"/>
    <xf numFmtId="0" fontId="0" fillId="0" borderId="0" xfId="0" applyAlignment="1">
      <alignment horizontal="center"/>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47" xfId="1" applyFont="1" applyBorder="1" applyAlignment="1">
      <alignment horizontal="center" vertical="center" wrapText="1"/>
    </xf>
    <xf numFmtId="0" fontId="6" fillId="0" borderId="48" xfId="1" applyFont="1" applyBorder="1" applyAlignment="1">
      <alignment horizontal="center" vertical="center" wrapText="1"/>
    </xf>
    <xf numFmtId="0" fontId="6" fillId="0" borderId="65" xfId="1" applyFont="1" applyBorder="1" applyAlignment="1">
      <alignment horizontal="center" vertical="center" wrapText="1"/>
    </xf>
    <xf numFmtId="0" fontId="6" fillId="0" borderId="66" xfId="1" applyFont="1" applyBorder="1" applyAlignment="1">
      <alignment horizontal="center" vertical="center" wrapText="1"/>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6" fillId="0" borderId="72" xfId="1" applyFont="1" applyBorder="1" applyAlignment="1">
      <alignment horizontal="center" vertical="center"/>
    </xf>
    <xf numFmtId="0" fontId="6" fillId="0" borderId="73" xfId="1" applyFont="1" applyBorder="1" applyAlignment="1">
      <alignment horizontal="center" vertical="center"/>
    </xf>
    <xf numFmtId="0" fontId="6" fillId="0" borderId="74"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60" xfId="0" applyBorder="1"/>
    <xf numFmtId="0" fontId="1" fillId="0" borderId="77" xfId="0" applyFont="1" applyBorder="1" applyAlignment="1">
      <alignment horizontal="center"/>
    </xf>
    <xf numFmtId="0" fontId="0" fillId="0" borderId="21" xfId="0" applyBorder="1"/>
    <xf numFmtId="0" fontId="0" fillId="0" borderId="79" xfId="0" applyBorder="1"/>
    <xf numFmtId="0" fontId="0" fillId="0" borderId="80" xfId="0" applyBorder="1"/>
    <xf numFmtId="0" fontId="0" fillId="0" borderId="23" xfId="0" applyBorder="1"/>
    <xf numFmtId="0" fontId="0" fillId="0" borderId="24" xfId="0" applyBorder="1"/>
    <xf numFmtId="0" fontId="1" fillId="0" borderId="81" xfId="0" applyFont="1" applyBorder="1" applyAlignment="1">
      <alignment horizontal="center"/>
    </xf>
    <xf numFmtId="0" fontId="0" fillId="0" borderId="30" xfId="0" applyBorder="1"/>
    <xf numFmtId="0" fontId="0" fillId="0" borderId="85" xfId="0" applyBorder="1"/>
    <xf numFmtId="0" fontId="0" fillId="0" borderId="83" xfId="0" applyBorder="1"/>
    <xf numFmtId="0" fontId="0" fillId="0" borderId="84" xfId="0" applyBorder="1"/>
    <xf numFmtId="0" fontId="1" fillId="0" borderId="35" xfId="0" applyFont="1" applyBorder="1" applyAlignment="1">
      <alignment horizontal="center"/>
    </xf>
    <xf numFmtId="0" fontId="0" fillId="0" borderId="82" xfId="0" applyBorder="1"/>
    <xf numFmtId="0" fontId="0" fillId="0" borderId="78" xfId="0" applyBorder="1"/>
    <xf numFmtId="0" fontId="1" fillId="0" borderId="36" xfId="0" applyFont="1" applyBorder="1" applyAlignment="1">
      <alignment horizontal="center"/>
    </xf>
    <xf numFmtId="0" fontId="1" fillId="0" borderId="85" xfId="0" applyFont="1" applyBorder="1"/>
    <xf numFmtId="0" fontId="6" fillId="5" borderId="86" xfId="1" applyFont="1" applyFill="1" applyBorder="1" applyAlignment="1">
      <alignment horizontal="center" vertical="center"/>
    </xf>
    <xf numFmtId="0" fontId="6"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77" xfId="1" applyFont="1" applyBorder="1" applyAlignment="1">
      <alignment horizontal="center" vertical="center"/>
    </xf>
    <xf numFmtId="0" fontId="8" fillId="0" borderId="90" xfId="1" applyFont="1" applyBorder="1" applyAlignment="1">
      <alignment horizontal="center" vertical="center"/>
    </xf>
    <xf numFmtId="0" fontId="6" fillId="0" borderId="91" xfId="1" applyFont="1" applyBorder="1" applyAlignment="1">
      <alignment horizontal="center" vertical="center"/>
    </xf>
    <xf numFmtId="0" fontId="6" fillId="0" borderId="92" xfId="1" applyFont="1" applyBorder="1" applyAlignment="1">
      <alignment horizontal="center" vertical="center"/>
    </xf>
    <xf numFmtId="0" fontId="6" fillId="0" borderId="93" xfId="1" applyFont="1" applyBorder="1" applyAlignment="1">
      <alignment horizontal="center" vertical="center"/>
    </xf>
    <xf numFmtId="0" fontId="6" fillId="0" borderId="94" xfId="1" applyFont="1" applyBorder="1" applyAlignment="1">
      <alignment horizontal="center" vertical="center"/>
    </xf>
    <xf numFmtId="0" fontId="6" fillId="0" borderId="63" xfId="1" applyFont="1" applyBorder="1" applyAlignment="1">
      <alignment horizontal="center" vertical="center"/>
    </xf>
    <xf numFmtId="0" fontId="1" fillId="0" borderId="61" xfId="0" applyFont="1" applyBorder="1"/>
    <xf numFmtId="0" fontId="1" fillId="0" borderId="29" xfId="0" applyFont="1" applyBorder="1"/>
    <xf numFmtId="0" fontId="6" fillId="0" borderId="97" xfId="1" applyFont="1" applyBorder="1" applyAlignment="1">
      <alignment horizontal="center" vertical="center"/>
    </xf>
    <xf numFmtId="0" fontId="6" fillId="0" borderId="98"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62" xfId="0" applyBorder="1"/>
    <xf numFmtId="0" fontId="0" fillId="0" borderId="63" xfId="0" applyBorder="1"/>
    <xf numFmtId="0" fontId="0" fillId="0" borderId="76" xfId="0" applyBorder="1"/>
    <xf numFmtId="0" fontId="1" fillId="0" borderId="22" xfId="0" applyFont="1" applyBorder="1" applyAlignment="1">
      <alignment horizontal="center"/>
    </xf>
    <xf numFmtId="0" fontId="0" fillId="0" borderId="99"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0" borderId="100" xfId="0" applyBorder="1"/>
    <xf numFmtId="0" fontId="0" fillId="0" borderId="0" xfId="0" applyProtection="1">
      <protection locked="0"/>
    </xf>
    <xf numFmtId="0" fontId="0" fillId="0" borderId="101" xfId="0" applyBorder="1"/>
    <xf numFmtId="0" fontId="0" fillId="0" borderId="31" xfId="0" applyBorder="1"/>
    <xf numFmtId="0" fontId="0" fillId="0" borderId="29" xfId="0" applyBorder="1"/>
    <xf numFmtId="164" fontId="0" fillId="0" borderId="83" xfId="0" applyNumberFormat="1" applyBorder="1"/>
    <xf numFmtId="164" fontId="0" fillId="0" borderId="0" xfId="0" applyNumberFormat="1"/>
    <xf numFmtId="0" fontId="0" fillId="10" borderId="0" xfId="0" applyFill="1"/>
    <xf numFmtId="0" fontId="0" fillId="10" borderId="64" xfId="0" applyFill="1" applyBorder="1"/>
    <xf numFmtId="0" fontId="0" fillId="10" borderId="63" xfId="0" applyFill="1" applyBorder="1"/>
    <xf numFmtId="0" fontId="0" fillId="11" borderId="0" xfId="0" applyFill="1"/>
    <xf numFmtId="0" fontId="0" fillId="0" borderId="13" xfId="0" applyBorder="1"/>
    <xf numFmtId="0" fontId="0" fillId="15" borderId="0" xfId="0" applyFill="1"/>
    <xf numFmtId="0" fontId="13" fillId="12" borderId="0" xfId="3"/>
    <xf numFmtId="0" fontId="15" fillId="14" borderId="0" xfId="5"/>
    <xf numFmtId="0" fontId="14" fillId="13" borderId="0" xfId="4"/>
    <xf numFmtId="0" fontId="0" fillId="5" borderId="0" xfId="0" applyFill="1"/>
    <xf numFmtId="0" fontId="0" fillId="0" borderId="102" xfId="0" applyBorder="1"/>
    <xf numFmtId="0" fontId="0" fillId="0" borderId="103" xfId="0" applyBorder="1"/>
    <xf numFmtId="0" fontId="0" fillId="0" borderId="104" xfId="0" applyBorder="1"/>
    <xf numFmtId="0" fontId="0" fillId="0" borderId="105" xfId="0" applyBorder="1"/>
    <xf numFmtId="0" fontId="0" fillId="0" borderId="52" xfId="0" applyBorder="1"/>
    <xf numFmtId="0" fontId="0" fillId="0" borderId="106" xfId="0" applyBorder="1"/>
    <xf numFmtId="0" fontId="0" fillId="0" borderId="107" xfId="0" applyBorder="1"/>
    <xf numFmtId="0" fontId="0" fillId="0" borderId="108" xfId="0" applyBorder="1"/>
    <xf numFmtId="0" fontId="0" fillId="0" borderId="109" xfId="0" applyBorder="1"/>
    <xf numFmtId="0" fontId="0" fillId="0" borderId="110" xfId="0" applyBorder="1"/>
    <xf numFmtId="0" fontId="0" fillId="0" borderId="111" xfId="0" applyBorder="1"/>
    <xf numFmtId="0" fontId="0" fillId="0" borderId="112" xfId="0" applyBorder="1"/>
    <xf numFmtId="0" fontId="0" fillId="0" borderId="114" xfId="0" applyBorder="1"/>
    <xf numFmtId="0" fontId="0" fillId="0" borderId="115" xfId="0" applyBorder="1"/>
    <xf numFmtId="0" fontId="0" fillId="0" borderId="51" xfId="0" applyBorder="1"/>
    <xf numFmtId="0" fontId="0" fillId="0" borderId="116" xfId="0" applyBorder="1"/>
    <xf numFmtId="0" fontId="0" fillId="0" borderId="117" xfId="0" applyBorder="1"/>
    <xf numFmtId="0" fontId="0" fillId="0" borderId="118" xfId="0" applyBorder="1"/>
    <xf numFmtId="0" fontId="0" fillId="0" borderId="119" xfId="0" applyBorder="1"/>
    <xf numFmtId="0" fontId="0" fillId="0" borderId="120" xfId="0" applyBorder="1"/>
    <xf numFmtId="0" fontId="0" fillId="0" borderId="122" xfId="0" applyBorder="1"/>
    <xf numFmtId="0" fontId="0" fillId="0" borderId="123" xfId="0" applyBorder="1"/>
    <xf numFmtId="0" fontId="0" fillId="0" borderId="98" xfId="0" applyBorder="1"/>
    <xf numFmtId="0" fontId="0" fillId="0" borderId="65" xfId="0" applyBorder="1"/>
    <xf numFmtId="0" fontId="0" fillId="0" borderId="66" xfId="0" applyBorder="1"/>
    <xf numFmtId="0" fontId="0" fillId="16" borderId="0" xfId="0" applyFill="1"/>
    <xf numFmtId="0" fontId="0" fillId="2" borderId="124" xfId="0" applyFill="1" applyBorder="1"/>
    <xf numFmtId="0" fontId="0" fillId="0" borderId="11" xfId="0" applyBorder="1" applyAlignment="1">
      <alignment vertical="center" wrapText="1"/>
    </xf>
    <xf numFmtId="0" fontId="0" fillId="0" borderId="113" xfId="0" applyBorder="1"/>
    <xf numFmtId="0" fontId="0" fillId="0" borderId="11" xfId="0" applyBorder="1"/>
    <xf numFmtId="0" fontId="0" fillId="0" borderId="88" xfId="0" applyBorder="1"/>
    <xf numFmtId="0" fontId="0" fillId="0" borderId="89" xfId="0" applyBorder="1"/>
    <xf numFmtId="0" fontId="0" fillId="0" borderId="125" xfId="0" applyBorder="1"/>
    <xf numFmtId="0" fontId="0" fillId="0" borderId="92" xfId="0" applyBorder="1"/>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37" xfId="1" applyFont="1" applyBorder="1" applyAlignment="1">
      <alignment horizontal="left" vertical="center"/>
    </xf>
    <xf numFmtId="0" fontId="6" fillId="0" borderId="38" xfId="1" applyFont="1" applyBorder="1" applyAlignment="1">
      <alignment horizontal="left" vertical="center"/>
    </xf>
    <xf numFmtId="0" fontId="6" fillId="0" borderId="39" xfId="1" applyFont="1" applyBorder="1" applyAlignment="1">
      <alignment horizontal="left" vertical="center"/>
    </xf>
    <xf numFmtId="0" fontId="6" fillId="0" borderId="91" xfId="1" applyFont="1" applyBorder="1" applyAlignment="1">
      <alignment horizontal="center" vertical="center" wrapText="1"/>
    </xf>
    <xf numFmtId="0" fontId="6" fillId="0" borderId="95" xfId="1" applyFont="1" applyBorder="1" applyAlignment="1">
      <alignment horizontal="center" vertical="center" wrapText="1"/>
    </xf>
    <xf numFmtId="0" fontId="6" fillId="0" borderId="69" xfId="1" applyFont="1" applyBorder="1" applyAlignment="1">
      <alignment horizontal="center" vertical="center"/>
    </xf>
    <xf numFmtId="0" fontId="8" fillId="0" borderId="75" xfId="1" applyFont="1" applyBorder="1" applyAlignment="1">
      <alignment horizontal="center" vertical="center"/>
    </xf>
    <xf numFmtId="0" fontId="8" fillId="0" borderId="40" xfId="1" applyFont="1" applyBorder="1" applyAlignment="1">
      <alignment horizontal="center" vertical="center"/>
    </xf>
    <xf numFmtId="0" fontId="8" fillId="0" borderId="43" xfId="1" applyFont="1" applyBorder="1" applyAlignment="1">
      <alignment horizontal="center" vertical="center"/>
    </xf>
    <xf numFmtId="0" fontId="8" fillId="0" borderId="96" xfId="1" applyFont="1" applyBorder="1" applyAlignment="1">
      <alignment horizontal="center" vertical="center"/>
    </xf>
    <xf numFmtId="0" fontId="7" fillId="5" borderId="96" xfId="1" applyFont="1" applyFill="1" applyBorder="1" applyAlignment="1">
      <alignment horizontal="center" vertical="center"/>
    </xf>
    <xf numFmtId="0" fontId="6" fillId="0" borderId="44" xfId="1" applyFont="1" applyBorder="1" applyAlignment="1">
      <alignment horizontal="left" vertical="center"/>
    </xf>
    <xf numFmtId="0" fontId="6" fillId="0" borderId="45" xfId="1" applyFont="1" applyBorder="1" applyAlignment="1">
      <alignment horizontal="left" vertical="center"/>
    </xf>
    <xf numFmtId="0" fontId="6" fillId="0" borderId="46" xfId="1" applyFont="1" applyBorder="1" applyAlignment="1">
      <alignment horizontal="left" vertical="center"/>
    </xf>
    <xf numFmtId="0" fontId="0" fillId="0" borderId="113" xfId="0" applyBorder="1" applyAlignment="1">
      <alignment horizontal="center"/>
    </xf>
    <xf numFmtId="0" fontId="0" fillId="0" borderId="42" xfId="0" applyBorder="1" applyAlignment="1">
      <alignment horizontal="center"/>
    </xf>
    <xf numFmtId="0" fontId="0" fillId="0" borderId="86" xfId="0" applyBorder="1" applyAlignment="1">
      <alignment horizontal="left"/>
    </xf>
    <xf numFmtId="0" fontId="0" fillId="0" borderId="50" xfId="0" applyBorder="1"/>
    <xf numFmtId="0" fontId="0" fillId="0" borderId="121" xfId="0" applyBorder="1"/>
    <xf numFmtId="0" fontId="0" fillId="0" borderId="86" xfId="0" applyBorder="1"/>
    <xf numFmtId="0" fontId="0" fillId="0" borderId="90" xfId="0" applyBorder="1"/>
    <xf numFmtId="0" fontId="0" fillId="0" borderId="63" xfId="0" applyBorder="1" applyAlignment="1">
      <alignment horizontal="center"/>
    </xf>
  </cellXfs>
  <cellStyles count="6">
    <cellStyle name="Bad" xfId="4" builtinId="27"/>
    <cellStyle name="Good" xfId="3" builtinId="26"/>
    <cellStyle name="Hyperlink" xfId="2" builtinId="8"/>
    <cellStyle name="Neutral" xfId="5" builtinId="28"/>
    <cellStyle name="Normal" xfId="0" builtinId="0"/>
    <cellStyle name="Normal 2" xfId="1" xr:uid="{C620A46E-9391-479E-A6E7-7B8F899801C0}"/>
  </cellStyles>
  <dxfs count="90">
    <dxf>
      <font>
        <color rgb="FF006100"/>
      </font>
      <fill>
        <patternFill>
          <bgColor rgb="FFC6EFCE"/>
        </patternFill>
      </fill>
    </dxf>
    <dxf>
      <font>
        <color rgb="FF9C5700"/>
      </font>
      <fill>
        <patternFill>
          <bgColor rgb="FFFFEB9C"/>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auto="1"/>
      </font>
      <fill>
        <patternFill>
          <bgColor rgb="FF92D050"/>
        </patternFill>
      </fill>
    </dxf>
    <dxf>
      <font>
        <color rgb="FF00B0F0"/>
      </font>
      <fill>
        <patternFill>
          <bgColor rgb="FF0070C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92D050"/>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ont>
        <color rgb="FF9C0006"/>
      </font>
      <fill>
        <patternFill>
          <bgColor rgb="FFFFC7CE"/>
        </patternFill>
      </fill>
    </dxf>
    <dxf>
      <font>
        <color theme="2" tint="-0.749961851863155"/>
      </font>
      <fill>
        <patternFill>
          <bgColor theme="2" tint="-9.9948118533890809E-2"/>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ont>
        <color rgb="FF9C0006"/>
      </font>
      <fill>
        <patternFill>
          <bgColor rgb="FFFFC7CE"/>
        </patternFill>
      </fill>
    </dxf>
    <dxf>
      <font>
        <color theme="2" tint="-0.749961851863155"/>
      </font>
      <fill>
        <patternFill>
          <bgColor theme="2" tint="-9.9948118533890809E-2"/>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rgb="FF95BDDA"/>
        </patternFill>
      </fill>
    </dxf>
    <dxf>
      <fill>
        <patternFill>
          <bgColor rgb="FFFFBCBE"/>
        </patternFill>
      </fill>
    </dxf>
    <dxf>
      <font>
        <color rgb="FF9C0006"/>
      </font>
      <fill>
        <patternFill>
          <bgColor rgb="FFFFC7CE"/>
        </patternFill>
      </fill>
    </dxf>
    <dxf>
      <fill>
        <patternFill>
          <bgColor rgb="FF95BDDA"/>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6</xdr:row>
          <xdr:rowOff>123825</xdr:rowOff>
        </xdr:from>
        <xdr:to>
          <xdr:col>7</xdr:col>
          <xdr:colOff>304800</xdr:colOff>
          <xdr:row>7</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87DC4113-46E8-47F2-B923-636014CBDEA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8</xdr:row>
          <xdr:rowOff>123825</xdr:rowOff>
        </xdr:from>
        <xdr:to>
          <xdr:col>7</xdr:col>
          <xdr:colOff>304800</xdr:colOff>
          <xdr:row>9</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35DEBB9D-6C68-458E-812D-43D4F40F16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10</xdr:row>
          <xdr:rowOff>123825</xdr:rowOff>
        </xdr:from>
        <xdr:to>
          <xdr:col>7</xdr:col>
          <xdr:colOff>304800</xdr:colOff>
          <xdr:row>11</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D7E1FCD5-B5EA-4C4C-933A-2D1226B92BD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iaz/Desktop/Moeez/@Archive/2018-2019/Robotics/scoutin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enwa/Dropbox/Ben/Grade%2011/2018%20scouting%20shee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ichal/Downloads/Georgian%20Scouting.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ichal/Downloads/Ryerson%20Ev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Next Match Alliances"/>
      <sheetName val="Abbreviated NMA"/>
      <sheetName val="Scouting Output"/>
      <sheetName val="pick list (2)"/>
      <sheetName val="pick list"/>
      <sheetName val="Data Spitter"/>
      <sheetName val="EVENT DATA"/>
      <sheetName val="Data Validation"/>
      <sheetName val="How to use this spreadsheet"/>
      <sheetName val="Scouting Sheets"/>
      <sheetName val="Template Formulas"/>
    </sheetNames>
    <sheetDataSet>
      <sheetData sheetId="0"/>
      <sheetData sheetId="1"/>
      <sheetData sheetId="2"/>
      <sheetData sheetId="3">
        <row r="14">
          <cell r="AQ14">
            <v>1</v>
          </cell>
          <cell r="AT14">
            <v>1</v>
          </cell>
          <cell r="AW14">
            <v>1</v>
          </cell>
        </row>
        <row r="15">
          <cell r="AQ15">
            <v>1.5</v>
          </cell>
          <cell r="AT15">
            <v>0.5</v>
          </cell>
          <cell r="AW15">
            <v>0.5</v>
          </cell>
        </row>
        <row r="16">
          <cell r="AQ16">
            <v>1</v>
          </cell>
          <cell r="AT16">
            <v>0.5</v>
          </cell>
          <cell r="AW16">
            <v>0.25</v>
          </cell>
        </row>
        <row r="17">
          <cell r="AQ17">
            <v>0.66</v>
          </cell>
          <cell r="AT17">
            <v>-0.5</v>
          </cell>
          <cell r="AW17">
            <v>-0.33</v>
          </cell>
        </row>
        <row r="18">
          <cell r="AQ18">
            <v>0.5</v>
          </cell>
          <cell r="AT18">
            <v>-4</v>
          </cell>
          <cell r="AW18">
            <v>-2</v>
          </cell>
        </row>
        <row r="19">
          <cell r="AQ19">
            <v>5</v>
          </cell>
          <cell r="AT19">
            <v>-2</v>
          </cell>
          <cell r="AW19">
            <v>-1</v>
          </cell>
        </row>
        <row r="20">
          <cell r="AQ20">
            <v>2.4500000000000002</v>
          </cell>
          <cell r="AT20">
            <v>-1.5</v>
          </cell>
          <cell r="AW20">
            <v>1</v>
          </cell>
        </row>
        <row r="21">
          <cell r="AQ21">
            <v>2</v>
          </cell>
          <cell r="AT21">
            <v>1</v>
          </cell>
        </row>
        <row r="22">
          <cell r="AQ22">
            <v>1</v>
          </cell>
          <cell r="AT22">
            <v>2</v>
          </cell>
        </row>
        <row r="23">
          <cell r="AQ23">
            <v>-0.5</v>
          </cell>
          <cell r="AT23">
            <v>0.5</v>
          </cell>
        </row>
        <row r="24">
          <cell r="AQ24">
            <v>-2</v>
          </cell>
        </row>
        <row r="25">
          <cell r="AQ25">
            <v>-2</v>
          </cell>
        </row>
        <row r="26">
          <cell r="AQ26">
            <v>-1</v>
          </cell>
        </row>
        <row r="27">
          <cell r="AQ27">
            <v>1</v>
          </cell>
        </row>
        <row r="28">
          <cell r="AQ28">
            <v>-20</v>
          </cell>
        </row>
        <row r="29">
          <cell r="AQ29">
            <v>5</v>
          </cell>
        </row>
      </sheetData>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 val="Scouting Output"/>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zoomScaleNormal="100" workbookViewId="0">
      <pane ySplit="2" topLeftCell="A3" activePane="bottomLeft" state="frozen"/>
      <selection pane="bottomLeft" activeCell="M6" sqref="M6"/>
    </sheetView>
  </sheetViews>
  <sheetFormatPr defaultColWidth="8.85546875" defaultRowHeight="15"/>
  <cols>
    <col min="6" max="6" width="12.140625" customWidth="1"/>
    <col min="8" max="8" width="8.85546875" customWidth="1"/>
    <col min="9" max="9" width="8.140625" hidden="1" customWidth="1"/>
    <col min="13" max="13" width="8.85546875" customWidth="1"/>
    <col min="14" max="14" width="7.140625" hidden="1" customWidth="1"/>
    <col min="15" max="15" width="8.85546875" hidden="1" customWidth="1"/>
    <col min="16" max="16" width="9.7109375" style="77" customWidth="1"/>
    <col min="17" max="17" width="9.85546875" customWidth="1"/>
    <col min="19" max="19" width="8.85546875" customWidth="1"/>
    <col min="20" max="20" width="7.140625" hidden="1" customWidth="1"/>
    <col min="24" max="24" width="8.5703125" customWidth="1"/>
    <col min="25" max="25" width="4.5703125" hidden="1" customWidth="1"/>
    <col min="26" max="26" width="8.140625" hidden="1" customWidth="1"/>
  </cols>
  <sheetData>
    <row r="1" spans="1:36">
      <c r="A1" s="176" t="s">
        <v>0</v>
      </c>
      <c r="B1" s="176"/>
      <c r="C1" s="176"/>
      <c r="D1" s="176" t="s">
        <v>9</v>
      </c>
      <c r="E1" s="176"/>
      <c r="F1" s="176"/>
      <c r="G1" s="176"/>
      <c r="H1" s="176"/>
      <c r="I1" s="176"/>
      <c r="J1" s="176"/>
      <c r="K1" s="176"/>
      <c r="L1" s="176"/>
      <c r="M1" s="176"/>
      <c r="N1" s="59"/>
      <c r="O1" s="59"/>
      <c r="P1" s="176" t="s">
        <v>1</v>
      </c>
      <c r="Q1" s="176"/>
      <c r="R1" s="176"/>
      <c r="S1" s="176"/>
      <c r="T1" s="176"/>
      <c r="U1" s="176"/>
      <c r="V1" s="176"/>
      <c r="W1" s="176"/>
      <c r="X1" s="176"/>
      <c r="Y1" s="176"/>
      <c r="Z1" s="176"/>
      <c r="AA1" s="176"/>
      <c r="AB1" s="176"/>
      <c r="AC1" s="176"/>
      <c r="AD1" s="176" t="s">
        <v>2</v>
      </c>
      <c r="AE1" s="176"/>
      <c r="AF1" s="176"/>
      <c r="AG1" s="176"/>
    </row>
    <row r="2" spans="1:36">
      <c r="A2" t="s">
        <v>3</v>
      </c>
      <c r="B2" t="s">
        <v>18</v>
      </c>
      <c r="C2" s="6" t="s">
        <v>22</v>
      </c>
      <c r="D2" t="s">
        <v>114</v>
      </c>
      <c r="E2" t="s">
        <v>131</v>
      </c>
      <c r="F2" t="s">
        <v>130</v>
      </c>
      <c r="G2" t="s">
        <v>11</v>
      </c>
      <c r="H2" t="s">
        <v>12</v>
      </c>
      <c r="I2" t="str">
        <f>IFERROR(SUM(_xlfn.CONCAT("$D",ROW()),_xlfn.CONCAT("$E",ROW()),_xlfn.CONCAT("$F",ROW()),_xlfn.CONCAT("$G",ROW())),"SUM")</f>
        <v>SUM</v>
      </c>
      <c r="J2" t="s">
        <v>13</v>
      </c>
      <c r="K2" t="s">
        <v>14</v>
      </c>
      <c r="L2" t="s">
        <v>15</v>
      </c>
      <c r="M2" t="s">
        <v>16</v>
      </c>
      <c r="N2" s="59" t="s">
        <v>291</v>
      </c>
      <c r="O2" s="59" t="s">
        <v>291</v>
      </c>
      <c r="P2" s="77" t="s">
        <v>131</v>
      </c>
      <c r="Q2" t="s">
        <v>130</v>
      </c>
      <c r="R2" t="s">
        <v>11</v>
      </c>
      <c r="S2" t="s">
        <v>12</v>
      </c>
      <c r="T2">
        <v>0</v>
      </c>
      <c r="U2" t="s">
        <v>13</v>
      </c>
      <c r="V2" t="s">
        <v>14</v>
      </c>
      <c r="W2" t="s">
        <v>15</v>
      </c>
      <c r="X2" t="s">
        <v>16</v>
      </c>
      <c r="AA2" t="s">
        <v>17</v>
      </c>
      <c r="AB2" t="s">
        <v>129</v>
      </c>
      <c r="AC2" t="s">
        <v>23</v>
      </c>
      <c r="AD2" t="s">
        <v>5</v>
      </c>
      <c r="AE2" t="s">
        <v>6</v>
      </c>
      <c r="AF2" t="s">
        <v>119</v>
      </c>
      <c r="AG2" t="s">
        <v>7</v>
      </c>
      <c r="AH2" t="s">
        <v>142</v>
      </c>
      <c r="AI2" t="s">
        <v>144</v>
      </c>
      <c r="AJ2" t="s">
        <v>378</v>
      </c>
    </row>
    <row r="3" spans="1:36">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124">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c r="AJ3" t="s">
        <v>379</v>
      </c>
    </row>
    <row r="4" spans="1:36">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124">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c r="AJ4" t="s">
        <v>379</v>
      </c>
    </row>
    <row r="5" spans="1:36">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124">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c r="AJ5" t="s">
        <v>379</v>
      </c>
    </row>
    <row r="6" spans="1:36">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124">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c r="AJ6" t="s">
        <v>379</v>
      </c>
    </row>
    <row r="7" spans="1:36">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124">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c r="AJ7" t="s">
        <v>379</v>
      </c>
    </row>
    <row r="8" spans="1:36">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124">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c r="AJ8" t="s">
        <v>379</v>
      </c>
    </row>
    <row r="9" spans="1:36">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124">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c r="AJ9" t="s">
        <v>379</v>
      </c>
    </row>
    <row r="10" spans="1:36">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124">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c r="AJ10" t="s">
        <v>379</v>
      </c>
    </row>
    <row r="11" spans="1:36">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124">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c r="AJ11" t="s">
        <v>379</v>
      </c>
    </row>
    <row r="12" spans="1:36">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124">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c r="AJ12" t="s">
        <v>379</v>
      </c>
    </row>
    <row r="13" spans="1:36">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124">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c r="AJ13" t="s">
        <v>379</v>
      </c>
    </row>
    <row r="14" spans="1:36">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124">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c r="AJ14" t="s">
        <v>379</v>
      </c>
    </row>
    <row r="15" spans="1:36">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124">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c r="AJ15" t="s">
        <v>379</v>
      </c>
    </row>
    <row r="16" spans="1:36">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124">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c r="AJ16" t="s">
        <v>379</v>
      </c>
    </row>
    <row r="17" spans="1:36">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124">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c r="AJ17" t="s">
        <v>379</v>
      </c>
    </row>
    <row r="18" spans="1:36">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124">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c r="AJ18" t="s">
        <v>379</v>
      </c>
    </row>
    <row r="19" spans="1:36">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124">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c r="AJ19" t="s">
        <v>379</v>
      </c>
    </row>
    <row r="20" spans="1:36">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124">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c r="AJ20" t="s">
        <v>379</v>
      </c>
    </row>
    <row r="21" spans="1:36">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124">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c r="AJ21" t="s">
        <v>379</v>
      </c>
    </row>
    <row r="22" spans="1:36">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124">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c r="AJ22" t="s">
        <v>379</v>
      </c>
    </row>
    <row r="23" spans="1:36">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124">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c r="AJ23" t="s">
        <v>379</v>
      </c>
    </row>
    <row r="24" spans="1:36">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124">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c r="AJ24" t="s">
        <v>379</v>
      </c>
    </row>
    <row r="25" spans="1:36">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124">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c r="AJ25" t="s">
        <v>379</v>
      </c>
    </row>
    <row r="26" spans="1:36">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124">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c r="AJ26" t="s">
        <v>379</v>
      </c>
    </row>
    <row r="27" spans="1:36">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124">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c r="AJ27" t="s">
        <v>379</v>
      </c>
    </row>
    <row r="28" spans="1:36">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124">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c r="AJ28" t="s">
        <v>379</v>
      </c>
    </row>
    <row r="29" spans="1:36">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124">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c r="AJ29" t="s">
        <v>379</v>
      </c>
    </row>
    <row r="30" spans="1:36">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124">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c r="AJ30" t="s">
        <v>379</v>
      </c>
    </row>
    <row r="31" spans="1:36">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124">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c r="AJ31" t="s">
        <v>379</v>
      </c>
    </row>
    <row r="32" spans="1:36">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124">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c r="AJ32" t="s">
        <v>379</v>
      </c>
    </row>
    <row r="33" spans="1:36">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124">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c r="AJ33" t="s">
        <v>379</v>
      </c>
    </row>
    <row r="34" spans="1:36">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124">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c r="AJ34" t="s">
        <v>379</v>
      </c>
    </row>
    <row r="35" spans="1:36">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124">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c r="AJ35" t="s">
        <v>379</v>
      </c>
    </row>
    <row r="36" spans="1:36">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124">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c r="AJ36" t="s">
        <v>379</v>
      </c>
    </row>
    <row r="37" spans="1:36">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124">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c r="AJ37" t="s">
        <v>379</v>
      </c>
    </row>
    <row r="38" spans="1:36">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124">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c r="AJ38" t="s">
        <v>379</v>
      </c>
    </row>
    <row r="39" spans="1:36">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124">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c r="AJ39" t="s">
        <v>379</v>
      </c>
    </row>
    <row r="40" spans="1:36">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124">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c r="AJ40" t="s">
        <v>379</v>
      </c>
    </row>
    <row r="41" spans="1:36">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124">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c r="AJ41" t="s">
        <v>379</v>
      </c>
    </row>
    <row r="42" spans="1:36">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124">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c r="AJ42" t="s">
        <v>379</v>
      </c>
    </row>
    <row r="43" spans="1:36">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124">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c r="AJ43" t="s">
        <v>379</v>
      </c>
    </row>
    <row r="44" spans="1:36">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124">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c r="AJ44" t="s">
        <v>379</v>
      </c>
    </row>
    <row r="45" spans="1:36">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124">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c r="AJ45" t="s">
        <v>379</v>
      </c>
    </row>
    <row r="46" spans="1:36">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124">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c r="AJ46" t="s">
        <v>379</v>
      </c>
    </row>
    <row r="47" spans="1:36">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124">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c r="AJ47" t="s">
        <v>379</v>
      </c>
    </row>
    <row r="48" spans="1:36">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124">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c r="AJ48" t="s">
        <v>379</v>
      </c>
    </row>
    <row r="49" spans="1:36">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124">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c r="AJ49" t="s">
        <v>379</v>
      </c>
    </row>
    <row r="50" spans="1:36">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124">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c r="AJ50" t="s">
        <v>379</v>
      </c>
    </row>
    <row r="51" spans="1:36">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124">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c r="AJ51" t="s">
        <v>379</v>
      </c>
    </row>
    <row r="52" spans="1:36">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124">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c r="AJ52" t="s">
        <v>379</v>
      </c>
    </row>
    <row r="53" spans="1:36">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124">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c r="AJ53" t="s">
        <v>379</v>
      </c>
    </row>
    <row r="54" spans="1:36">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124">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c r="AJ54" t="s">
        <v>379</v>
      </c>
    </row>
    <row r="55" spans="1:36">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124">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c r="AJ55" t="s">
        <v>379</v>
      </c>
    </row>
    <row r="56" spans="1:36">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124">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c r="AJ56" t="s">
        <v>379</v>
      </c>
    </row>
    <row r="57" spans="1:36">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124">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c r="AJ57" t="s">
        <v>379</v>
      </c>
    </row>
    <row r="58" spans="1:36">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124">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c r="AJ58" t="s">
        <v>379</v>
      </c>
    </row>
    <row r="59" spans="1:36">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124">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c r="AJ59" t="s">
        <v>379</v>
      </c>
    </row>
    <row r="60" spans="1:36">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124">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c r="AJ60" t="s">
        <v>379</v>
      </c>
    </row>
    <row r="61" spans="1:36">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124">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c r="AJ61" t="s">
        <v>379</v>
      </c>
    </row>
    <row r="62" spans="1:36">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124">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c r="AJ62" t="s">
        <v>379</v>
      </c>
    </row>
    <row r="63" spans="1:36">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124">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c r="AJ63" t="s">
        <v>379</v>
      </c>
    </row>
    <row r="64" spans="1:36">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124">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c r="AJ64" t="s">
        <v>379</v>
      </c>
    </row>
    <row r="65" spans="1:36">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124">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c r="AJ65" t="s">
        <v>379</v>
      </c>
    </row>
    <row r="66" spans="1:36">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124">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c r="AJ66" t="s">
        <v>379</v>
      </c>
    </row>
    <row r="67" spans="1:36">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124">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c r="AJ67" t="s">
        <v>379</v>
      </c>
    </row>
    <row r="68" spans="1:36">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124">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c r="AJ68" t="s">
        <v>379</v>
      </c>
    </row>
    <row r="69" spans="1:36">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124">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c r="AJ69" t="s">
        <v>379</v>
      </c>
    </row>
    <row r="70" spans="1:36">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124">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c r="AJ70" t="s">
        <v>379</v>
      </c>
    </row>
    <row r="71" spans="1:36">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124">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c r="AJ71" t="s">
        <v>379</v>
      </c>
    </row>
    <row r="72" spans="1:36">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124">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c r="AJ72" t="s">
        <v>379</v>
      </c>
    </row>
    <row r="73" spans="1:36">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124">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c r="AJ73" t="s">
        <v>379</v>
      </c>
    </row>
    <row r="74" spans="1:36">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124">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c r="AJ74" t="s">
        <v>379</v>
      </c>
    </row>
    <row r="75" spans="1:36">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124">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c r="AJ75" t="s">
        <v>379</v>
      </c>
    </row>
    <row r="76" spans="1:36">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124">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c r="AJ76" t="s">
        <v>379</v>
      </c>
    </row>
    <row r="77" spans="1:36">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124">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c r="AJ77" t="s">
        <v>379</v>
      </c>
    </row>
    <row r="78" spans="1:36">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124">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c r="AJ78" t="s">
        <v>379</v>
      </c>
    </row>
    <row r="79" spans="1:36">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124">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c r="AJ79" t="s">
        <v>379</v>
      </c>
    </row>
    <row r="80" spans="1:36">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124">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c r="AJ80" t="s">
        <v>379</v>
      </c>
    </row>
    <row r="81" spans="1:36">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124">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c r="AJ81" t="s">
        <v>379</v>
      </c>
    </row>
    <row r="82" spans="1:36">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124">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c r="AJ82" t="s">
        <v>379</v>
      </c>
    </row>
    <row r="83" spans="1:36">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124">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c r="AJ83" t="s">
        <v>379</v>
      </c>
    </row>
    <row r="84" spans="1:36">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124">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c r="AJ84" t="s">
        <v>379</v>
      </c>
    </row>
    <row r="85" spans="1:36">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124">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c r="AJ85" t="s">
        <v>379</v>
      </c>
    </row>
    <row r="86" spans="1:36">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124">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c r="AJ86" t="s">
        <v>379</v>
      </c>
    </row>
    <row r="87" spans="1:36">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124">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c r="AJ87" t="s">
        <v>379</v>
      </c>
    </row>
    <row r="88" spans="1:36">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124">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c r="AJ88" t="s">
        <v>379</v>
      </c>
    </row>
    <row r="89" spans="1:36">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124">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c r="AJ89" t="s">
        <v>379</v>
      </c>
    </row>
    <row r="90" spans="1:36">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124">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c r="AJ90" t="s">
        <v>379</v>
      </c>
    </row>
    <row r="91" spans="1:36">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124">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c r="AJ91" t="s">
        <v>379</v>
      </c>
    </row>
    <row r="92" spans="1:36">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124">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c r="AJ92" t="s">
        <v>379</v>
      </c>
    </row>
    <row r="93" spans="1:36">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124">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c r="AJ93" t="s">
        <v>379</v>
      </c>
    </row>
    <row r="94" spans="1:36">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124">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c r="AJ94" t="s">
        <v>379</v>
      </c>
    </row>
    <row r="95" spans="1:36">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124">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c r="AJ95" t="s">
        <v>379</v>
      </c>
    </row>
    <row r="96" spans="1:36">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124">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c r="AJ96" t="s">
        <v>379</v>
      </c>
    </row>
    <row r="97" spans="1:36">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124">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c r="AJ97" t="s">
        <v>379</v>
      </c>
    </row>
    <row r="98" spans="1:36">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124">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c r="AJ98" t="s">
        <v>379</v>
      </c>
    </row>
    <row r="99" spans="1:36">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124">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307</v>
      </c>
      <c r="AJ99" t="s">
        <v>379</v>
      </c>
    </row>
    <row r="100" spans="1:36">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124">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c r="AJ100" t="s">
        <v>379</v>
      </c>
    </row>
    <row r="101" spans="1:36">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124">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c r="AJ101" t="s">
        <v>379</v>
      </c>
    </row>
    <row r="102" spans="1:36">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124">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c r="AJ102" t="s">
        <v>379</v>
      </c>
    </row>
    <row r="103" spans="1:36">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124">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c r="AJ103" t="s">
        <v>379</v>
      </c>
    </row>
    <row r="104" spans="1:36">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124">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c r="AJ104" t="s">
        <v>379</v>
      </c>
    </row>
    <row r="105" spans="1:36">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124">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308</v>
      </c>
      <c r="AJ105" t="s">
        <v>379</v>
      </c>
    </row>
    <row r="106" spans="1:36">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124">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c r="AJ106" t="s">
        <v>379</v>
      </c>
    </row>
    <row r="107" spans="1:36">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124">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c r="AJ107" t="s">
        <v>379</v>
      </c>
    </row>
    <row r="108" spans="1:36">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124">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c r="AJ108" t="s">
        <v>379</v>
      </c>
    </row>
    <row r="109" spans="1:36">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124">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c r="AJ109" t="s">
        <v>379</v>
      </c>
    </row>
    <row r="110" spans="1:36">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124">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c r="AJ110" t="s">
        <v>379</v>
      </c>
    </row>
    <row r="111" spans="1:36">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124">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c r="AJ111" t="s">
        <v>379</v>
      </c>
    </row>
    <row r="112" spans="1:36">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124">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c r="AJ112" t="s">
        <v>379</v>
      </c>
    </row>
    <row r="113" spans="1:36">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124">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c r="AJ113" t="s">
        <v>379</v>
      </c>
    </row>
    <row r="114" spans="1:36">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124">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c r="AJ114" t="s">
        <v>379</v>
      </c>
    </row>
    <row r="115" spans="1:36">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124">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c r="AJ115" t="s">
        <v>379</v>
      </c>
    </row>
    <row r="116" spans="1:36">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124">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c r="AJ116" t="s">
        <v>379</v>
      </c>
    </row>
    <row r="117" spans="1:36">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124">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c r="AJ117" t="s">
        <v>379</v>
      </c>
    </row>
    <row r="118" spans="1:36">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124">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c r="AJ118" t="s">
        <v>379</v>
      </c>
    </row>
    <row r="119" spans="1:36">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124">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c r="AJ119" t="s">
        <v>379</v>
      </c>
    </row>
    <row r="120" spans="1:36">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124">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c r="AJ120" t="s">
        <v>379</v>
      </c>
    </row>
    <row r="121" spans="1:36">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124">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c r="AJ121" t="s">
        <v>379</v>
      </c>
    </row>
    <row r="122" spans="1:36">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124">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c r="AJ122" t="s">
        <v>379</v>
      </c>
    </row>
    <row r="123" spans="1:36">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124">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c r="AJ123" t="s">
        <v>379</v>
      </c>
    </row>
    <row r="124" spans="1:36">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124">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c r="AJ124" t="s">
        <v>379</v>
      </c>
    </row>
    <row r="125" spans="1:36">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124">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c r="AJ125" t="s">
        <v>379</v>
      </c>
    </row>
    <row r="126" spans="1:36">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124">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c r="AJ126" t="s">
        <v>379</v>
      </c>
    </row>
    <row r="127" spans="1:36">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124">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c r="AJ127" t="s">
        <v>379</v>
      </c>
    </row>
    <row r="128" spans="1:36">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124">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c r="AJ128" t="s">
        <v>379</v>
      </c>
    </row>
    <row r="129" spans="1:36">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124">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c r="AJ129" t="s">
        <v>379</v>
      </c>
    </row>
    <row r="130" spans="1:36">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124">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c r="AJ130" t="s">
        <v>379</v>
      </c>
    </row>
    <row r="131" spans="1:36">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124">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c r="AJ131" t="s">
        <v>379</v>
      </c>
    </row>
    <row r="132" spans="1:36">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124">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c r="AJ132" t="s">
        <v>379</v>
      </c>
    </row>
    <row r="133" spans="1:36">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124">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c r="AJ133" t="s">
        <v>379</v>
      </c>
    </row>
    <row r="134" spans="1:36">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124">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c r="AJ134" t="s">
        <v>379</v>
      </c>
    </row>
    <row r="135" spans="1:36">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124">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c r="AJ135" t="s">
        <v>379</v>
      </c>
    </row>
    <row r="136" spans="1:36">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124">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c r="AJ136" t="s">
        <v>379</v>
      </c>
    </row>
    <row r="137" spans="1:36">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124">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c r="AJ137" t="s">
        <v>379</v>
      </c>
    </row>
    <row r="138" spans="1:36">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124">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c r="AJ138" t="s">
        <v>379</v>
      </c>
    </row>
    <row r="139" spans="1:36">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124">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c r="AJ139" t="s">
        <v>379</v>
      </c>
    </row>
    <row r="140" spans="1:36">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124">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c r="AJ140" t="s">
        <v>379</v>
      </c>
    </row>
    <row r="141" spans="1:36">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124">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c r="AJ141" t="s">
        <v>379</v>
      </c>
    </row>
    <row r="142" spans="1:36">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124">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309</v>
      </c>
      <c r="AJ142" t="s">
        <v>379</v>
      </c>
    </row>
    <row r="143" spans="1:36">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124">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310</v>
      </c>
      <c r="AJ143" t="s">
        <v>379</v>
      </c>
    </row>
    <row r="144" spans="1:36">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124">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c r="AJ144" t="s">
        <v>379</v>
      </c>
    </row>
    <row r="145" spans="1:36">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124">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c r="AJ145" t="s">
        <v>379</v>
      </c>
    </row>
    <row r="146" spans="1:36">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124">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c r="AJ146" t="s">
        <v>379</v>
      </c>
    </row>
    <row r="147" spans="1:36">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124">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c r="AJ147" t="s">
        <v>379</v>
      </c>
    </row>
    <row r="148" spans="1:36">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124">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c r="AJ148" t="s">
        <v>379</v>
      </c>
    </row>
    <row r="149" spans="1:36">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124">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c r="AJ149" t="s">
        <v>379</v>
      </c>
    </row>
    <row r="150" spans="1:36">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124">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c r="AJ150" t="s">
        <v>379</v>
      </c>
    </row>
    <row r="151" spans="1:36">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124">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c r="AJ151" t="s">
        <v>379</v>
      </c>
    </row>
    <row r="152" spans="1:36">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124">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c r="AJ152" t="s">
        <v>379</v>
      </c>
    </row>
    <row r="153" spans="1:36">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124">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c r="AJ153" t="s">
        <v>379</v>
      </c>
    </row>
    <row r="154" spans="1:36">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124">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c r="AJ154" t="s">
        <v>379</v>
      </c>
    </row>
    <row r="155" spans="1:36">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124">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c r="AJ155" t="s">
        <v>379</v>
      </c>
    </row>
    <row r="156" spans="1:36">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124">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c r="AJ156" t="s">
        <v>379</v>
      </c>
    </row>
    <row r="157" spans="1:36">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124">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312</v>
      </c>
      <c r="AJ157" t="s">
        <v>379</v>
      </c>
    </row>
    <row r="158" spans="1:36">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124">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c r="AJ158" t="s">
        <v>379</v>
      </c>
    </row>
    <row r="159" spans="1:36">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124">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c r="AJ159" t="s">
        <v>379</v>
      </c>
    </row>
    <row r="160" spans="1:36">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124">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c r="AJ160" t="s">
        <v>379</v>
      </c>
    </row>
    <row r="161" spans="1:36">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124">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c r="AJ161" t="s">
        <v>379</v>
      </c>
    </row>
    <row r="162" spans="1:36">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124">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c r="AJ162" t="s">
        <v>379</v>
      </c>
    </row>
    <row r="163" spans="1:36">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124">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c r="AJ163" t="s">
        <v>379</v>
      </c>
    </row>
    <row r="164" spans="1:36">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124">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c r="AJ164" t="s">
        <v>379</v>
      </c>
    </row>
    <row r="165" spans="1:36">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124">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313</v>
      </c>
      <c r="AJ165" t="s">
        <v>379</v>
      </c>
    </row>
    <row r="166" spans="1:36">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124">
        <v>1</v>
      </c>
      <c r="Q166" s="124">
        <v>0</v>
      </c>
      <c r="R166" s="124">
        <v>0</v>
      </c>
      <c r="S166" s="124">
        <v>0</v>
      </c>
      <c r="T166">
        <f t="shared" si="20"/>
        <v>1</v>
      </c>
      <c r="U166" s="124">
        <v>0</v>
      </c>
      <c r="V166" s="124">
        <v>0</v>
      </c>
      <c r="W166" s="124">
        <v>0</v>
      </c>
      <c r="X166" s="124">
        <v>0</v>
      </c>
      <c r="Y166">
        <f t="shared" si="21"/>
        <v>0</v>
      </c>
      <c r="Z166">
        <f t="shared" si="22"/>
        <v>1</v>
      </c>
      <c r="AJ166" t="s">
        <v>379</v>
      </c>
    </row>
    <row r="167" spans="1:36">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124">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c r="AJ167" t="s">
        <v>379</v>
      </c>
    </row>
    <row r="168" spans="1:36">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124">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c r="AJ168" t="s">
        <v>379</v>
      </c>
    </row>
    <row r="169" spans="1:36">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124">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c r="AJ169" t="s">
        <v>379</v>
      </c>
    </row>
    <row r="170" spans="1:36">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124">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c r="AJ170" t="s">
        <v>379</v>
      </c>
    </row>
    <row r="171" spans="1:36">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124">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c r="AJ171" t="s">
        <v>379</v>
      </c>
    </row>
    <row r="172" spans="1:36">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124">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c r="AJ172" t="s">
        <v>379</v>
      </c>
    </row>
    <row r="173" spans="1:36">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124">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c r="AJ173" t="s">
        <v>379</v>
      </c>
    </row>
    <row r="174" spans="1:36">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124">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c r="AJ174" t="s">
        <v>379</v>
      </c>
    </row>
    <row r="175" spans="1:36">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124">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c r="AJ175" t="s">
        <v>379</v>
      </c>
    </row>
    <row r="176" spans="1:36">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124">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c r="AJ176" t="s">
        <v>379</v>
      </c>
    </row>
    <row r="177" spans="1:36">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124">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c r="AJ177" t="s">
        <v>379</v>
      </c>
    </row>
    <row r="178" spans="1:36">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124">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c r="AJ178" t="s">
        <v>379</v>
      </c>
    </row>
    <row r="179" spans="1:36">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124">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c r="AJ179" t="s">
        <v>379</v>
      </c>
    </row>
    <row r="180" spans="1:36">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124">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c r="AJ180" t="s">
        <v>379</v>
      </c>
    </row>
    <row r="181" spans="1:36">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124">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314</v>
      </c>
      <c r="AJ181" t="s">
        <v>379</v>
      </c>
    </row>
    <row r="182" spans="1:36">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124">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c r="AJ182" t="s">
        <v>379</v>
      </c>
    </row>
    <row r="183" spans="1:36">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124">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c r="AJ183" t="s">
        <v>379</v>
      </c>
    </row>
    <row r="184" spans="1:36">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124">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c r="AJ184" t="s">
        <v>379</v>
      </c>
    </row>
    <row r="185" spans="1:36">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124">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c r="AJ185" t="s">
        <v>379</v>
      </c>
    </row>
    <row r="186" spans="1:36">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124">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c r="AJ186" t="s">
        <v>379</v>
      </c>
    </row>
    <row r="187" spans="1:36">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124">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c r="AJ187" t="s">
        <v>379</v>
      </c>
    </row>
    <row r="188" spans="1:36">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124">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c r="AJ188" t="s">
        <v>379</v>
      </c>
    </row>
    <row r="189" spans="1:36">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124">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c r="AJ189" t="s">
        <v>379</v>
      </c>
    </row>
    <row r="190" spans="1:36">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124">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315</v>
      </c>
      <c r="AJ190" t="s">
        <v>379</v>
      </c>
    </row>
    <row r="191" spans="1:36">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124">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c r="AJ191" t="s">
        <v>379</v>
      </c>
    </row>
    <row r="192" spans="1:36">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124">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c r="AJ192" t="s">
        <v>379</v>
      </c>
    </row>
    <row r="193" spans="1:36">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124">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c r="AJ193" t="s">
        <v>379</v>
      </c>
    </row>
    <row r="194" spans="1:36">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124">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c r="AJ194" t="s">
        <v>379</v>
      </c>
    </row>
    <row r="195" spans="1:36">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124">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c r="AJ195" t="s">
        <v>379</v>
      </c>
    </row>
    <row r="196" spans="1:36">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124">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c r="AJ196" t="s">
        <v>379</v>
      </c>
    </row>
    <row r="197" spans="1:36">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124">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316</v>
      </c>
      <c r="AJ197" t="s">
        <v>379</v>
      </c>
    </row>
    <row r="198" spans="1:36">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124">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c r="AJ198" t="s">
        <v>379</v>
      </c>
    </row>
    <row r="199" spans="1:36">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124">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c r="AJ199" t="s">
        <v>379</v>
      </c>
    </row>
    <row r="200" spans="1:36">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124">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c r="AJ200" t="s">
        <v>379</v>
      </c>
    </row>
    <row r="201" spans="1:36">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124">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c r="AJ201" t="s">
        <v>379</v>
      </c>
    </row>
    <row r="202" spans="1:36">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124">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c r="AJ202" t="s">
        <v>379</v>
      </c>
    </row>
    <row r="203" spans="1:36">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124">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c r="AJ203" t="s">
        <v>379</v>
      </c>
    </row>
    <row r="204" spans="1:36">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124">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c r="AJ204" t="s">
        <v>379</v>
      </c>
    </row>
    <row r="205" spans="1:36">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124">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c r="AJ205" t="s">
        <v>379</v>
      </c>
    </row>
    <row r="206" spans="1:36">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124">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317</v>
      </c>
      <c r="AJ206" t="s">
        <v>379</v>
      </c>
    </row>
    <row r="207" spans="1:36">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124">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c r="AJ207" t="s">
        <v>379</v>
      </c>
    </row>
    <row r="208" spans="1:36">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124">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c r="AJ208" t="s">
        <v>379</v>
      </c>
    </row>
    <row r="209" spans="1:36">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124">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c r="AJ209" t="s">
        <v>379</v>
      </c>
    </row>
    <row r="210" spans="1:36">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124">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c r="AJ210" t="s">
        <v>379</v>
      </c>
    </row>
    <row r="211" spans="1:36">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124">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c r="AJ211" t="s">
        <v>379</v>
      </c>
    </row>
    <row r="212" spans="1:36">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124">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c r="AJ212" t="s">
        <v>379</v>
      </c>
    </row>
    <row r="213" spans="1:36">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124">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c r="AJ213" t="s">
        <v>379</v>
      </c>
    </row>
    <row r="214" spans="1:36">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124">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c r="AJ214" t="s">
        <v>379</v>
      </c>
    </row>
    <row r="215" spans="1:36">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124">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c r="AJ215" t="s">
        <v>379</v>
      </c>
    </row>
    <row r="216" spans="1:36">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124">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c r="AJ216" t="s">
        <v>379</v>
      </c>
    </row>
    <row r="217" spans="1:36">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124">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c r="AJ217" t="s">
        <v>379</v>
      </c>
    </row>
    <row r="218" spans="1:36">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124">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c r="AJ218" t="s">
        <v>379</v>
      </c>
    </row>
    <row r="219" spans="1:36">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124">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c r="AJ219" t="s">
        <v>379</v>
      </c>
    </row>
    <row r="220" spans="1:36">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124">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c r="AJ220" t="s">
        <v>379</v>
      </c>
    </row>
    <row r="221" spans="1:36">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124">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c r="AJ221" t="s">
        <v>379</v>
      </c>
    </row>
    <row r="222" spans="1:36">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124">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c r="AJ222" t="s">
        <v>379</v>
      </c>
    </row>
    <row r="223" spans="1:36">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124">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c r="AJ223" t="s">
        <v>379</v>
      </c>
    </row>
    <row r="224" spans="1:36">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124">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c r="AJ224" t="s">
        <v>379</v>
      </c>
    </row>
    <row r="225" spans="1:36">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124">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318</v>
      </c>
      <c r="AJ225" t="s">
        <v>379</v>
      </c>
    </row>
    <row r="226" spans="1:36">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124">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c r="AJ226" t="s">
        <v>379</v>
      </c>
    </row>
    <row r="227" spans="1:36">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124">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c r="AJ227" t="s">
        <v>379</v>
      </c>
    </row>
    <row r="228" spans="1:36">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124">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c r="AJ228" t="s">
        <v>379</v>
      </c>
    </row>
    <row r="229" spans="1:36">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124">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c r="AJ229" t="s">
        <v>379</v>
      </c>
    </row>
    <row r="230" spans="1:36">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124">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c r="AJ230" t="s">
        <v>379</v>
      </c>
    </row>
    <row r="231" spans="1:36">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124">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c r="AJ231" t="s">
        <v>379</v>
      </c>
    </row>
    <row r="232" spans="1:36">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124">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c r="AJ232" t="s">
        <v>379</v>
      </c>
    </row>
    <row r="233" spans="1:36">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124">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c r="AJ233" t="s">
        <v>379</v>
      </c>
    </row>
    <row r="234" spans="1:36">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124">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c r="AJ234" t="s">
        <v>379</v>
      </c>
    </row>
    <row r="235" spans="1:36">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124">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c r="AJ235" t="s">
        <v>379</v>
      </c>
    </row>
    <row r="236" spans="1:36">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124">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c r="AJ236" t="s">
        <v>379</v>
      </c>
    </row>
    <row r="237" spans="1:36">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124">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c r="AJ237" t="s">
        <v>379</v>
      </c>
    </row>
    <row r="238" spans="1:36">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124">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c r="AJ238" t="s">
        <v>379</v>
      </c>
    </row>
    <row r="239" spans="1:36">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124">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c r="AJ239" t="s">
        <v>379</v>
      </c>
    </row>
    <row r="240" spans="1:36">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124">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c r="AJ240" t="s">
        <v>379</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124">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c r="AJ241" t="s">
        <v>379</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124">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319</v>
      </c>
      <c r="AJ242" t="s">
        <v>379</v>
      </c>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124">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c r="AJ243" t="s">
        <v>379</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124">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320</v>
      </c>
      <c r="AJ244" t="s">
        <v>379</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124">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c r="AJ245" t="s">
        <v>379</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124">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c r="AJ246" t="s">
        <v>379</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124">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c r="AJ247" t="s">
        <v>379</v>
      </c>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124">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c r="AJ248" t="s">
        <v>379</v>
      </c>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124">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c r="AJ249" t="s">
        <v>379</v>
      </c>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124">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c r="AJ250" t="s">
        <v>379</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124">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c r="AJ251" t="s">
        <v>379</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124">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c r="AJ252" t="s">
        <v>379</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124">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c r="AJ253" t="s">
        <v>379</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124">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c r="AJ254" t="s">
        <v>379</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124">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c r="AJ255" t="s">
        <v>379</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124">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337</v>
      </c>
      <c r="AJ256" t="s">
        <v>379</v>
      </c>
    </row>
    <row r="257" spans="1:36">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124">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c r="AJ257" t="s">
        <v>379</v>
      </c>
    </row>
    <row r="258" spans="1:36">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124">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c r="AJ258" t="s">
        <v>379</v>
      </c>
    </row>
    <row r="259" spans="1:36">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124">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c r="AJ259" t="s">
        <v>379</v>
      </c>
    </row>
    <row r="260" spans="1:36">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124">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c r="AJ260" t="s">
        <v>379</v>
      </c>
    </row>
    <row r="261" spans="1:36">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124">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c r="AJ261" t="s">
        <v>379</v>
      </c>
    </row>
    <row r="262" spans="1:36">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124">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c r="AJ262" t="s">
        <v>379</v>
      </c>
    </row>
    <row r="263" spans="1:36">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124">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c r="AJ263" t="s">
        <v>379</v>
      </c>
    </row>
    <row r="264" spans="1:36">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124">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c r="AJ264" t="s">
        <v>379</v>
      </c>
    </row>
    <row r="265" spans="1:36">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124">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c r="AJ265" t="s">
        <v>379</v>
      </c>
    </row>
    <row r="266" spans="1:36">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124">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338</v>
      </c>
      <c r="AJ266" t="s">
        <v>379</v>
      </c>
    </row>
    <row r="267" spans="1:36">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124">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339</v>
      </c>
      <c r="AJ267" t="s">
        <v>379</v>
      </c>
    </row>
    <row r="268" spans="1:36">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124">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c r="AJ268" t="s">
        <v>379</v>
      </c>
    </row>
    <row r="269" spans="1:36">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124">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c r="AJ269" t="s">
        <v>379</v>
      </c>
    </row>
    <row r="270" spans="1:36">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124">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c r="AJ270" t="s">
        <v>379</v>
      </c>
    </row>
    <row r="271" spans="1:36">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124">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c r="AJ271" t="s">
        <v>379</v>
      </c>
    </row>
    <row r="272" spans="1:36">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124">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c r="AJ272" t="s">
        <v>379</v>
      </c>
    </row>
    <row r="273" spans="1:36">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124">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c r="AJ273" t="s">
        <v>379</v>
      </c>
    </row>
    <row r="274" spans="1:36">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124">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c r="AJ274" t="s">
        <v>379</v>
      </c>
    </row>
    <row r="275" spans="1:36">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124">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c r="AJ275" t="s">
        <v>379</v>
      </c>
    </row>
    <row r="276" spans="1:36">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124">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c r="AJ276" t="s">
        <v>379</v>
      </c>
    </row>
    <row r="277" spans="1:36">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124">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c r="AJ277" t="s">
        <v>379</v>
      </c>
    </row>
    <row r="278" spans="1:36">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124">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c r="AJ278" t="s">
        <v>379</v>
      </c>
    </row>
    <row r="279" spans="1:36">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124">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340</v>
      </c>
      <c r="AJ279" t="s">
        <v>379</v>
      </c>
    </row>
    <row r="280" spans="1:36">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124">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341</v>
      </c>
      <c r="AJ280" t="s">
        <v>379</v>
      </c>
    </row>
    <row r="281" spans="1:36">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124">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c r="AJ281" t="s">
        <v>379</v>
      </c>
    </row>
    <row r="282" spans="1:36">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124">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c r="AJ282" t="s">
        <v>379</v>
      </c>
    </row>
    <row r="283" spans="1:36">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124">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c r="AJ283" t="s">
        <v>379</v>
      </c>
    </row>
    <row r="284" spans="1:36">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124">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342</v>
      </c>
      <c r="AJ284" t="s">
        <v>379</v>
      </c>
    </row>
    <row r="285" spans="1:36">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124">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343</v>
      </c>
      <c r="AJ285" t="s">
        <v>379</v>
      </c>
    </row>
    <row r="286" spans="1:36">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124">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c r="AJ286" t="s">
        <v>379</v>
      </c>
    </row>
    <row r="287" spans="1:36">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124">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c r="AJ287" t="s">
        <v>379</v>
      </c>
    </row>
    <row r="288" spans="1:36">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124">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c r="AJ288" t="s">
        <v>379</v>
      </c>
    </row>
    <row r="289" spans="1:36">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124">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344</v>
      </c>
      <c r="AJ289" t="s">
        <v>379</v>
      </c>
    </row>
    <row r="290" spans="1:36">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124">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c r="AJ290" t="s">
        <v>379</v>
      </c>
    </row>
    <row r="291" spans="1:36">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124">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c r="AJ291" t="s">
        <v>379</v>
      </c>
    </row>
    <row r="292" spans="1:36">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124">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c r="AJ292" t="s">
        <v>379</v>
      </c>
    </row>
    <row r="293" spans="1:36">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124">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c r="AJ293" t="s">
        <v>379</v>
      </c>
    </row>
    <row r="294" spans="1:36">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124">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c r="AJ294" t="s">
        <v>379</v>
      </c>
    </row>
    <row r="295" spans="1:36">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124">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c r="AJ295" t="s">
        <v>379</v>
      </c>
    </row>
    <row r="296" spans="1:36">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124">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c r="AJ296" t="s">
        <v>379</v>
      </c>
    </row>
    <row r="297" spans="1:36">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124">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c r="AJ297" t="s">
        <v>379</v>
      </c>
    </row>
    <row r="298" spans="1:36">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124">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345</v>
      </c>
      <c r="AJ298" t="s">
        <v>379</v>
      </c>
    </row>
    <row r="299" spans="1:36">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124">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c r="AJ299" t="s">
        <v>379</v>
      </c>
    </row>
    <row r="300" spans="1:36">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124">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c r="AJ300" t="s">
        <v>379</v>
      </c>
    </row>
    <row r="301" spans="1:36">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124">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c r="AJ301" t="s">
        <v>379</v>
      </c>
    </row>
    <row r="302" spans="1:36">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124">
        <v>1</v>
      </c>
      <c r="Q302" s="124">
        <v>1</v>
      </c>
      <c r="R302" s="124">
        <v>0</v>
      </c>
      <c r="S302" s="124">
        <v>0</v>
      </c>
      <c r="T302">
        <f t="shared" si="38"/>
        <v>2</v>
      </c>
      <c r="U302" s="124">
        <v>4</v>
      </c>
      <c r="V302" s="124">
        <v>1</v>
      </c>
      <c r="W302" s="124">
        <v>0</v>
      </c>
      <c r="X302" s="124">
        <v>0</v>
      </c>
      <c r="Y302">
        <f t="shared" ref="Y302:Y366" si="40">SUM($U302:$X302)</f>
        <v>5</v>
      </c>
      <c r="Z302">
        <f t="shared" ref="Z302:Z366" si="41">SUM($T302,$Y302)</f>
        <v>7</v>
      </c>
      <c r="AA302" s="124">
        <v>0</v>
      </c>
      <c r="AB302" s="124">
        <v>0</v>
      </c>
      <c r="AC302" s="124">
        <v>1</v>
      </c>
      <c r="AD302" s="124">
        <v>0</v>
      </c>
      <c r="AE302" s="124">
        <v>0</v>
      </c>
      <c r="AF302" s="124">
        <v>0</v>
      </c>
      <c r="AG302" s="124">
        <v>0</v>
      </c>
      <c r="AH302" s="124">
        <v>2</v>
      </c>
      <c r="AJ302" t="s">
        <v>379</v>
      </c>
    </row>
    <row r="303" spans="1:36">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124">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c r="AJ303" t="s">
        <v>379</v>
      </c>
    </row>
    <row r="304" spans="1:36">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124">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346</v>
      </c>
      <c r="AJ304" t="s">
        <v>379</v>
      </c>
    </row>
    <row r="305" spans="1:36">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124">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c r="AJ305" t="s">
        <v>379</v>
      </c>
    </row>
    <row r="306" spans="1:36">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124">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c r="AJ306" t="s">
        <v>379</v>
      </c>
    </row>
    <row r="307" spans="1:36">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124">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c r="AJ307" t="s">
        <v>379</v>
      </c>
    </row>
    <row r="308" spans="1:36">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124">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c r="AJ308" t="s">
        <v>379</v>
      </c>
    </row>
    <row r="309" spans="1:36">
      <c r="A309" s="124">
        <v>4907</v>
      </c>
      <c r="B309" t="str">
        <f t="shared" si="39"/>
        <v>BLUE</v>
      </c>
      <c r="C309" s="6">
        <f t="shared" ref="C309:C365"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124">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c r="AJ309" t="s">
        <v>379</v>
      </c>
    </row>
    <row r="310" spans="1:36">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124">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c r="AJ310" t="s">
        <v>379</v>
      </c>
    </row>
    <row r="311" spans="1:36">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124">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347</v>
      </c>
      <c r="AJ311" t="s">
        <v>379</v>
      </c>
    </row>
    <row r="312" spans="1:36">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124">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348</v>
      </c>
      <c r="AJ312" t="s">
        <v>379</v>
      </c>
    </row>
    <row r="313" spans="1:36">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124">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c r="AJ313" t="s">
        <v>379</v>
      </c>
    </row>
    <row r="314" spans="1:36">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124">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c r="AJ314" t="s">
        <v>379</v>
      </c>
    </row>
    <row r="315" spans="1:36">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124">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c r="AJ315" t="s">
        <v>379</v>
      </c>
    </row>
    <row r="316" spans="1:36">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124">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c r="AJ316" t="s">
        <v>379</v>
      </c>
    </row>
    <row r="317" spans="1:36">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124">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c r="AJ317" t="s">
        <v>379</v>
      </c>
    </row>
    <row r="318" spans="1:36">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124">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c r="AJ318" t="s">
        <v>379</v>
      </c>
    </row>
    <row r="319" spans="1:36">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124">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c r="AJ319" t="s">
        <v>379</v>
      </c>
    </row>
    <row r="320" spans="1:36">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124">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c r="AJ320" t="s">
        <v>379</v>
      </c>
    </row>
    <row r="321" spans="1:36">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124">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c r="AJ321" t="s">
        <v>379</v>
      </c>
    </row>
    <row r="322" spans="1:36">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124">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c r="AJ322" t="s">
        <v>379</v>
      </c>
    </row>
    <row r="323" spans="1:36">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124">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c r="AJ323" t="s">
        <v>379</v>
      </c>
    </row>
    <row r="324" spans="1:36">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124">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c r="AJ324" t="s">
        <v>379</v>
      </c>
    </row>
    <row r="325" spans="1:36">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124">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c r="AJ325" t="s">
        <v>379</v>
      </c>
    </row>
    <row r="326" spans="1:36">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124">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c r="AJ326" t="s">
        <v>379</v>
      </c>
    </row>
    <row r="327" spans="1:36">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124">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c r="AJ327" t="s">
        <v>379</v>
      </c>
    </row>
    <row r="328" spans="1:36">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124">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c r="AJ328" t="s">
        <v>379</v>
      </c>
    </row>
    <row r="329" spans="1:36">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124">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c r="AJ329" t="s">
        <v>379</v>
      </c>
    </row>
    <row r="330" spans="1:36">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124">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c r="AJ330" t="s">
        <v>379</v>
      </c>
    </row>
    <row r="331" spans="1:36">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124">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c r="AJ331" t="s">
        <v>379</v>
      </c>
    </row>
    <row r="332" spans="1:36">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124">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c r="AJ332" t="s">
        <v>379</v>
      </c>
    </row>
    <row r="333" spans="1:36">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124">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c r="AJ333" t="s">
        <v>379</v>
      </c>
    </row>
    <row r="334" spans="1:36">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124">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c r="AJ334" t="s">
        <v>379</v>
      </c>
    </row>
    <row r="335" spans="1:36">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124">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c r="AJ335" t="s">
        <v>379</v>
      </c>
    </row>
    <row r="336" spans="1:36">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124">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c r="AJ336" t="s">
        <v>379</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124">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c r="AJ337" t="s">
        <v>379</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124">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c r="AJ338" t="s">
        <v>379</v>
      </c>
    </row>
    <row r="339" spans="1:36">
      <c r="A339" s="124">
        <v>7735</v>
      </c>
      <c r="B339" t="str">
        <f t="shared" ref="B339:B365"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124">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c r="AJ339" t="s">
        <v>379</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124">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c r="AJ340" t="s">
        <v>379</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124">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c r="AJ341" t="s">
        <v>379</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124">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c r="AJ342" t="s">
        <v>379</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124">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349</v>
      </c>
      <c r="AJ343" t="s">
        <v>379</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124">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c r="AJ344" t="s">
        <v>379</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124">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c r="AJ345" t="s">
        <v>379</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124">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c r="AJ346" t="s">
        <v>379</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124">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c r="AJ347" t="s">
        <v>379</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124">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c r="AJ348" t="s">
        <v>379</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124">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c r="AJ349" t="s">
        <v>379</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124">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t="s">
        <v>379</v>
      </c>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124">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c r="AJ351" t="s">
        <v>379</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124">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c r="AJ352" t="s">
        <v>379</v>
      </c>
    </row>
    <row r="353" spans="1:36">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124">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c r="AJ353" t="s">
        <v>379</v>
      </c>
    </row>
    <row r="354" spans="1:36">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124">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c r="AJ354" t="s">
        <v>379</v>
      </c>
    </row>
    <row r="355" spans="1:36">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124">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c r="AJ355" t="s">
        <v>379</v>
      </c>
    </row>
    <row r="356" spans="1:36">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124">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c r="AJ356" t="s">
        <v>379</v>
      </c>
    </row>
    <row r="357" spans="1:36">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124">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c r="AJ357" t="s">
        <v>379</v>
      </c>
    </row>
    <row r="358" spans="1:36">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124">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c r="AJ358" t="s">
        <v>379</v>
      </c>
    </row>
    <row r="359" spans="1:36">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124">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c r="AJ359" t="s">
        <v>379</v>
      </c>
    </row>
    <row r="360" spans="1:36">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124">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c r="AJ360" t="s">
        <v>379</v>
      </c>
    </row>
    <row r="361" spans="1:36">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124">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c r="AJ361" t="s">
        <v>379</v>
      </c>
    </row>
    <row r="362" spans="1:36">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124">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c r="AJ362" t="s">
        <v>379</v>
      </c>
    </row>
    <row r="363" spans="1:36">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124">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c r="AJ363" t="s">
        <v>379</v>
      </c>
    </row>
    <row r="364" spans="1:36">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124">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c r="AJ364" t="s">
        <v>379</v>
      </c>
    </row>
    <row r="365" spans="1:36">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124">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c r="AJ365" t="s">
        <v>379</v>
      </c>
    </row>
    <row r="366" spans="1:36">
      <c r="A366" s="124">
        <v>2013</v>
      </c>
      <c r="B366" t="s">
        <v>20</v>
      </c>
      <c r="C366" s="6">
        <v>27</v>
      </c>
      <c r="D366" s="124">
        <v>1</v>
      </c>
      <c r="E366" s="124">
        <v>0</v>
      </c>
      <c r="F366" s="124">
        <v>0</v>
      </c>
      <c r="G366" s="124">
        <v>0</v>
      </c>
      <c r="H366" s="124">
        <v>0</v>
      </c>
      <c r="I366">
        <f t="shared" si="43"/>
        <v>0</v>
      </c>
      <c r="J366" s="124">
        <v>0</v>
      </c>
      <c r="K366" s="124">
        <v>0</v>
      </c>
      <c r="L366" s="124">
        <v>0</v>
      </c>
      <c r="M366" s="124">
        <v>0</v>
      </c>
      <c r="N366" s="59">
        <f t="shared" si="44"/>
        <v>0</v>
      </c>
      <c r="O366" s="59">
        <f t="shared" si="45"/>
        <v>0</v>
      </c>
      <c r="P366" s="124">
        <v>0</v>
      </c>
      <c r="Q366" s="124">
        <v>0</v>
      </c>
      <c r="R366" s="124">
        <v>0</v>
      </c>
      <c r="S366" s="124">
        <v>0</v>
      </c>
      <c r="T366">
        <f t="shared" si="46"/>
        <v>0</v>
      </c>
      <c r="U366" s="124">
        <v>0</v>
      </c>
      <c r="V366" s="124">
        <v>0</v>
      </c>
      <c r="W366" s="124">
        <v>0</v>
      </c>
      <c r="X366" s="124">
        <v>0</v>
      </c>
      <c r="Y366">
        <f t="shared" si="40"/>
        <v>0</v>
      </c>
      <c r="Z366">
        <f t="shared" si="41"/>
        <v>0</v>
      </c>
      <c r="AA366" s="124">
        <v>0</v>
      </c>
      <c r="AB366" s="124">
        <v>0</v>
      </c>
      <c r="AC366" s="124">
        <v>1</v>
      </c>
      <c r="AD366" s="124">
        <v>0</v>
      </c>
      <c r="AE366" s="124">
        <v>0</v>
      </c>
      <c r="AF366" s="124">
        <v>0</v>
      </c>
      <c r="AG366" s="124">
        <v>0</v>
      </c>
      <c r="AH366" s="124">
        <v>0</v>
      </c>
      <c r="AJ366" t="s">
        <v>408</v>
      </c>
    </row>
    <row r="367" spans="1:36">
      <c r="A367" s="124">
        <v>1305</v>
      </c>
      <c r="B367" t="s">
        <v>20</v>
      </c>
      <c r="C367" s="6">
        <v>28</v>
      </c>
      <c r="D367" s="124">
        <v>1</v>
      </c>
      <c r="E367" s="124">
        <v>0</v>
      </c>
      <c r="F367" s="124">
        <v>1</v>
      </c>
      <c r="G367" s="124">
        <v>0</v>
      </c>
      <c r="H367" s="124">
        <v>0</v>
      </c>
      <c r="I367">
        <f t="shared" si="43"/>
        <v>1</v>
      </c>
      <c r="J367" s="124">
        <v>0</v>
      </c>
      <c r="K367" s="124">
        <v>0</v>
      </c>
      <c r="L367" s="124">
        <v>0</v>
      </c>
      <c r="M367" s="124">
        <v>0</v>
      </c>
      <c r="N367" s="59">
        <f t="shared" si="44"/>
        <v>0</v>
      </c>
      <c r="O367" s="59">
        <f t="shared" si="45"/>
        <v>1</v>
      </c>
      <c r="P367" s="124">
        <v>0</v>
      </c>
      <c r="Q367" s="124">
        <v>1</v>
      </c>
      <c r="R367" s="124">
        <v>2</v>
      </c>
      <c r="S367" s="124">
        <v>0</v>
      </c>
      <c r="T367">
        <f t="shared" si="46"/>
        <v>3</v>
      </c>
      <c r="U367" s="124">
        <v>0</v>
      </c>
      <c r="V367" s="124">
        <v>2</v>
      </c>
      <c r="W367" s="124">
        <v>2</v>
      </c>
      <c r="X367" s="124">
        <v>0</v>
      </c>
      <c r="Y367">
        <f t="shared" ref="Y367:Y398" si="48">SUM($U367:$X367)</f>
        <v>4</v>
      </c>
      <c r="Z367">
        <f t="shared" ref="Z367:Z398" si="49">SUM($T367,$Y367)</f>
        <v>7</v>
      </c>
      <c r="AA367" s="124">
        <v>0</v>
      </c>
      <c r="AB367" s="124">
        <v>0</v>
      </c>
      <c r="AC367" s="124">
        <v>3</v>
      </c>
      <c r="AD367" s="124">
        <v>0</v>
      </c>
      <c r="AE367" s="124">
        <v>0</v>
      </c>
      <c r="AF367" s="124">
        <v>0</v>
      </c>
      <c r="AG367" s="124">
        <v>0</v>
      </c>
      <c r="AH367" s="124">
        <v>0</v>
      </c>
      <c r="AJ367" t="s">
        <v>408</v>
      </c>
    </row>
    <row r="368" spans="1:36">
      <c r="A368" s="124">
        <v>6461</v>
      </c>
      <c r="B368" t="s">
        <v>20</v>
      </c>
      <c r="C368" s="6">
        <v>29</v>
      </c>
      <c r="D368" s="124">
        <v>1</v>
      </c>
      <c r="E368" s="124">
        <v>0</v>
      </c>
      <c r="F368" s="124">
        <v>0</v>
      </c>
      <c r="G368" s="124">
        <v>0</v>
      </c>
      <c r="H368" s="124">
        <v>0</v>
      </c>
      <c r="I368">
        <f t="shared" si="43"/>
        <v>0</v>
      </c>
      <c r="J368" s="124">
        <v>0</v>
      </c>
      <c r="K368" s="124">
        <v>0</v>
      </c>
      <c r="L368" s="124">
        <v>0</v>
      </c>
      <c r="M368" s="124">
        <v>0</v>
      </c>
      <c r="N368" s="59">
        <f t="shared" si="44"/>
        <v>0</v>
      </c>
      <c r="O368" s="59">
        <f t="shared" si="45"/>
        <v>0</v>
      </c>
      <c r="P368" s="124">
        <v>0</v>
      </c>
      <c r="Q368" s="124">
        <v>0</v>
      </c>
      <c r="R368" s="124">
        <v>0</v>
      </c>
      <c r="S368" s="124">
        <v>0</v>
      </c>
      <c r="T368">
        <f t="shared" si="46"/>
        <v>0</v>
      </c>
      <c r="U368" s="124">
        <v>0</v>
      </c>
      <c r="V368" s="124">
        <v>0</v>
      </c>
      <c r="W368" s="124">
        <v>0</v>
      </c>
      <c r="X368" s="124">
        <v>0</v>
      </c>
      <c r="Y368">
        <f t="shared" si="48"/>
        <v>0</v>
      </c>
      <c r="Z368">
        <f t="shared" si="49"/>
        <v>0</v>
      </c>
      <c r="AA368" s="124">
        <v>97</v>
      </c>
      <c r="AB368" s="124">
        <v>0</v>
      </c>
      <c r="AC368" s="124">
        <v>1</v>
      </c>
      <c r="AD368" s="124">
        <v>0</v>
      </c>
      <c r="AE368" s="124">
        <v>0</v>
      </c>
      <c r="AF368" s="124">
        <v>0</v>
      </c>
      <c r="AG368" s="124">
        <v>0</v>
      </c>
      <c r="AH368" s="124">
        <v>1</v>
      </c>
      <c r="AJ368" t="s">
        <v>408</v>
      </c>
    </row>
    <row r="369" spans="1:36">
      <c r="A369" s="124">
        <v>6336</v>
      </c>
      <c r="B369" t="s">
        <v>21</v>
      </c>
      <c r="C369" s="6">
        <v>30</v>
      </c>
      <c r="D369" s="124">
        <v>2</v>
      </c>
      <c r="E369" s="124">
        <v>0</v>
      </c>
      <c r="F369" s="124">
        <v>0</v>
      </c>
      <c r="G369" s="124">
        <v>0</v>
      </c>
      <c r="H369" s="124">
        <v>0</v>
      </c>
      <c r="I369">
        <f t="shared" si="43"/>
        <v>0</v>
      </c>
      <c r="J369" s="124">
        <v>0</v>
      </c>
      <c r="K369" s="124">
        <v>0</v>
      </c>
      <c r="L369" s="124">
        <v>0</v>
      </c>
      <c r="M369" s="124">
        <v>0</v>
      </c>
      <c r="N369" s="59">
        <f t="shared" si="44"/>
        <v>0</v>
      </c>
      <c r="O369" s="59">
        <f t="shared" si="45"/>
        <v>0</v>
      </c>
      <c r="P369" s="124">
        <v>0</v>
      </c>
      <c r="Q369" s="124">
        <v>1</v>
      </c>
      <c r="R369" s="124">
        <v>2</v>
      </c>
      <c r="S369" s="124">
        <v>0</v>
      </c>
      <c r="T369">
        <f t="shared" si="46"/>
        <v>3</v>
      </c>
      <c r="U369" s="124">
        <v>0</v>
      </c>
      <c r="V369" s="124">
        <v>0</v>
      </c>
      <c r="W369" s="124">
        <v>1</v>
      </c>
      <c r="X369" s="124">
        <v>0</v>
      </c>
      <c r="Y369">
        <f t="shared" si="48"/>
        <v>1</v>
      </c>
      <c r="Z369">
        <f t="shared" si="49"/>
        <v>4</v>
      </c>
      <c r="AA369" s="124">
        <v>0</v>
      </c>
      <c r="AB369" s="124">
        <v>0</v>
      </c>
      <c r="AC369" s="124">
        <v>1</v>
      </c>
      <c r="AD369" s="124">
        <v>0</v>
      </c>
      <c r="AE369" s="124">
        <v>0</v>
      </c>
      <c r="AF369" s="124">
        <v>0</v>
      </c>
      <c r="AG369" s="124">
        <v>3</v>
      </c>
      <c r="AH369" s="124">
        <v>0</v>
      </c>
      <c r="AI369" s="124"/>
      <c r="AJ369" t="s">
        <v>408</v>
      </c>
    </row>
    <row r="370" spans="1:36">
      <c r="A370" s="124">
        <v>6336</v>
      </c>
      <c r="B370" t="s">
        <v>21</v>
      </c>
      <c r="C370" s="6">
        <v>34</v>
      </c>
      <c r="D370" s="124">
        <v>2</v>
      </c>
      <c r="E370" s="124">
        <v>0</v>
      </c>
      <c r="F370" s="124">
        <v>0</v>
      </c>
      <c r="G370" s="124">
        <v>0</v>
      </c>
      <c r="H370" s="124">
        <v>0</v>
      </c>
      <c r="I370">
        <f t="shared" si="43"/>
        <v>0</v>
      </c>
      <c r="J370" s="124">
        <v>0</v>
      </c>
      <c r="K370" s="124">
        <v>0</v>
      </c>
      <c r="L370" s="124">
        <v>0</v>
      </c>
      <c r="M370" s="124">
        <v>0</v>
      </c>
      <c r="N370" s="59">
        <f t="shared" si="44"/>
        <v>0</v>
      </c>
      <c r="O370" s="59">
        <f t="shared" si="45"/>
        <v>0</v>
      </c>
      <c r="P370" s="124">
        <v>0</v>
      </c>
      <c r="Q370" s="124">
        <v>1</v>
      </c>
      <c r="R370" s="124">
        <v>0</v>
      </c>
      <c r="S370" s="124">
        <v>0</v>
      </c>
      <c r="T370">
        <f t="shared" si="46"/>
        <v>1</v>
      </c>
      <c r="U370" s="124">
        <v>0</v>
      </c>
      <c r="V370" s="124">
        <v>1</v>
      </c>
      <c r="W370" s="124">
        <v>0</v>
      </c>
      <c r="X370" s="124">
        <v>0</v>
      </c>
      <c r="Y370">
        <f t="shared" si="48"/>
        <v>1</v>
      </c>
      <c r="Z370">
        <f t="shared" si="49"/>
        <v>2</v>
      </c>
      <c r="AA370" s="124">
        <v>0</v>
      </c>
      <c r="AB370" s="124">
        <v>0</v>
      </c>
      <c r="AC370" s="124">
        <v>3</v>
      </c>
      <c r="AD370" s="124">
        <v>0</v>
      </c>
      <c r="AE370" s="124">
        <v>0</v>
      </c>
      <c r="AF370" s="124">
        <v>0</v>
      </c>
      <c r="AG370" s="124">
        <v>0</v>
      </c>
      <c r="AH370" s="124">
        <v>0</v>
      </c>
      <c r="AJ370" t="s">
        <v>408</v>
      </c>
    </row>
    <row r="371" spans="1:36">
      <c r="A371" s="124">
        <v>2013</v>
      </c>
      <c r="B371" t="s">
        <v>21</v>
      </c>
      <c r="C371" s="6">
        <v>35</v>
      </c>
      <c r="D371" s="124">
        <v>1</v>
      </c>
      <c r="E371" s="124">
        <v>0</v>
      </c>
      <c r="F371" s="124">
        <v>0</v>
      </c>
      <c r="G371" s="124">
        <v>0</v>
      </c>
      <c r="H371" s="124">
        <v>0</v>
      </c>
      <c r="I371">
        <f t="shared" si="43"/>
        <v>0</v>
      </c>
      <c r="J371" s="124">
        <v>0</v>
      </c>
      <c r="K371" s="124">
        <v>0</v>
      </c>
      <c r="L371" s="124">
        <v>0</v>
      </c>
      <c r="M371" s="124">
        <v>0</v>
      </c>
      <c r="N371" s="59">
        <f t="shared" si="44"/>
        <v>0</v>
      </c>
      <c r="O371" s="59">
        <f t="shared" si="45"/>
        <v>0</v>
      </c>
      <c r="P371" s="124">
        <v>0</v>
      </c>
      <c r="Q371" s="124">
        <v>0</v>
      </c>
      <c r="R371" s="124">
        <v>0</v>
      </c>
      <c r="S371" s="124">
        <v>0</v>
      </c>
      <c r="T371">
        <f t="shared" si="46"/>
        <v>0</v>
      </c>
      <c r="U371" s="124">
        <v>1</v>
      </c>
      <c r="V371" s="124">
        <v>0</v>
      </c>
      <c r="W371" s="124">
        <v>0</v>
      </c>
      <c r="X371" s="124">
        <v>0</v>
      </c>
      <c r="Y371">
        <f t="shared" si="48"/>
        <v>1</v>
      </c>
      <c r="Z371">
        <f t="shared" si="49"/>
        <v>1</v>
      </c>
      <c r="AA371" s="124">
        <v>0</v>
      </c>
      <c r="AB371" s="124">
        <v>0</v>
      </c>
      <c r="AC371" s="124">
        <v>1</v>
      </c>
      <c r="AD371" s="124">
        <v>0</v>
      </c>
      <c r="AE371" s="124">
        <v>0</v>
      </c>
      <c r="AF371" s="124">
        <v>0</v>
      </c>
      <c r="AG371" s="124">
        <v>0</v>
      </c>
      <c r="AH371" s="124">
        <v>0</v>
      </c>
      <c r="AJ371" t="s">
        <v>408</v>
      </c>
    </row>
    <row r="372" spans="1:36">
      <c r="A372" s="124">
        <v>6461</v>
      </c>
      <c r="B372" t="s">
        <v>20</v>
      </c>
      <c r="C372" s="6">
        <v>2</v>
      </c>
      <c r="D372" s="124">
        <v>2</v>
      </c>
      <c r="E372" s="124">
        <v>0</v>
      </c>
      <c r="F372" s="124">
        <v>0</v>
      </c>
      <c r="G372" s="124">
        <v>0</v>
      </c>
      <c r="H372" s="124">
        <v>0</v>
      </c>
      <c r="I372">
        <f t="shared" si="43"/>
        <v>0</v>
      </c>
      <c r="J372" s="124">
        <v>0</v>
      </c>
      <c r="K372" s="124">
        <v>0</v>
      </c>
      <c r="L372" s="124">
        <v>0</v>
      </c>
      <c r="M372" s="124">
        <v>0</v>
      </c>
      <c r="N372" s="59">
        <f t="shared" si="44"/>
        <v>0</v>
      </c>
      <c r="O372" s="59">
        <f t="shared" si="45"/>
        <v>0</v>
      </c>
      <c r="P372" s="124">
        <v>0</v>
      </c>
      <c r="Q372" s="124">
        <v>0</v>
      </c>
      <c r="R372" s="124">
        <v>0</v>
      </c>
      <c r="S372" s="124">
        <v>0</v>
      </c>
      <c r="T372">
        <f t="shared" si="46"/>
        <v>0</v>
      </c>
      <c r="U372" s="124">
        <v>0</v>
      </c>
      <c r="V372" s="124">
        <v>0</v>
      </c>
      <c r="W372" s="124">
        <v>0</v>
      </c>
      <c r="X372" s="124">
        <v>0</v>
      </c>
      <c r="Y372">
        <f t="shared" si="48"/>
        <v>0</v>
      </c>
      <c r="Z372">
        <f t="shared" si="49"/>
        <v>0</v>
      </c>
      <c r="AA372" s="124">
        <v>81</v>
      </c>
      <c r="AB372" s="124">
        <v>0</v>
      </c>
      <c r="AC372" s="124">
        <v>2</v>
      </c>
      <c r="AD372" s="124">
        <v>0</v>
      </c>
      <c r="AE372" s="124">
        <v>0</v>
      </c>
      <c r="AF372" s="124">
        <v>0</v>
      </c>
      <c r="AG372" s="124">
        <v>3</v>
      </c>
      <c r="AH372" s="124">
        <v>0</v>
      </c>
      <c r="AJ372" t="s">
        <v>408</v>
      </c>
    </row>
    <row r="373" spans="1:36">
      <c r="A373" s="124">
        <v>1305</v>
      </c>
      <c r="B373" t="s">
        <v>20</v>
      </c>
      <c r="C373" s="6">
        <v>3</v>
      </c>
      <c r="D373" s="124">
        <v>1</v>
      </c>
      <c r="E373" s="124">
        <v>0</v>
      </c>
      <c r="F373" s="124">
        <v>1</v>
      </c>
      <c r="G373" s="124">
        <v>0</v>
      </c>
      <c r="H373" s="124">
        <v>0</v>
      </c>
      <c r="I373">
        <f t="shared" si="43"/>
        <v>1</v>
      </c>
      <c r="J373" s="124">
        <v>0</v>
      </c>
      <c r="K373" s="124">
        <v>0</v>
      </c>
      <c r="L373" s="124">
        <v>0</v>
      </c>
      <c r="M373" s="124">
        <v>0</v>
      </c>
      <c r="N373" s="59">
        <f t="shared" si="44"/>
        <v>0</v>
      </c>
      <c r="O373" s="59">
        <f t="shared" si="45"/>
        <v>1</v>
      </c>
      <c r="P373" s="124">
        <v>0</v>
      </c>
      <c r="Q373" s="124">
        <v>1</v>
      </c>
      <c r="R373" s="124">
        <v>1</v>
      </c>
      <c r="S373" s="124">
        <v>0</v>
      </c>
      <c r="T373">
        <f t="shared" si="46"/>
        <v>2</v>
      </c>
      <c r="U373" s="124">
        <v>0</v>
      </c>
      <c r="V373" s="124">
        <v>1</v>
      </c>
      <c r="W373" s="124">
        <v>2</v>
      </c>
      <c r="X373" s="124">
        <v>0</v>
      </c>
      <c r="Y373">
        <f t="shared" si="48"/>
        <v>3</v>
      </c>
      <c r="Z373">
        <f t="shared" si="49"/>
        <v>5</v>
      </c>
      <c r="AA373" s="124">
        <v>0</v>
      </c>
      <c r="AB373" s="124">
        <v>0</v>
      </c>
      <c r="AC373" s="124">
        <v>3</v>
      </c>
      <c r="AD373" s="124">
        <v>0</v>
      </c>
      <c r="AE373" s="124">
        <v>0</v>
      </c>
      <c r="AF373" s="124">
        <v>0</v>
      </c>
      <c r="AG373" s="124">
        <v>0</v>
      </c>
      <c r="AH373" s="124">
        <v>1</v>
      </c>
      <c r="AJ373" t="s">
        <v>408</v>
      </c>
    </row>
    <row r="374" spans="1:36">
      <c r="A374" s="124">
        <v>6336</v>
      </c>
      <c r="B374" t="s">
        <v>20</v>
      </c>
      <c r="C374" s="6">
        <v>4</v>
      </c>
      <c r="D374" s="124">
        <v>2</v>
      </c>
      <c r="E374" s="124">
        <v>0</v>
      </c>
      <c r="F374" s="124">
        <v>0</v>
      </c>
      <c r="G374" s="124">
        <v>0</v>
      </c>
      <c r="H374" s="124">
        <v>0</v>
      </c>
      <c r="I374">
        <f t="shared" si="43"/>
        <v>0</v>
      </c>
      <c r="J374" s="124">
        <v>0</v>
      </c>
      <c r="K374" s="124">
        <v>0</v>
      </c>
      <c r="L374" s="124">
        <v>0</v>
      </c>
      <c r="M374" s="124">
        <v>0</v>
      </c>
      <c r="N374" s="59">
        <f t="shared" si="44"/>
        <v>0</v>
      </c>
      <c r="O374" s="59">
        <f t="shared" si="45"/>
        <v>0</v>
      </c>
      <c r="P374" s="124">
        <v>0</v>
      </c>
      <c r="Q374" s="124">
        <v>1</v>
      </c>
      <c r="R374" s="124">
        <v>1</v>
      </c>
      <c r="S374" s="124">
        <v>1</v>
      </c>
      <c r="T374">
        <f t="shared" si="46"/>
        <v>3</v>
      </c>
      <c r="U374" s="124">
        <v>0</v>
      </c>
      <c r="V374" s="124">
        <v>0</v>
      </c>
      <c r="W374" s="124">
        <v>0</v>
      </c>
      <c r="X374" s="124">
        <v>0</v>
      </c>
      <c r="Y374">
        <f t="shared" si="48"/>
        <v>0</v>
      </c>
      <c r="Z374">
        <f t="shared" si="49"/>
        <v>3</v>
      </c>
      <c r="AA374" s="124">
        <v>0</v>
      </c>
      <c r="AB374" s="124">
        <v>0</v>
      </c>
      <c r="AC374" s="124">
        <v>0</v>
      </c>
      <c r="AD374" s="124">
        <v>0</v>
      </c>
      <c r="AE374" s="124">
        <v>0</v>
      </c>
      <c r="AF374" s="124">
        <v>0</v>
      </c>
      <c r="AG374" s="124">
        <v>0</v>
      </c>
      <c r="AH374" s="124">
        <v>0</v>
      </c>
      <c r="AJ374" t="s">
        <v>408</v>
      </c>
    </row>
    <row r="375" spans="1:36">
      <c r="A375" s="124">
        <v>2013</v>
      </c>
      <c r="B375" t="s">
        <v>21</v>
      </c>
      <c r="C375" s="6">
        <v>6</v>
      </c>
      <c r="D375" s="124">
        <v>2</v>
      </c>
      <c r="E375" s="124">
        <v>0</v>
      </c>
      <c r="F375" s="124">
        <v>0</v>
      </c>
      <c r="G375" s="124">
        <v>0</v>
      </c>
      <c r="H375" s="124">
        <v>0</v>
      </c>
      <c r="I375">
        <f t="shared" si="43"/>
        <v>0</v>
      </c>
      <c r="J375" s="124">
        <v>0</v>
      </c>
      <c r="K375" s="124">
        <v>0</v>
      </c>
      <c r="L375" s="124">
        <v>0</v>
      </c>
      <c r="M375" s="124">
        <v>0</v>
      </c>
      <c r="N375" s="59">
        <f t="shared" si="44"/>
        <v>0</v>
      </c>
      <c r="O375" s="59">
        <f t="shared" si="45"/>
        <v>0</v>
      </c>
      <c r="P375" s="124">
        <v>0</v>
      </c>
      <c r="Q375" s="124">
        <v>0</v>
      </c>
      <c r="R375" s="124">
        <v>0</v>
      </c>
      <c r="S375" s="124">
        <v>0</v>
      </c>
      <c r="T375">
        <f t="shared" si="46"/>
        <v>0</v>
      </c>
      <c r="U375" s="124">
        <v>1</v>
      </c>
      <c r="V375" s="124">
        <v>0</v>
      </c>
      <c r="W375" s="124">
        <v>0</v>
      </c>
      <c r="X375" s="124">
        <v>0</v>
      </c>
      <c r="Y375">
        <f t="shared" si="48"/>
        <v>1</v>
      </c>
      <c r="Z375">
        <f t="shared" si="49"/>
        <v>1</v>
      </c>
      <c r="AA375" s="124">
        <v>49</v>
      </c>
      <c r="AB375" s="124">
        <v>0</v>
      </c>
      <c r="AC375" s="124">
        <v>0</v>
      </c>
      <c r="AD375" s="124">
        <v>0</v>
      </c>
      <c r="AE375" s="124">
        <v>0</v>
      </c>
      <c r="AF375" s="124">
        <v>0</v>
      </c>
      <c r="AG375" s="124">
        <v>3</v>
      </c>
      <c r="AH375" s="124">
        <v>0</v>
      </c>
      <c r="AJ375" t="s">
        <v>408</v>
      </c>
    </row>
    <row r="376" spans="1:36">
      <c r="A376" s="124">
        <v>6336</v>
      </c>
      <c r="B376" t="s">
        <v>20</v>
      </c>
      <c r="C376" s="6">
        <v>7</v>
      </c>
      <c r="D376" s="124">
        <v>1</v>
      </c>
      <c r="E376" s="124">
        <v>0</v>
      </c>
      <c r="F376" s="124">
        <v>0</v>
      </c>
      <c r="G376" s="124">
        <v>0</v>
      </c>
      <c r="H376" s="124">
        <v>0</v>
      </c>
      <c r="I376">
        <f t="shared" si="43"/>
        <v>0</v>
      </c>
      <c r="J376" s="124">
        <v>0</v>
      </c>
      <c r="K376" s="124">
        <v>0</v>
      </c>
      <c r="L376" s="124">
        <v>0</v>
      </c>
      <c r="M376" s="124">
        <v>0</v>
      </c>
      <c r="N376" s="59">
        <f t="shared" si="44"/>
        <v>0</v>
      </c>
      <c r="O376" s="59">
        <f t="shared" si="45"/>
        <v>0</v>
      </c>
      <c r="P376" s="124">
        <v>0</v>
      </c>
      <c r="Q376" s="124">
        <v>1</v>
      </c>
      <c r="R376" s="124">
        <v>0</v>
      </c>
      <c r="S376" s="124">
        <v>0</v>
      </c>
      <c r="T376">
        <f t="shared" si="46"/>
        <v>1</v>
      </c>
      <c r="U376" s="124">
        <v>0</v>
      </c>
      <c r="V376" s="124">
        <v>0</v>
      </c>
      <c r="W376" s="124">
        <v>0</v>
      </c>
      <c r="X376" s="124">
        <v>0</v>
      </c>
      <c r="Y376">
        <f t="shared" si="48"/>
        <v>0</v>
      </c>
      <c r="Z376">
        <f t="shared" si="49"/>
        <v>1</v>
      </c>
      <c r="AA376" s="124">
        <v>0</v>
      </c>
      <c r="AB376" s="124">
        <v>1</v>
      </c>
      <c r="AC376" s="124">
        <v>0</v>
      </c>
      <c r="AD376" s="124">
        <v>0</v>
      </c>
      <c r="AE376" s="124">
        <v>0</v>
      </c>
      <c r="AF376" s="124">
        <v>0</v>
      </c>
      <c r="AG376" s="124">
        <v>0</v>
      </c>
      <c r="AH376" s="124">
        <v>1</v>
      </c>
      <c r="AJ376" t="s">
        <v>408</v>
      </c>
    </row>
    <row r="377" spans="1:36">
      <c r="A377" s="124">
        <v>1305</v>
      </c>
      <c r="B377" t="s">
        <v>21</v>
      </c>
      <c r="C377" s="6">
        <v>9</v>
      </c>
      <c r="D377" s="124">
        <v>1</v>
      </c>
      <c r="E377" s="124">
        <v>0</v>
      </c>
      <c r="F377" s="124">
        <v>0</v>
      </c>
      <c r="G377" s="124">
        <v>0</v>
      </c>
      <c r="H377" s="124">
        <v>0</v>
      </c>
      <c r="I377">
        <f t="shared" si="43"/>
        <v>0</v>
      </c>
      <c r="J377" s="124">
        <v>0</v>
      </c>
      <c r="K377" s="124">
        <v>0</v>
      </c>
      <c r="L377" s="124">
        <v>0</v>
      </c>
      <c r="M377" s="124">
        <v>0</v>
      </c>
      <c r="N377" s="59">
        <f t="shared" si="44"/>
        <v>0</v>
      </c>
      <c r="O377" s="59">
        <f t="shared" si="45"/>
        <v>0</v>
      </c>
      <c r="P377" s="124">
        <v>0</v>
      </c>
      <c r="Q377" s="124">
        <v>2</v>
      </c>
      <c r="R377" s="124">
        <v>0</v>
      </c>
      <c r="S377" s="124">
        <v>0</v>
      </c>
      <c r="T377">
        <f t="shared" si="46"/>
        <v>2</v>
      </c>
      <c r="U377" s="124">
        <v>0</v>
      </c>
      <c r="V377" s="124">
        <v>2</v>
      </c>
      <c r="W377" s="124">
        <v>0</v>
      </c>
      <c r="X377" s="124">
        <v>0</v>
      </c>
      <c r="Y377">
        <f t="shared" si="48"/>
        <v>2</v>
      </c>
      <c r="Z377">
        <f t="shared" si="49"/>
        <v>4</v>
      </c>
      <c r="AA377" s="124">
        <v>0</v>
      </c>
      <c r="AB377" s="124">
        <v>0</v>
      </c>
      <c r="AC377" s="124">
        <v>3</v>
      </c>
      <c r="AD377" s="124">
        <v>0</v>
      </c>
      <c r="AE377" s="124">
        <v>0</v>
      </c>
      <c r="AF377" s="124">
        <v>0</v>
      </c>
      <c r="AG377" s="124">
        <v>0</v>
      </c>
      <c r="AH377" s="124">
        <v>0</v>
      </c>
      <c r="AJ377" t="s">
        <v>408</v>
      </c>
    </row>
    <row r="378" spans="1:36">
      <c r="A378" s="124">
        <v>6461</v>
      </c>
      <c r="B378" t="s">
        <v>21</v>
      </c>
      <c r="C378" s="6">
        <v>10</v>
      </c>
      <c r="D378" s="124">
        <v>0</v>
      </c>
      <c r="E378" s="124">
        <v>0</v>
      </c>
      <c r="F378" s="124">
        <v>0</v>
      </c>
      <c r="G378" s="124">
        <v>0</v>
      </c>
      <c r="H378" s="124">
        <v>0</v>
      </c>
      <c r="I378">
        <f t="shared" si="43"/>
        <v>0</v>
      </c>
      <c r="J378" s="124">
        <v>0</v>
      </c>
      <c r="K378" s="124">
        <v>0</v>
      </c>
      <c r="L378" s="124">
        <v>0</v>
      </c>
      <c r="M378" s="124">
        <v>0</v>
      </c>
      <c r="N378" s="59">
        <f t="shared" si="44"/>
        <v>0</v>
      </c>
      <c r="O378" s="59">
        <f t="shared" si="45"/>
        <v>0</v>
      </c>
      <c r="P378" s="124">
        <v>0</v>
      </c>
      <c r="Q378" s="124">
        <v>0</v>
      </c>
      <c r="R378" s="124">
        <v>0</v>
      </c>
      <c r="S378" s="124">
        <v>0</v>
      </c>
      <c r="T378">
        <f t="shared" si="46"/>
        <v>0</v>
      </c>
      <c r="U378" s="124">
        <v>0</v>
      </c>
      <c r="V378" s="124">
        <v>0</v>
      </c>
      <c r="W378" s="124">
        <v>0</v>
      </c>
      <c r="X378" s="124">
        <v>0</v>
      </c>
      <c r="Y378">
        <f t="shared" si="48"/>
        <v>0</v>
      </c>
      <c r="Z378">
        <f t="shared" si="49"/>
        <v>0</v>
      </c>
      <c r="AA378" s="124">
        <v>54</v>
      </c>
      <c r="AB378" s="124">
        <v>0</v>
      </c>
      <c r="AC378" s="124">
        <v>1</v>
      </c>
      <c r="AD378" s="124">
        <v>0</v>
      </c>
      <c r="AE378" s="124">
        <v>0</v>
      </c>
      <c r="AF378" s="124">
        <v>0</v>
      </c>
      <c r="AG378" s="124">
        <v>0</v>
      </c>
      <c r="AH378" s="124">
        <v>1</v>
      </c>
      <c r="AJ378" t="s">
        <v>408</v>
      </c>
    </row>
    <row r="379" spans="1:36">
      <c r="A379" s="124">
        <v>2013</v>
      </c>
      <c r="B379" t="s">
        <v>20</v>
      </c>
      <c r="C379" s="6">
        <v>11</v>
      </c>
      <c r="D379" s="124">
        <v>0</v>
      </c>
      <c r="E379" s="124">
        <v>0</v>
      </c>
      <c r="F379" s="124">
        <v>0</v>
      </c>
      <c r="G379" s="124">
        <v>0</v>
      </c>
      <c r="H379" s="124">
        <v>0</v>
      </c>
      <c r="I379">
        <f t="shared" si="43"/>
        <v>0</v>
      </c>
      <c r="J379" s="124">
        <v>0</v>
      </c>
      <c r="K379" s="124">
        <v>0</v>
      </c>
      <c r="L379" s="124">
        <v>0</v>
      </c>
      <c r="M379" s="124">
        <v>0</v>
      </c>
      <c r="N379" s="59">
        <f t="shared" si="44"/>
        <v>0</v>
      </c>
      <c r="O379" s="59">
        <f t="shared" si="45"/>
        <v>0</v>
      </c>
      <c r="P379" s="124">
        <v>0</v>
      </c>
      <c r="Q379" s="124">
        <v>0</v>
      </c>
      <c r="R379" s="124">
        <v>0</v>
      </c>
      <c r="S379" s="124">
        <v>0</v>
      </c>
      <c r="T379">
        <f t="shared" si="46"/>
        <v>0</v>
      </c>
      <c r="U379" s="124">
        <v>0</v>
      </c>
      <c r="V379" s="124">
        <v>0</v>
      </c>
      <c r="W379" s="124">
        <v>0</v>
      </c>
      <c r="X379" s="124">
        <v>0</v>
      </c>
      <c r="Y379">
        <f t="shared" si="48"/>
        <v>0</v>
      </c>
      <c r="Z379">
        <f t="shared" si="49"/>
        <v>0</v>
      </c>
      <c r="AA379" s="124">
        <v>0</v>
      </c>
      <c r="AB379" s="124">
        <v>0</v>
      </c>
      <c r="AC379" s="124">
        <v>0</v>
      </c>
      <c r="AD379" s="124">
        <v>0</v>
      </c>
      <c r="AE379" s="124">
        <v>1</v>
      </c>
      <c r="AF379" s="124">
        <v>0</v>
      </c>
      <c r="AG379" s="124">
        <v>0</v>
      </c>
      <c r="AH379" s="124">
        <v>0</v>
      </c>
      <c r="AI379" t="s">
        <v>406</v>
      </c>
      <c r="AJ379" t="s">
        <v>408</v>
      </c>
    </row>
    <row r="380" spans="1:36">
      <c r="A380" s="124">
        <v>6336</v>
      </c>
      <c r="B380" t="s">
        <v>21</v>
      </c>
      <c r="C380" s="6">
        <v>14</v>
      </c>
      <c r="D380" s="124">
        <v>2</v>
      </c>
      <c r="E380" s="124">
        <v>0</v>
      </c>
      <c r="F380" s="124">
        <v>0</v>
      </c>
      <c r="G380" s="124">
        <v>0</v>
      </c>
      <c r="H380" s="124">
        <v>0</v>
      </c>
      <c r="I380">
        <f t="shared" si="43"/>
        <v>0</v>
      </c>
      <c r="J380" s="124">
        <v>0</v>
      </c>
      <c r="K380" s="124">
        <v>0</v>
      </c>
      <c r="L380" s="124">
        <v>0</v>
      </c>
      <c r="M380" s="124">
        <v>0</v>
      </c>
      <c r="N380" s="59">
        <f t="shared" si="44"/>
        <v>0</v>
      </c>
      <c r="O380" s="59">
        <f t="shared" si="45"/>
        <v>0</v>
      </c>
      <c r="P380" s="124">
        <v>0</v>
      </c>
      <c r="Q380" s="124">
        <v>1</v>
      </c>
      <c r="R380" s="124">
        <v>0</v>
      </c>
      <c r="S380" s="124">
        <v>1</v>
      </c>
      <c r="T380">
        <f t="shared" si="46"/>
        <v>2</v>
      </c>
      <c r="U380" s="124">
        <v>0</v>
      </c>
      <c r="V380" s="124">
        <v>2</v>
      </c>
      <c r="W380" s="124">
        <v>0</v>
      </c>
      <c r="X380" s="124">
        <v>0</v>
      </c>
      <c r="Y380">
        <f t="shared" si="48"/>
        <v>2</v>
      </c>
      <c r="Z380">
        <f t="shared" si="49"/>
        <v>4</v>
      </c>
      <c r="AA380" s="124">
        <v>3</v>
      </c>
      <c r="AB380" s="124">
        <v>0</v>
      </c>
      <c r="AC380" s="124">
        <v>3</v>
      </c>
      <c r="AD380" s="124">
        <v>0</v>
      </c>
      <c r="AE380" s="124">
        <v>0</v>
      </c>
      <c r="AF380" s="124">
        <v>0</v>
      </c>
      <c r="AG380" s="124">
        <v>3</v>
      </c>
      <c r="AH380" s="124">
        <v>1</v>
      </c>
      <c r="AJ380" t="s">
        <v>408</v>
      </c>
    </row>
    <row r="381" spans="1:36">
      <c r="A381" s="124">
        <v>2013</v>
      </c>
      <c r="B381" t="s">
        <v>20</v>
      </c>
      <c r="C381" s="6">
        <v>15</v>
      </c>
      <c r="D381" s="124">
        <v>1</v>
      </c>
      <c r="E381" s="124">
        <v>0</v>
      </c>
      <c r="F381" s="124">
        <v>0</v>
      </c>
      <c r="G381" s="124">
        <v>0</v>
      </c>
      <c r="H381" s="124">
        <v>0</v>
      </c>
      <c r="I381">
        <f t="shared" si="43"/>
        <v>0</v>
      </c>
      <c r="J381" s="124">
        <v>0</v>
      </c>
      <c r="K381" s="124">
        <v>0</v>
      </c>
      <c r="L381" s="124">
        <v>0</v>
      </c>
      <c r="M381" s="124">
        <v>0</v>
      </c>
      <c r="N381" s="59">
        <f t="shared" si="44"/>
        <v>0</v>
      </c>
      <c r="O381" s="59">
        <f t="shared" si="45"/>
        <v>0</v>
      </c>
      <c r="P381" s="124">
        <v>0</v>
      </c>
      <c r="Q381" s="124">
        <v>0</v>
      </c>
      <c r="R381" s="124">
        <v>0</v>
      </c>
      <c r="S381" s="124">
        <v>0</v>
      </c>
      <c r="T381">
        <f t="shared" si="46"/>
        <v>0</v>
      </c>
      <c r="U381" s="124">
        <v>0</v>
      </c>
      <c r="V381" s="124">
        <v>0</v>
      </c>
      <c r="W381" s="124">
        <v>0</v>
      </c>
      <c r="X381" s="124">
        <v>0</v>
      </c>
      <c r="Y381">
        <f t="shared" si="48"/>
        <v>0</v>
      </c>
      <c r="Z381">
        <f t="shared" si="49"/>
        <v>0</v>
      </c>
      <c r="AA381" s="124">
        <v>29</v>
      </c>
      <c r="AB381" s="124">
        <v>0</v>
      </c>
      <c r="AC381" s="124">
        <v>1</v>
      </c>
      <c r="AD381" s="124">
        <v>0</v>
      </c>
      <c r="AE381" s="124">
        <v>0</v>
      </c>
      <c r="AF381" s="124">
        <v>0</v>
      </c>
      <c r="AG381" s="124">
        <v>0</v>
      </c>
      <c r="AH381" s="124">
        <v>0</v>
      </c>
      <c r="AJ381" t="s">
        <v>408</v>
      </c>
    </row>
    <row r="382" spans="1:36">
      <c r="A382" s="124">
        <v>1305</v>
      </c>
      <c r="B382" t="s">
        <v>20</v>
      </c>
      <c r="C382" s="6">
        <v>16</v>
      </c>
      <c r="D382" s="124">
        <v>1</v>
      </c>
      <c r="E382" s="124">
        <v>0</v>
      </c>
      <c r="F382" s="124">
        <v>1</v>
      </c>
      <c r="G382" s="124">
        <v>0</v>
      </c>
      <c r="H382" s="124">
        <v>0</v>
      </c>
      <c r="I382">
        <f t="shared" ref="I382:I398" si="50">SUM($E382:$H382)</f>
        <v>1</v>
      </c>
      <c r="J382" s="124">
        <v>0</v>
      </c>
      <c r="K382" s="124">
        <v>0</v>
      </c>
      <c r="L382" s="124">
        <v>0</v>
      </c>
      <c r="M382" s="124">
        <v>0</v>
      </c>
      <c r="N382" s="59">
        <f t="shared" ref="N382:N398" si="51">SUM($J382:$M382)</f>
        <v>0</v>
      </c>
      <c r="O382" s="59">
        <f t="shared" ref="O382:O398" si="52">SUM($I382, $N382)</f>
        <v>1</v>
      </c>
      <c r="P382" s="124">
        <v>1</v>
      </c>
      <c r="Q382" s="124">
        <v>1</v>
      </c>
      <c r="R382" s="124">
        <v>1</v>
      </c>
      <c r="S382" s="124">
        <v>0</v>
      </c>
      <c r="T382">
        <f t="shared" ref="T382:T398" si="53">SUM($P382:$S382)</f>
        <v>3</v>
      </c>
      <c r="U382" s="124">
        <v>0</v>
      </c>
      <c r="V382" s="124">
        <v>2</v>
      </c>
      <c r="W382" s="124">
        <v>0</v>
      </c>
      <c r="X382" s="124">
        <v>0</v>
      </c>
      <c r="Y382">
        <f t="shared" si="48"/>
        <v>2</v>
      </c>
      <c r="Z382">
        <f t="shared" si="49"/>
        <v>5</v>
      </c>
      <c r="AA382" s="124">
        <v>3</v>
      </c>
      <c r="AB382" s="124">
        <v>0</v>
      </c>
      <c r="AC382" s="124">
        <v>3</v>
      </c>
      <c r="AD382" s="124">
        <v>0</v>
      </c>
      <c r="AE382" s="124">
        <v>0</v>
      </c>
      <c r="AF382" s="124">
        <v>0</v>
      </c>
      <c r="AG382" s="124">
        <v>0</v>
      </c>
      <c r="AH382" s="124">
        <v>1</v>
      </c>
      <c r="AJ382" t="s">
        <v>408</v>
      </c>
    </row>
    <row r="383" spans="1:36">
      <c r="A383" s="124">
        <v>6336</v>
      </c>
      <c r="B383" t="s">
        <v>21</v>
      </c>
      <c r="C383" s="6">
        <v>18</v>
      </c>
      <c r="D383" s="124">
        <v>2</v>
      </c>
      <c r="E383" s="124">
        <v>0</v>
      </c>
      <c r="F383" s="124">
        <v>0</v>
      </c>
      <c r="G383" s="124">
        <v>0</v>
      </c>
      <c r="H383" s="124">
        <v>0</v>
      </c>
      <c r="I383">
        <f t="shared" si="50"/>
        <v>0</v>
      </c>
      <c r="J383" s="124">
        <v>0</v>
      </c>
      <c r="K383" s="124">
        <v>0</v>
      </c>
      <c r="L383" s="124">
        <v>0</v>
      </c>
      <c r="M383" s="124">
        <v>0</v>
      </c>
      <c r="N383" s="59">
        <f t="shared" si="51"/>
        <v>0</v>
      </c>
      <c r="O383" s="59">
        <f t="shared" si="52"/>
        <v>0</v>
      </c>
      <c r="P383" s="124">
        <v>0</v>
      </c>
      <c r="Q383" s="124">
        <v>1</v>
      </c>
      <c r="R383" s="124">
        <v>2</v>
      </c>
      <c r="S383" s="124">
        <v>0</v>
      </c>
      <c r="T383">
        <f t="shared" si="53"/>
        <v>3</v>
      </c>
      <c r="U383" s="124">
        <v>0</v>
      </c>
      <c r="V383" s="124">
        <v>0</v>
      </c>
      <c r="W383" s="124">
        <v>1</v>
      </c>
      <c r="X383" s="124">
        <v>0</v>
      </c>
      <c r="Y383">
        <f t="shared" si="48"/>
        <v>1</v>
      </c>
      <c r="Z383">
        <f t="shared" si="49"/>
        <v>4</v>
      </c>
      <c r="AA383" s="124">
        <v>0</v>
      </c>
      <c r="AB383" s="124">
        <v>0</v>
      </c>
      <c r="AC383" s="124">
        <v>1</v>
      </c>
      <c r="AD383" s="124">
        <v>0</v>
      </c>
      <c r="AE383" s="124">
        <v>0</v>
      </c>
      <c r="AF383" s="124">
        <v>0</v>
      </c>
      <c r="AG383" s="124">
        <v>18</v>
      </c>
      <c r="AH383" s="124">
        <v>0</v>
      </c>
      <c r="AJ383" t="s">
        <v>408</v>
      </c>
    </row>
    <row r="384" spans="1:36">
      <c r="A384" s="124">
        <v>2013</v>
      </c>
      <c r="B384" t="s">
        <v>20</v>
      </c>
      <c r="C384" s="6">
        <v>19</v>
      </c>
      <c r="D384" s="124">
        <v>1</v>
      </c>
      <c r="E384" s="124">
        <v>0</v>
      </c>
      <c r="F384" s="124">
        <v>0</v>
      </c>
      <c r="G384" s="124">
        <v>0</v>
      </c>
      <c r="H384" s="124">
        <v>0</v>
      </c>
      <c r="I384">
        <f t="shared" si="50"/>
        <v>0</v>
      </c>
      <c r="J384" s="124">
        <v>0</v>
      </c>
      <c r="K384" s="124">
        <v>0</v>
      </c>
      <c r="L384" s="124">
        <v>0</v>
      </c>
      <c r="M384" s="124">
        <v>0</v>
      </c>
      <c r="N384" s="59">
        <f t="shared" si="51"/>
        <v>0</v>
      </c>
      <c r="O384" s="59">
        <f t="shared" si="52"/>
        <v>0</v>
      </c>
      <c r="P384" s="124">
        <v>0</v>
      </c>
      <c r="Q384" s="124">
        <v>0</v>
      </c>
      <c r="R384" s="124">
        <v>0</v>
      </c>
      <c r="S384" s="124">
        <v>0</v>
      </c>
      <c r="T384">
        <f t="shared" si="53"/>
        <v>0</v>
      </c>
      <c r="U384" s="124">
        <v>0</v>
      </c>
      <c r="V384" s="124">
        <v>0</v>
      </c>
      <c r="W384" s="124">
        <v>0</v>
      </c>
      <c r="X384" s="124">
        <v>0</v>
      </c>
      <c r="Y384">
        <f t="shared" si="48"/>
        <v>0</v>
      </c>
      <c r="Z384">
        <f t="shared" si="49"/>
        <v>0</v>
      </c>
      <c r="AA384" s="124">
        <v>97</v>
      </c>
      <c r="AB384" s="124">
        <v>0</v>
      </c>
      <c r="AC384" s="124">
        <v>1</v>
      </c>
      <c r="AD384" s="124">
        <v>0</v>
      </c>
      <c r="AE384" s="124">
        <v>0</v>
      </c>
      <c r="AF384" s="124">
        <v>0</v>
      </c>
      <c r="AG384" s="124">
        <v>3</v>
      </c>
      <c r="AH384" s="124">
        <v>0</v>
      </c>
      <c r="AJ384" t="s">
        <v>408</v>
      </c>
    </row>
    <row r="385" spans="1:36">
      <c r="A385" s="124">
        <v>6461</v>
      </c>
      <c r="B385" t="s">
        <v>20</v>
      </c>
      <c r="C385" s="6">
        <v>20</v>
      </c>
      <c r="D385" s="124">
        <v>2</v>
      </c>
      <c r="E385" s="124">
        <v>0</v>
      </c>
      <c r="F385" s="124">
        <v>0</v>
      </c>
      <c r="G385" s="124">
        <v>0</v>
      </c>
      <c r="H385" s="124">
        <v>0</v>
      </c>
      <c r="I385">
        <f t="shared" si="50"/>
        <v>0</v>
      </c>
      <c r="J385" s="124">
        <v>0</v>
      </c>
      <c r="K385" s="124">
        <v>0</v>
      </c>
      <c r="L385" s="124">
        <v>0</v>
      </c>
      <c r="M385" s="124">
        <v>0</v>
      </c>
      <c r="N385" s="59">
        <f t="shared" si="51"/>
        <v>0</v>
      </c>
      <c r="O385" s="59">
        <f t="shared" si="52"/>
        <v>0</v>
      </c>
      <c r="P385" s="124">
        <v>0</v>
      </c>
      <c r="Q385" s="124">
        <v>1</v>
      </c>
      <c r="R385" s="124">
        <v>0</v>
      </c>
      <c r="S385" s="124">
        <v>0</v>
      </c>
      <c r="T385">
        <f t="shared" si="53"/>
        <v>1</v>
      </c>
      <c r="U385" s="124">
        <v>0</v>
      </c>
      <c r="V385" s="124">
        <v>0</v>
      </c>
      <c r="W385" s="124">
        <v>0</v>
      </c>
      <c r="X385" s="124">
        <v>0</v>
      </c>
      <c r="Y385">
        <f t="shared" si="48"/>
        <v>0</v>
      </c>
      <c r="Z385">
        <f t="shared" si="49"/>
        <v>1</v>
      </c>
      <c r="AA385" s="124">
        <v>0</v>
      </c>
      <c r="AB385" s="124">
        <v>0</v>
      </c>
      <c r="AC385" s="124">
        <v>1</v>
      </c>
      <c r="AD385" s="124">
        <v>0</v>
      </c>
      <c r="AE385" s="124">
        <v>0</v>
      </c>
      <c r="AF385" s="124">
        <v>0</v>
      </c>
      <c r="AG385" s="124">
        <v>0</v>
      </c>
      <c r="AH385" s="124">
        <v>0</v>
      </c>
      <c r="AJ385" t="s">
        <v>408</v>
      </c>
    </row>
    <row r="386" spans="1:36">
      <c r="A386" s="124">
        <v>6461</v>
      </c>
      <c r="B386" t="s">
        <v>21</v>
      </c>
      <c r="C386" s="6">
        <v>22</v>
      </c>
      <c r="D386" s="124">
        <v>1</v>
      </c>
      <c r="E386" s="124">
        <v>0</v>
      </c>
      <c r="F386" s="124">
        <v>0</v>
      </c>
      <c r="G386" s="124">
        <v>0</v>
      </c>
      <c r="H386" s="124">
        <v>0</v>
      </c>
      <c r="I386">
        <f t="shared" si="50"/>
        <v>0</v>
      </c>
      <c r="J386" s="124">
        <v>0</v>
      </c>
      <c r="K386" s="124">
        <v>0</v>
      </c>
      <c r="L386" s="124">
        <v>0</v>
      </c>
      <c r="M386" s="124">
        <v>0</v>
      </c>
      <c r="N386" s="59">
        <f t="shared" si="51"/>
        <v>0</v>
      </c>
      <c r="O386" s="59">
        <f t="shared" si="52"/>
        <v>0</v>
      </c>
      <c r="P386" s="124">
        <v>1</v>
      </c>
      <c r="Q386" s="124">
        <v>2</v>
      </c>
      <c r="R386" s="124">
        <v>0</v>
      </c>
      <c r="S386" s="124">
        <v>0</v>
      </c>
      <c r="T386">
        <f t="shared" si="53"/>
        <v>3</v>
      </c>
      <c r="U386" s="124">
        <v>0</v>
      </c>
      <c r="V386" s="124">
        <v>0</v>
      </c>
      <c r="W386" s="124">
        <v>0</v>
      </c>
      <c r="X386" s="124">
        <v>0</v>
      </c>
      <c r="Y386">
        <f t="shared" si="48"/>
        <v>0</v>
      </c>
      <c r="Z386">
        <f t="shared" si="49"/>
        <v>3</v>
      </c>
      <c r="AA386" s="124">
        <v>0</v>
      </c>
      <c r="AB386" s="124">
        <v>0</v>
      </c>
      <c r="AC386" s="124">
        <v>1</v>
      </c>
      <c r="AD386" s="124">
        <v>0</v>
      </c>
      <c r="AE386" s="124">
        <v>0</v>
      </c>
      <c r="AF386" s="124">
        <v>0</v>
      </c>
      <c r="AG386" s="124">
        <v>0</v>
      </c>
      <c r="AH386" s="124">
        <v>0</v>
      </c>
      <c r="AJ386" t="s">
        <v>408</v>
      </c>
    </row>
    <row r="387" spans="1:36">
      <c r="A387" s="124">
        <v>1305</v>
      </c>
      <c r="B387" t="s">
        <v>21</v>
      </c>
      <c r="C387" s="6">
        <v>23</v>
      </c>
      <c r="D387" s="124">
        <v>1</v>
      </c>
      <c r="E387" s="124">
        <v>0</v>
      </c>
      <c r="F387" s="124">
        <v>1</v>
      </c>
      <c r="G387" s="124">
        <v>0</v>
      </c>
      <c r="H387" s="124">
        <v>0</v>
      </c>
      <c r="I387">
        <f t="shared" si="50"/>
        <v>1</v>
      </c>
      <c r="J387" s="124">
        <v>0</v>
      </c>
      <c r="K387" s="124">
        <v>0</v>
      </c>
      <c r="L387" s="124">
        <v>0</v>
      </c>
      <c r="M387" s="124">
        <v>0</v>
      </c>
      <c r="N387" s="59">
        <f t="shared" si="51"/>
        <v>0</v>
      </c>
      <c r="O387" s="59">
        <f t="shared" si="52"/>
        <v>1</v>
      </c>
      <c r="P387" s="124">
        <v>0</v>
      </c>
      <c r="Q387" s="124">
        <v>1</v>
      </c>
      <c r="R387" s="124">
        <v>2</v>
      </c>
      <c r="S387" s="124">
        <v>1</v>
      </c>
      <c r="T387">
        <f t="shared" si="53"/>
        <v>4</v>
      </c>
      <c r="U387" s="124">
        <v>0</v>
      </c>
      <c r="V387" s="124">
        <v>2</v>
      </c>
      <c r="W387" s="124">
        <v>1</v>
      </c>
      <c r="X387" s="124">
        <v>0</v>
      </c>
      <c r="Y387">
        <f t="shared" si="48"/>
        <v>3</v>
      </c>
      <c r="Z387">
        <f t="shared" si="49"/>
        <v>7</v>
      </c>
      <c r="AA387" s="124">
        <v>0</v>
      </c>
      <c r="AB387" s="124">
        <v>0</v>
      </c>
      <c r="AC387" s="124">
        <v>3</v>
      </c>
      <c r="AD387" s="124">
        <v>0</v>
      </c>
      <c r="AE387" s="124">
        <v>0</v>
      </c>
      <c r="AF387" s="124">
        <v>0</v>
      </c>
      <c r="AG387" s="124">
        <v>0</v>
      </c>
      <c r="AH387" s="124">
        <v>0</v>
      </c>
      <c r="AJ387" t="s">
        <v>408</v>
      </c>
    </row>
    <row r="388" spans="1:36">
      <c r="A388" s="124">
        <v>1305</v>
      </c>
      <c r="B388" t="s">
        <v>20</v>
      </c>
      <c r="C388" s="6">
        <v>47</v>
      </c>
      <c r="D388" s="124">
        <v>1</v>
      </c>
      <c r="E388" s="124">
        <v>1</v>
      </c>
      <c r="F388" s="124">
        <v>0</v>
      </c>
      <c r="G388" s="124">
        <v>0</v>
      </c>
      <c r="H388" s="124">
        <v>0</v>
      </c>
      <c r="I388">
        <f t="shared" si="50"/>
        <v>1</v>
      </c>
      <c r="J388" s="124">
        <v>0</v>
      </c>
      <c r="K388" s="124">
        <v>0</v>
      </c>
      <c r="L388" s="124">
        <v>0</v>
      </c>
      <c r="M388" s="124">
        <v>0</v>
      </c>
      <c r="N388" s="59">
        <f t="shared" si="51"/>
        <v>0</v>
      </c>
      <c r="O388" s="59">
        <f t="shared" si="52"/>
        <v>1</v>
      </c>
      <c r="P388" s="124">
        <v>0</v>
      </c>
      <c r="Q388" s="124">
        <v>3</v>
      </c>
      <c r="R388" s="124">
        <v>0</v>
      </c>
      <c r="S388" s="124">
        <v>0</v>
      </c>
      <c r="T388">
        <f t="shared" si="53"/>
        <v>3</v>
      </c>
      <c r="U388" s="124">
        <v>0</v>
      </c>
      <c r="V388" s="124">
        <v>1</v>
      </c>
      <c r="W388" s="124">
        <v>0</v>
      </c>
      <c r="X388" s="124">
        <v>0</v>
      </c>
      <c r="Y388">
        <f t="shared" si="48"/>
        <v>1</v>
      </c>
      <c r="Z388">
        <f t="shared" si="49"/>
        <v>4</v>
      </c>
      <c r="AA388" s="124">
        <v>0</v>
      </c>
      <c r="AB388" s="124">
        <v>0</v>
      </c>
      <c r="AC388" s="124">
        <v>3</v>
      </c>
      <c r="AD388" s="124">
        <v>0</v>
      </c>
      <c r="AE388" s="124">
        <v>0</v>
      </c>
      <c r="AF388" s="124">
        <v>0</v>
      </c>
      <c r="AG388" s="124">
        <v>0</v>
      </c>
      <c r="AH388" s="124">
        <v>0</v>
      </c>
      <c r="AJ388" t="s">
        <v>408</v>
      </c>
    </row>
    <row r="389" spans="1:36">
      <c r="A389" s="124">
        <v>2013</v>
      </c>
      <c r="B389" t="s">
        <v>21</v>
      </c>
      <c r="C389" s="6">
        <v>38</v>
      </c>
      <c r="D389" s="124">
        <v>2</v>
      </c>
      <c r="E389" s="124">
        <v>0</v>
      </c>
      <c r="F389" s="124">
        <v>0</v>
      </c>
      <c r="G389" s="124">
        <v>0</v>
      </c>
      <c r="H389" s="124">
        <v>0</v>
      </c>
      <c r="I389">
        <f t="shared" si="50"/>
        <v>0</v>
      </c>
      <c r="J389" s="124">
        <v>0</v>
      </c>
      <c r="K389" s="124">
        <v>0</v>
      </c>
      <c r="L389" s="124">
        <v>0</v>
      </c>
      <c r="M389" s="124">
        <v>0</v>
      </c>
      <c r="N389" s="59">
        <f t="shared" si="51"/>
        <v>0</v>
      </c>
      <c r="O389" s="59">
        <f t="shared" si="52"/>
        <v>0</v>
      </c>
      <c r="P389" s="124">
        <v>0</v>
      </c>
      <c r="Q389" s="124">
        <v>0</v>
      </c>
      <c r="R389" s="124">
        <v>0</v>
      </c>
      <c r="S389" s="124">
        <v>0</v>
      </c>
      <c r="T389">
        <f t="shared" si="53"/>
        <v>0</v>
      </c>
      <c r="U389" s="124">
        <v>0</v>
      </c>
      <c r="V389" s="124">
        <v>0</v>
      </c>
      <c r="W389" s="124">
        <v>0</v>
      </c>
      <c r="X389" s="124">
        <v>0</v>
      </c>
      <c r="Y389">
        <f t="shared" si="48"/>
        <v>0</v>
      </c>
      <c r="Z389">
        <f t="shared" si="49"/>
        <v>0</v>
      </c>
      <c r="AA389" s="124">
        <v>15</v>
      </c>
      <c r="AB389" s="124">
        <v>0</v>
      </c>
      <c r="AC389" s="124">
        <v>1</v>
      </c>
      <c r="AD389" s="124">
        <v>0</v>
      </c>
      <c r="AE389" s="124">
        <v>0</v>
      </c>
      <c r="AF389" s="124">
        <v>0</v>
      </c>
      <c r="AG389" s="124">
        <v>16</v>
      </c>
      <c r="AH389" s="124">
        <v>0</v>
      </c>
      <c r="AJ389" t="s">
        <v>408</v>
      </c>
    </row>
    <row r="390" spans="1:36">
      <c r="A390" s="124">
        <v>6461</v>
      </c>
      <c r="B390" t="s">
        <v>20</v>
      </c>
      <c r="C390" s="6">
        <v>39</v>
      </c>
      <c r="D390" s="124">
        <v>1</v>
      </c>
      <c r="E390" s="124">
        <v>0</v>
      </c>
      <c r="F390" s="124">
        <v>0</v>
      </c>
      <c r="G390" s="124">
        <v>0</v>
      </c>
      <c r="H390" s="124">
        <v>0</v>
      </c>
      <c r="I390">
        <f t="shared" si="50"/>
        <v>0</v>
      </c>
      <c r="J390" s="124">
        <v>0</v>
      </c>
      <c r="K390" s="124">
        <v>0</v>
      </c>
      <c r="L390" s="124">
        <v>0</v>
      </c>
      <c r="M390" s="124">
        <v>0</v>
      </c>
      <c r="N390" s="59">
        <f t="shared" si="51"/>
        <v>0</v>
      </c>
      <c r="O390" s="59">
        <f t="shared" si="52"/>
        <v>0</v>
      </c>
      <c r="P390" s="124">
        <v>1</v>
      </c>
      <c r="Q390" s="124">
        <v>0</v>
      </c>
      <c r="R390" s="124">
        <v>0</v>
      </c>
      <c r="S390" s="124">
        <v>0</v>
      </c>
      <c r="T390">
        <f t="shared" si="53"/>
        <v>1</v>
      </c>
      <c r="U390" s="124">
        <v>0</v>
      </c>
      <c r="V390" s="124">
        <v>0</v>
      </c>
      <c r="W390" s="124">
        <v>0</v>
      </c>
      <c r="X390" s="124">
        <v>0</v>
      </c>
      <c r="Y390">
        <f t="shared" si="48"/>
        <v>0</v>
      </c>
      <c r="Z390">
        <f t="shared" si="49"/>
        <v>1</v>
      </c>
      <c r="AA390" s="124">
        <v>50</v>
      </c>
      <c r="AB390" s="124">
        <v>0</v>
      </c>
      <c r="AC390" s="124">
        <v>1</v>
      </c>
      <c r="AD390" s="124">
        <v>0</v>
      </c>
      <c r="AE390" s="124">
        <v>0</v>
      </c>
      <c r="AF390" s="124">
        <v>0</v>
      </c>
      <c r="AG390" s="124">
        <v>0</v>
      </c>
      <c r="AH390" s="124">
        <v>0</v>
      </c>
      <c r="AJ390" t="s">
        <v>408</v>
      </c>
    </row>
    <row r="391" spans="1:36">
      <c r="A391" s="124">
        <v>1305</v>
      </c>
      <c r="B391" t="s">
        <v>20</v>
      </c>
      <c r="C391" s="6">
        <v>40</v>
      </c>
      <c r="D391" s="124">
        <v>1</v>
      </c>
      <c r="E391" s="124">
        <v>0</v>
      </c>
      <c r="F391" s="124">
        <v>1</v>
      </c>
      <c r="G391" s="124">
        <v>0</v>
      </c>
      <c r="H391" s="124">
        <v>0</v>
      </c>
      <c r="I391">
        <f t="shared" si="50"/>
        <v>1</v>
      </c>
      <c r="J391" s="124">
        <v>0</v>
      </c>
      <c r="K391" s="124">
        <v>0</v>
      </c>
      <c r="L391" s="124">
        <v>0</v>
      </c>
      <c r="M391" s="124">
        <v>0</v>
      </c>
      <c r="N391" s="59">
        <f t="shared" si="51"/>
        <v>0</v>
      </c>
      <c r="O391" s="59">
        <f t="shared" si="52"/>
        <v>1</v>
      </c>
      <c r="P391" s="124">
        <v>0</v>
      </c>
      <c r="Q391" s="124">
        <v>1</v>
      </c>
      <c r="R391" s="124">
        <v>1</v>
      </c>
      <c r="S391" s="124">
        <v>1</v>
      </c>
      <c r="T391">
        <f t="shared" si="53"/>
        <v>3</v>
      </c>
      <c r="U391" s="124">
        <v>0</v>
      </c>
      <c r="V391" s="124">
        <v>2</v>
      </c>
      <c r="W391" s="124">
        <v>2</v>
      </c>
      <c r="X391" s="124">
        <v>0</v>
      </c>
      <c r="Y391">
        <f t="shared" si="48"/>
        <v>4</v>
      </c>
      <c r="Z391">
        <f t="shared" si="49"/>
        <v>7</v>
      </c>
      <c r="AA391" s="124">
        <v>0</v>
      </c>
      <c r="AB391" s="124">
        <v>0</v>
      </c>
      <c r="AC391" s="124">
        <v>3</v>
      </c>
      <c r="AD391" s="124">
        <v>0</v>
      </c>
      <c r="AE391" s="124">
        <v>0</v>
      </c>
      <c r="AF391" s="124">
        <v>0</v>
      </c>
      <c r="AG391" s="124">
        <v>0</v>
      </c>
      <c r="AH391" s="124">
        <v>0</v>
      </c>
      <c r="AJ391" t="s">
        <v>408</v>
      </c>
    </row>
    <row r="392" spans="1:36">
      <c r="A392" s="124">
        <v>6336</v>
      </c>
      <c r="B392" t="s">
        <v>21</v>
      </c>
      <c r="C392" s="6">
        <v>41</v>
      </c>
      <c r="D392" s="124">
        <v>2</v>
      </c>
      <c r="E392" s="124">
        <v>0</v>
      </c>
      <c r="F392" s="124">
        <v>0</v>
      </c>
      <c r="G392" s="124">
        <v>0</v>
      </c>
      <c r="H392" s="124">
        <v>0</v>
      </c>
      <c r="I392">
        <f t="shared" si="50"/>
        <v>0</v>
      </c>
      <c r="J392" s="124">
        <v>0</v>
      </c>
      <c r="K392" s="124">
        <v>0</v>
      </c>
      <c r="L392" s="124">
        <v>0</v>
      </c>
      <c r="M392" s="124">
        <v>0</v>
      </c>
      <c r="N392" s="59">
        <f t="shared" si="51"/>
        <v>0</v>
      </c>
      <c r="O392" s="59">
        <f t="shared" si="52"/>
        <v>0</v>
      </c>
      <c r="P392" s="124">
        <v>0</v>
      </c>
      <c r="Q392" s="124">
        <v>2</v>
      </c>
      <c r="R392" s="124">
        <v>0</v>
      </c>
      <c r="S392" s="124">
        <v>0</v>
      </c>
      <c r="T392">
        <f t="shared" si="53"/>
        <v>2</v>
      </c>
      <c r="U392" s="124">
        <v>0</v>
      </c>
      <c r="V392" s="124">
        <v>2</v>
      </c>
      <c r="W392" s="124">
        <v>0</v>
      </c>
      <c r="X392" s="124">
        <v>0</v>
      </c>
      <c r="Y392">
        <f t="shared" si="48"/>
        <v>2</v>
      </c>
      <c r="Z392">
        <f t="shared" si="49"/>
        <v>4</v>
      </c>
      <c r="AA392" s="124">
        <v>0</v>
      </c>
      <c r="AB392" s="124">
        <v>0</v>
      </c>
      <c r="AC392" s="124">
        <v>0</v>
      </c>
      <c r="AD392" s="124">
        <v>0</v>
      </c>
      <c r="AE392" s="124">
        <v>0</v>
      </c>
      <c r="AF392" s="124">
        <v>0</v>
      </c>
      <c r="AG392" s="124">
        <v>0</v>
      </c>
      <c r="AH392" s="124">
        <v>0</v>
      </c>
      <c r="AJ392" t="s">
        <v>408</v>
      </c>
    </row>
    <row r="393" spans="1:36">
      <c r="A393" s="124">
        <v>1305</v>
      </c>
      <c r="B393" t="s">
        <v>20</v>
      </c>
      <c r="C393" s="6">
        <v>45</v>
      </c>
      <c r="D393" s="124">
        <v>1</v>
      </c>
      <c r="E393" s="124">
        <v>0</v>
      </c>
      <c r="F393" s="124">
        <v>1</v>
      </c>
      <c r="G393" s="124">
        <v>0</v>
      </c>
      <c r="H393" s="124">
        <v>0</v>
      </c>
      <c r="I393">
        <f t="shared" si="50"/>
        <v>1</v>
      </c>
      <c r="J393" s="124">
        <v>0</v>
      </c>
      <c r="K393" s="124">
        <v>0</v>
      </c>
      <c r="L393" s="124">
        <v>0</v>
      </c>
      <c r="M393" s="124">
        <v>0</v>
      </c>
      <c r="N393" s="59">
        <f t="shared" si="51"/>
        <v>0</v>
      </c>
      <c r="O393" s="59">
        <f t="shared" si="52"/>
        <v>1</v>
      </c>
      <c r="P393" s="124">
        <v>0</v>
      </c>
      <c r="Q393" s="124">
        <v>3</v>
      </c>
      <c r="R393" s="124">
        <v>0</v>
      </c>
      <c r="S393" s="124">
        <v>0</v>
      </c>
      <c r="T393">
        <f t="shared" si="53"/>
        <v>3</v>
      </c>
      <c r="U393" s="124">
        <v>0</v>
      </c>
      <c r="V393" s="124">
        <v>1</v>
      </c>
      <c r="W393" s="124">
        <v>0</v>
      </c>
      <c r="X393" s="124">
        <v>0</v>
      </c>
      <c r="Y393">
        <f t="shared" si="48"/>
        <v>1</v>
      </c>
      <c r="Z393">
        <f t="shared" si="49"/>
        <v>4</v>
      </c>
      <c r="AA393" s="124">
        <v>0</v>
      </c>
      <c r="AB393" s="124">
        <v>0</v>
      </c>
      <c r="AC393" s="124">
        <v>3</v>
      </c>
      <c r="AD393" s="124">
        <v>0</v>
      </c>
      <c r="AE393" s="124">
        <v>0</v>
      </c>
      <c r="AF393" s="124">
        <v>0</v>
      </c>
      <c r="AG393" s="124">
        <v>0</v>
      </c>
      <c r="AH393" s="124">
        <v>2</v>
      </c>
      <c r="AJ393" t="s">
        <v>408</v>
      </c>
    </row>
    <row r="394" spans="1:36">
      <c r="A394" s="124">
        <v>6461</v>
      </c>
      <c r="B394" t="s">
        <v>20</v>
      </c>
      <c r="C394" s="6">
        <v>46</v>
      </c>
      <c r="D394" s="124">
        <v>1</v>
      </c>
      <c r="E394" s="124">
        <v>0</v>
      </c>
      <c r="F394" s="124">
        <v>0</v>
      </c>
      <c r="G394" s="124">
        <v>0</v>
      </c>
      <c r="H394" s="124">
        <v>0</v>
      </c>
      <c r="I394">
        <f t="shared" si="50"/>
        <v>0</v>
      </c>
      <c r="J394" s="124">
        <v>0</v>
      </c>
      <c r="K394" s="124">
        <v>0</v>
      </c>
      <c r="L394" s="124">
        <v>0</v>
      </c>
      <c r="M394" s="124">
        <v>0</v>
      </c>
      <c r="N394" s="59">
        <f t="shared" si="51"/>
        <v>0</v>
      </c>
      <c r="O394" s="59">
        <f t="shared" si="52"/>
        <v>0</v>
      </c>
      <c r="P394" s="124">
        <v>0</v>
      </c>
      <c r="Q394" s="124">
        <v>1</v>
      </c>
      <c r="R394" s="124">
        <v>0</v>
      </c>
      <c r="S394" s="124">
        <v>0</v>
      </c>
      <c r="T394">
        <f t="shared" si="53"/>
        <v>1</v>
      </c>
      <c r="U394" s="124">
        <v>0</v>
      </c>
      <c r="V394" s="124">
        <v>0</v>
      </c>
      <c r="W394" s="124">
        <v>0</v>
      </c>
      <c r="X394" s="124">
        <v>0</v>
      </c>
      <c r="Y394">
        <f t="shared" si="48"/>
        <v>0</v>
      </c>
      <c r="Z394">
        <f t="shared" si="49"/>
        <v>1</v>
      </c>
      <c r="AA394" s="124">
        <v>85</v>
      </c>
      <c r="AB394" s="124">
        <v>0</v>
      </c>
      <c r="AC394" s="124">
        <v>0</v>
      </c>
      <c r="AD394" s="124">
        <v>0</v>
      </c>
      <c r="AE394" s="124">
        <v>0</v>
      </c>
      <c r="AF394" s="124">
        <v>0</v>
      </c>
      <c r="AG394" s="124">
        <v>3</v>
      </c>
      <c r="AH394" s="124">
        <v>0</v>
      </c>
      <c r="AJ394" t="s">
        <v>408</v>
      </c>
    </row>
    <row r="395" spans="1:36">
      <c r="A395" s="124">
        <v>6336</v>
      </c>
      <c r="B395" t="s">
        <v>21</v>
      </c>
      <c r="C395" s="6">
        <v>47</v>
      </c>
      <c r="D395" s="124">
        <v>2</v>
      </c>
      <c r="E395" s="124">
        <v>0</v>
      </c>
      <c r="F395" s="124">
        <v>0</v>
      </c>
      <c r="G395" s="124">
        <v>0</v>
      </c>
      <c r="H395" s="124">
        <v>0</v>
      </c>
      <c r="I395">
        <f t="shared" si="50"/>
        <v>0</v>
      </c>
      <c r="J395" s="124">
        <v>0</v>
      </c>
      <c r="K395" s="124">
        <v>0</v>
      </c>
      <c r="L395" s="124">
        <v>0</v>
      </c>
      <c r="M395" s="124">
        <v>0</v>
      </c>
      <c r="N395" s="59">
        <f t="shared" si="51"/>
        <v>0</v>
      </c>
      <c r="O395" s="59">
        <f t="shared" si="52"/>
        <v>0</v>
      </c>
      <c r="P395" s="124">
        <v>0</v>
      </c>
      <c r="Q395" s="124">
        <v>2</v>
      </c>
      <c r="R395" s="124">
        <v>0</v>
      </c>
      <c r="S395" s="124">
        <v>1</v>
      </c>
      <c r="T395">
        <f t="shared" si="53"/>
        <v>3</v>
      </c>
      <c r="U395" s="124">
        <v>0</v>
      </c>
      <c r="V395" s="124">
        <v>0</v>
      </c>
      <c r="W395" s="124">
        <v>0</v>
      </c>
      <c r="X395" s="124">
        <v>0</v>
      </c>
      <c r="Y395">
        <f t="shared" si="48"/>
        <v>0</v>
      </c>
      <c r="Z395">
        <f t="shared" si="49"/>
        <v>3</v>
      </c>
      <c r="AA395" s="124">
        <v>0</v>
      </c>
      <c r="AB395" s="124">
        <v>0</v>
      </c>
      <c r="AC395" s="124">
        <v>3</v>
      </c>
      <c r="AD395" s="124">
        <v>1</v>
      </c>
      <c r="AE395" s="124">
        <v>0</v>
      </c>
      <c r="AF395" s="124">
        <v>0</v>
      </c>
      <c r="AG395" s="124">
        <v>0</v>
      </c>
      <c r="AH395" s="124">
        <v>0</v>
      </c>
      <c r="AI395" t="s">
        <v>407</v>
      </c>
      <c r="AJ395" t="s">
        <v>408</v>
      </c>
    </row>
    <row r="396" spans="1:36">
      <c r="A396" s="124">
        <v>2013</v>
      </c>
      <c r="B396" t="s">
        <v>20</v>
      </c>
      <c r="C396" s="6">
        <v>48</v>
      </c>
      <c r="D396" s="124">
        <v>1</v>
      </c>
      <c r="E396" s="124">
        <v>0</v>
      </c>
      <c r="F396" s="124">
        <v>0</v>
      </c>
      <c r="G396" s="124">
        <v>0</v>
      </c>
      <c r="H396" s="124">
        <v>0</v>
      </c>
      <c r="I396">
        <f t="shared" si="50"/>
        <v>0</v>
      </c>
      <c r="J396" s="124">
        <v>0</v>
      </c>
      <c r="K396" s="124">
        <v>0</v>
      </c>
      <c r="L396" s="124">
        <v>0</v>
      </c>
      <c r="M396" s="124">
        <v>0</v>
      </c>
      <c r="N396" s="59">
        <f t="shared" si="51"/>
        <v>0</v>
      </c>
      <c r="O396" s="59">
        <f t="shared" si="52"/>
        <v>0</v>
      </c>
      <c r="P396" s="124">
        <v>0</v>
      </c>
      <c r="Q396" s="124">
        <v>0</v>
      </c>
      <c r="R396" s="124">
        <v>0</v>
      </c>
      <c r="S396" s="124">
        <v>0</v>
      </c>
      <c r="T396">
        <f t="shared" si="53"/>
        <v>0</v>
      </c>
      <c r="U396" s="124">
        <v>0</v>
      </c>
      <c r="V396" s="124">
        <v>0</v>
      </c>
      <c r="W396" s="124">
        <v>0</v>
      </c>
      <c r="X396" s="124">
        <v>0</v>
      </c>
      <c r="Y396">
        <f t="shared" si="48"/>
        <v>0</v>
      </c>
      <c r="Z396">
        <f t="shared" si="49"/>
        <v>0</v>
      </c>
      <c r="AA396" s="124">
        <v>103</v>
      </c>
      <c r="AB396" s="124">
        <v>0</v>
      </c>
      <c r="AC396" s="124">
        <v>1</v>
      </c>
      <c r="AD396" s="124">
        <v>0</v>
      </c>
      <c r="AE396" s="124">
        <v>0</v>
      </c>
      <c r="AF396" s="124">
        <v>0</v>
      </c>
      <c r="AG396" s="124">
        <v>23</v>
      </c>
      <c r="AH396" s="124">
        <v>0</v>
      </c>
      <c r="AJ396" t="s">
        <v>408</v>
      </c>
    </row>
    <row r="397" spans="1:36">
      <c r="A397" s="124">
        <v>6336</v>
      </c>
      <c r="B397" t="s">
        <v>20</v>
      </c>
      <c r="C397" s="6">
        <v>49</v>
      </c>
      <c r="D397" s="124">
        <v>2</v>
      </c>
      <c r="E397" s="124">
        <v>0</v>
      </c>
      <c r="F397" s="124">
        <v>0</v>
      </c>
      <c r="G397" s="124">
        <v>0</v>
      </c>
      <c r="H397" s="124">
        <v>0</v>
      </c>
      <c r="I397">
        <f t="shared" si="50"/>
        <v>0</v>
      </c>
      <c r="J397" s="124">
        <v>0</v>
      </c>
      <c r="K397" s="124">
        <v>0</v>
      </c>
      <c r="L397" s="124">
        <v>0</v>
      </c>
      <c r="M397" s="124">
        <v>0</v>
      </c>
      <c r="N397" s="59">
        <f t="shared" si="51"/>
        <v>0</v>
      </c>
      <c r="O397" s="59">
        <f t="shared" si="52"/>
        <v>0</v>
      </c>
      <c r="P397" s="124">
        <v>0</v>
      </c>
      <c r="Q397" s="124">
        <v>2</v>
      </c>
      <c r="R397" s="124">
        <v>0</v>
      </c>
      <c r="S397" s="124">
        <v>1</v>
      </c>
      <c r="T397">
        <f t="shared" si="53"/>
        <v>3</v>
      </c>
      <c r="U397" s="124">
        <v>0</v>
      </c>
      <c r="V397" s="124">
        <v>0</v>
      </c>
      <c r="W397" s="124">
        <v>0</v>
      </c>
      <c r="X397" s="124">
        <v>0</v>
      </c>
      <c r="Y397">
        <f t="shared" si="48"/>
        <v>0</v>
      </c>
      <c r="Z397">
        <f t="shared" si="49"/>
        <v>3</v>
      </c>
      <c r="AA397" s="124">
        <v>0</v>
      </c>
      <c r="AB397" s="124">
        <v>0</v>
      </c>
      <c r="AC397" s="124">
        <v>3</v>
      </c>
      <c r="AD397" s="124">
        <v>0</v>
      </c>
      <c r="AE397" s="124">
        <v>0</v>
      </c>
      <c r="AF397" s="124">
        <v>0</v>
      </c>
      <c r="AG397" s="124">
        <v>0</v>
      </c>
      <c r="AH397" s="124">
        <v>0</v>
      </c>
      <c r="AJ397" t="s">
        <v>408</v>
      </c>
    </row>
    <row r="398" spans="1:36">
      <c r="A398" s="124">
        <v>1305</v>
      </c>
      <c r="B398" t="s">
        <v>20</v>
      </c>
      <c r="C398" s="6">
        <v>52</v>
      </c>
      <c r="D398" s="124">
        <v>1</v>
      </c>
      <c r="E398" s="124">
        <v>1</v>
      </c>
      <c r="F398" s="124">
        <v>0</v>
      </c>
      <c r="G398" s="124">
        <v>0</v>
      </c>
      <c r="H398" s="124">
        <v>0</v>
      </c>
      <c r="I398">
        <f t="shared" si="50"/>
        <v>1</v>
      </c>
      <c r="J398" s="124">
        <v>0</v>
      </c>
      <c r="K398" s="124">
        <v>0</v>
      </c>
      <c r="L398" s="124">
        <v>0</v>
      </c>
      <c r="M398" s="124">
        <v>0</v>
      </c>
      <c r="N398" s="59">
        <f t="shared" si="51"/>
        <v>0</v>
      </c>
      <c r="O398" s="59">
        <f t="shared" si="52"/>
        <v>1</v>
      </c>
      <c r="P398" s="124">
        <v>0</v>
      </c>
      <c r="Q398" s="124">
        <v>2</v>
      </c>
      <c r="R398" s="124">
        <v>0</v>
      </c>
      <c r="S398" s="124">
        <v>0</v>
      </c>
      <c r="T398">
        <f t="shared" si="53"/>
        <v>2</v>
      </c>
      <c r="U398" s="124">
        <v>0</v>
      </c>
      <c r="V398" s="124">
        <v>0</v>
      </c>
      <c r="W398" s="124">
        <v>0</v>
      </c>
      <c r="X398" s="124">
        <v>0</v>
      </c>
      <c r="Y398">
        <f t="shared" si="48"/>
        <v>0</v>
      </c>
      <c r="Z398">
        <f t="shared" si="49"/>
        <v>2</v>
      </c>
      <c r="AA398" s="124">
        <v>0</v>
      </c>
      <c r="AB398" s="124">
        <v>0</v>
      </c>
      <c r="AC398" s="124">
        <v>3</v>
      </c>
      <c r="AD398" s="124">
        <v>0</v>
      </c>
      <c r="AE398" s="124">
        <v>0</v>
      </c>
      <c r="AF398" s="124">
        <v>0</v>
      </c>
      <c r="AG398" s="124">
        <v>0</v>
      </c>
      <c r="AH398" s="124">
        <v>1</v>
      </c>
      <c r="AJ398" t="s">
        <v>408</v>
      </c>
    </row>
    <row r="399" spans="1:36">
      <c r="A399" s="124">
        <v>1334</v>
      </c>
      <c r="B399" t="s">
        <v>21</v>
      </c>
      <c r="C399" s="6">
        <v>1</v>
      </c>
      <c r="D399" s="124">
        <v>0</v>
      </c>
      <c r="E399" s="124">
        <v>0</v>
      </c>
      <c r="F399" s="124">
        <v>0</v>
      </c>
      <c r="G399" s="124">
        <v>0</v>
      </c>
      <c r="H399" s="124">
        <v>0</v>
      </c>
      <c r="I399">
        <f>SUM($E399:$H399)</f>
        <v>0</v>
      </c>
      <c r="J399" s="124">
        <v>0</v>
      </c>
      <c r="K399" s="124">
        <v>0</v>
      </c>
      <c r="L399" s="124">
        <v>0</v>
      </c>
      <c r="M399" s="124">
        <v>0</v>
      </c>
      <c r="N399" s="59">
        <f>SUM($J399:$M399)</f>
        <v>0</v>
      </c>
      <c r="O399" s="59">
        <f>SUM($E399:$H399, $J399:$M399)</f>
        <v>0</v>
      </c>
      <c r="P399" s="124">
        <v>0</v>
      </c>
      <c r="Q399" s="124">
        <v>1</v>
      </c>
      <c r="R399" s="124">
        <v>0</v>
      </c>
      <c r="S399" s="124">
        <v>0</v>
      </c>
      <c r="T399">
        <f>SUM($P399:$S399)</f>
        <v>1</v>
      </c>
      <c r="U399" s="124">
        <v>0</v>
      </c>
      <c r="V399" s="124">
        <v>0</v>
      </c>
      <c r="W399" s="124">
        <v>0</v>
      </c>
      <c r="X399" s="124">
        <v>0</v>
      </c>
      <c r="Y399">
        <f>SUM($U399:$X399)</f>
        <v>0</v>
      </c>
      <c r="Z399">
        <f>SUM($P399:$S399, $U399:$X399)</f>
        <v>1</v>
      </c>
      <c r="AA399" s="124">
        <v>0</v>
      </c>
      <c r="AB399" s="124">
        <v>0</v>
      </c>
      <c r="AC399" s="124">
        <v>0</v>
      </c>
      <c r="AD399" s="124">
        <v>0</v>
      </c>
      <c r="AE399" s="124">
        <v>0</v>
      </c>
      <c r="AF399" s="124">
        <v>0</v>
      </c>
      <c r="AG399" s="124">
        <v>0</v>
      </c>
      <c r="AH399" s="124">
        <v>0</v>
      </c>
      <c r="AJ399" t="s">
        <v>412</v>
      </c>
    </row>
    <row r="400" spans="1:36">
      <c r="A400" s="124">
        <v>2706</v>
      </c>
      <c r="B400" t="s">
        <v>20</v>
      </c>
      <c r="C400" s="6">
        <v>2</v>
      </c>
      <c r="D400" s="124">
        <v>1</v>
      </c>
      <c r="E400" s="124">
        <v>1</v>
      </c>
      <c r="F400" s="124">
        <v>0</v>
      </c>
      <c r="G400" s="124">
        <v>0</v>
      </c>
      <c r="H400" s="124">
        <v>0</v>
      </c>
      <c r="I400">
        <f t="shared" ref="I400:I443" si="54">SUM($E400:$H400)</f>
        <v>1</v>
      </c>
      <c r="J400" s="124">
        <v>0</v>
      </c>
      <c r="K400" s="124">
        <v>0</v>
      </c>
      <c r="L400" s="124">
        <v>0</v>
      </c>
      <c r="M400" s="124">
        <v>0</v>
      </c>
      <c r="N400" s="59">
        <f t="shared" ref="N400:N443" si="55">SUM($J400:$M400)</f>
        <v>0</v>
      </c>
      <c r="O400" s="59">
        <f t="shared" ref="O400:O443" si="56">SUM($E400:$H400, $J400:$M400)</f>
        <v>1</v>
      </c>
      <c r="P400" s="124">
        <v>0</v>
      </c>
      <c r="Q400" s="124">
        <v>0</v>
      </c>
      <c r="R400" s="124">
        <v>0</v>
      </c>
      <c r="S400" s="124">
        <v>0</v>
      </c>
      <c r="T400">
        <f t="shared" ref="T400:T443" si="57">SUM($P400:$S400)</f>
        <v>0</v>
      </c>
      <c r="U400" s="124">
        <v>0</v>
      </c>
      <c r="V400" s="124">
        <v>0</v>
      </c>
      <c r="W400" s="124">
        <v>0</v>
      </c>
      <c r="X400" s="124">
        <v>0</v>
      </c>
      <c r="Y400">
        <f t="shared" ref="Y400:Y443" si="58">SUM($U400:$X400)</f>
        <v>0</v>
      </c>
      <c r="Z400">
        <f t="shared" ref="Z400:Z443" si="59">SUM($P400:$S400, $U400:$X400)</f>
        <v>0</v>
      </c>
      <c r="AA400" s="124">
        <v>0</v>
      </c>
      <c r="AB400" s="124">
        <v>0</v>
      </c>
      <c r="AC400" s="124">
        <v>0</v>
      </c>
      <c r="AD400" s="124">
        <v>0</v>
      </c>
      <c r="AE400" s="124">
        <v>0</v>
      </c>
      <c r="AF400" s="124">
        <v>0</v>
      </c>
      <c r="AG400" s="124">
        <v>0</v>
      </c>
      <c r="AH400" s="124">
        <v>0</v>
      </c>
      <c r="AJ400" t="s">
        <v>412</v>
      </c>
    </row>
    <row r="401" spans="1:36">
      <c r="A401" s="124">
        <v>1246</v>
      </c>
      <c r="B401" t="s">
        <v>20</v>
      </c>
      <c r="C401" s="6">
        <v>3</v>
      </c>
      <c r="D401" s="124">
        <v>0</v>
      </c>
      <c r="E401" s="124">
        <v>0</v>
      </c>
      <c r="F401" s="124">
        <v>0</v>
      </c>
      <c r="G401" s="124">
        <v>0</v>
      </c>
      <c r="H401" s="124">
        <v>0</v>
      </c>
      <c r="I401">
        <f t="shared" si="54"/>
        <v>0</v>
      </c>
      <c r="J401" s="124">
        <v>0</v>
      </c>
      <c r="K401" s="124">
        <v>0</v>
      </c>
      <c r="L401" s="124">
        <v>0</v>
      </c>
      <c r="M401" s="124">
        <v>0</v>
      </c>
      <c r="N401" s="59">
        <f t="shared" si="55"/>
        <v>0</v>
      </c>
      <c r="O401" s="59">
        <f t="shared" si="56"/>
        <v>0</v>
      </c>
      <c r="P401" s="124">
        <v>0</v>
      </c>
      <c r="Q401" s="124">
        <v>0</v>
      </c>
      <c r="R401" s="124">
        <v>0</v>
      </c>
      <c r="S401" s="124">
        <v>0</v>
      </c>
      <c r="T401">
        <f t="shared" si="57"/>
        <v>0</v>
      </c>
      <c r="U401" s="124">
        <v>0</v>
      </c>
      <c r="V401" s="124">
        <v>0</v>
      </c>
      <c r="W401" s="124">
        <v>0</v>
      </c>
      <c r="X401" s="124">
        <v>0</v>
      </c>
      <c r="Y401">
        <f t="shared" si="58"/>
        <v>0</v>
      </c>
      <c r="Z401">
        <f t="shared" si="59"/>
        <v>0</v>
      </c>
      <c r="AA401" s="124">
        <v>0</v>
      </c>
      <c r="AB401" s="124">
        <v>0</v>
      </c>
      <c r="AC401" s="124">
        <v>0</v>
      </c>
      <c r="AD401" s="124">
        <v>0</v>
      </c>
      <c r="AE401" s="124">
        <v>1</v>
      </c>
      <c r="AF401" s="124">
        <v>0</v>
      </c>
      <c r="AG401" s="124">
        <v>0</v>
      </c>
      <c r="AH401" s="124">
        <v>0</v>
      </c>
      <c r="AI401" t="s">
        <v>409</v>
      </c>
      <c r="AJ401" t="s">
        <v>412</v>
      </c>
    </row>
    <row r="402" spans="1:36">
      <c r="A402" s="124">
        <v>7476</v>
      </c>
      <c r="B402" t="s">
        <v>20</v>
      </c>
      <c r="C402" s="6">
        <v>3</v>
      </c>
      <c r="D402" s="124">
        <v>1</v>
      </c>
      <c r="E402" s="124">
        <v>0</v>
      </c>
      <c r="F402" s="124">
        <v>0</v>
      </c>
      <c r="G402" s="124">
        <v>0</v>
      </c>
      <c r="H402" s="124">
        <v>0</v>
      </c>
      <c r="I402">
        <f t="shared" si="54"/>
        <v>0</v>
      </c>
      <c r="J402" s="124">
        <v>0</v>
      </c>
      <c r="K402" s="124">
        <v>0</v>
      </c>
      <c r="L402" s="124">
        <v>0</v>
      </c>
      <c r="M402" s="124">
        <v>0</v>
      </c>
      <c r="N402" s="59">
        <f t="shared" si="55"/>
        <v>0</v>
      </c>
      <c r="O402" s="59">
        <f t="shared" si="56"/>
        <v>0</v>
      </c>
      <c r="P402" s="124">
        <v>1</v>
      </c>
      <c r="Q402" s="124">
        <v>0</v>
      </c>
      <c r="R402" s="124">
        <v>0</v>
      </c>
      <c r="S402" s="124">
        <v>0</v>
      </c>
      <c r="T402">
        <f t="shared" si="57"/>
        <v>1</v>
      </c>
      <c r="U402" s="124">
        <v>2</v>
      </c>
      <c r="V402" s="124">
        <v>0</v>
      </c>
      <c r="W402" s="124">
        <v>0</v>
      </c>
      <c r="X402" s="124">
        <v>0</v>
      </c>
      <c r="Y402">
        <f t="shared" si="58"/>
        <v>2</v>
      </c>
      <c r="Z402">
        <f t="shared" si="59"/>
        <v>3</v>
      </c>
      <c r="AA402" s="124">
        <v>0</v>
      </c>
      <c r="AB402" s="124">
        <v>0</v>
      </c>
      <c r="AC402" s="124">
        <v>1</v>
      </c>
      <c r="AD402" s="124">
        <v>0</v>
      </c>
      <c r="AE402" s="124">
        <v>0</v>
      </c>
      <c r="AF402" s="124">
        <v>1</v>
      </c>
      <c r="AG402" s="124">
        <v>0</v>
      </c>
      <c r="AH402" s="124">
        <v>0</v>
      </c>
      <c r="AJ402" t="s">
        <v>412</v>
      </c>
    </row>
    <row r="403" spans="1:36">
      <c r="A403" s="124">
        <v>1246</v>
      </c>
      <c r="B403" t="s">
        <v>20</v>
      </c>
      <c r="C403" s="6">
        <v>6</v>
      </c>
      <c r="D403" s="124">
        <v>1</v>
      </c>
      <c r="E403" s="124">
        <v>0</v>
      </c>
      <c r="F403" s="124">
        <v>0</v>
      </c>
      <c r="G403" s="124">
        <v>0</v>
      </c>
      <c r="H403" s="124">
        <v>0</v>
      </c>
      <c r="I403">
        <f t="shared" si="54"/>
        <v>0</v>
      </c>
      <c r="J403" s="124">
        <v>0</v>
      </c>
      <c r="K403" s="124">
        <v>0</v>
      </c>
      <c r="L403" s="124">
        <v>0</v>
      </c>
      <c r="M403" s="124">
        <v>0</v>
      </c>
      <c r="N403" s="59">
        <f t="shared" si="55"/>
        <v>0</v>
      </c>
      <c r="O403" s="59">
        <f t="shared" si="56"/>
        <v>0</v>
      </c>
      <c r="P403" s="124">
        <v>0</v>
      </c>
      <c r="Q403" s="124">
        <v>0</v>
      </c>
      <c r="R403" s="124">
        <v>0</v>
      </c>
      <c r="S403" s="124">
        <v>0</v>
      </c>
      <c r="T403">
        <f t="shared" si="57"/>
        <v>0</v>
      </c>
      <c r="U403" s="124">
        <v>3</v>
      </c>
      <c r="V403" s="124">
        <v>0</v>
      </c>
      <c r="W403" s="124">
        <v>0</v>
      </c>
      <c r="X403" s="124">
        <v>0</v>
      </c>
      <c r="Y403">
        <f t="shared" si="58"/>
        <v>3</v>
      </c>
      <c r="Z403">
        <f t="shared" si="59"/>
        <v>3</v>
      </c>
      <c r="AA403" s="124">
        <v>20</v>
      </c>
      <c r="AB403" s="124">
        <v>0</v>
      </c>
      <c r="AC403" s="124">
        <v>1</v>
      </c>
      <c r="AD403" s="124">
        <v>0</v>
      </c>
      <c r="AE403" s="124">
        <v>0</v>
      </c>
      <c r="AF403" s="124">
        <v>0</v>
      </c>
      <c r="AG403" s="124">
        <v>0</v>
      </c>
      <c r="AH403" s="124">
        <v>0</v>
      </c>
      <c r="AI403" s="124"/>
      <c r="AJ403" t="s">
        <v>412</v>
      </c>
    </row>
    <row r="404" spans="1:36">
      <c r="A404" s="124">
        <v>1334</v>
      </c>
      <c r="B404" t="s">
        <v>21</v>
      </c>
      <c r="C404" s="6">
        <v>7</v>
      </c>
      <c r="D404" s="124">
        <v>0</v>
      </c>
      <c r="E404" s="124">
        <v>0</v>
      </c>
      <c r="F404" s="124">
        <v>0</v>
      </c>
      <c r="G404" s="124">
        <v>0</v>
      </c>
      <c r="H404" s="124">
        <v>0</v>
      </c>
      <c r="I404">
        <f t="shared" si="54"/>
        <v>0</v>
      </c>
      <c r="J404" s="124">
        <v>0</v>
      </c>
      <c r="K404" s="124">
        <v>0</v>
      </c>
      <c r="L404" s="124">
        <v>0</v>
      </c>
      <c r="M404" s="124">
        <v>0</v>
      </c>
      <c r="N404" s="59">
        <f t="shared" si="55"/>
        <v>0</v>
      </c>
      <c r="O404" s="59">
        <f t="shared" si="56"/>
        <v>0</v>
      </c>
      <c r="P404" s="124">
        <v>0</v>
      </c>
      <c r="Q404" s="124">
        <v>0</v>
      </c>
      <c r="R404" s="124">
        <v>0</v>
      </c>
      <c r="S404" s="124">
        <v>0</v>
      </c>
      <c r="T404">
        <f t="shared" si="57"/>
        <v>0</v>
      </c>
      <c r="U404" s="124">
        <v>0</v>
      </c>
      <c r="V404" s="124">
        <v>0</v>
      </c>
      <c r="W404" s="124">
        <v>0</v>
      </c>
      <c r="X404" s="124">
        <v>0</v>
      </c>
      <c r="Y404">
        <f t="shared" si="58"/>
        <v>0</v>
      </c>
      <c r="Z404">
        <f t="shared" si="59"/>
        <v>0</v>
      </c>
      <c r="AA404" s="124">
        <v>0</v>
      </c>
      <c r="AB404" s="124">
        <v>0</v>
      </c>
      <c r="AC404" s="124">
        <v>1</v>
      </c>
      <c r="AD404" s="124">
        <v>1</v>
      </c>
      <c r="AE404" s="124">
        <v>0</v>
      </c>
      <c r="AF404" s="124">
        <v>0</v>
      </c>
      <c r="AG404" s="124">
        <v>0</v>
      </c>
      <c r="AH404" s="124">
        <v>0</v>
      </c>
      <c r="AJ404" t="s">
        <v>412</v>
      </c>
    </row>
    <row r="405" spans="1:36">
      <c r="A405" s="124">
        <v>7476</v>
      </c>
      <c r="B405" t="s">
        <v>21</v>
      </c>
      <c r="C405" s="6">
        <v>8</v>
      </c>
      <c r="D405" s="124">
        <v>1</v>
      </c>
      <c r="E405" s="124">
        <v>0</v>
      </c>
      <c r="F405" s="124">
        <v>0</v>
      </c>
      <c r="G405" s="124">
        <v>0</v>
      </c>
      <c r="H405" s="124">
        <v>0</v>
      </c>
      <c r="I405">
        <f t="shared" si="54"/>
        <v>0</v>
      </c>
      <c r="J405" s="124">
        <v>0</v>
      </c>
      <c r="K405" s="124">
        <v>0</v>
      </c>
      <c r="L405" s="124">
        <v>0</v>
      </c>
      <c r="M405" s="124">
        <v>0</v>
      </c>
      <c r="N405" s="59">
        <f t="shared" si="55"/>
        <v>0</v>
      </c>
      <c r="O405" s="59">
        <f t="shared" si="56"/>
        <v>0</v>
      </c>
      <c r="P405" s="124">
        <v>1</v>
      </c>
      <c r="Q405" s="124">
        <v>0</v>
      </c>
      <c r="R405" s="124">
        <v>1</v>
      </c>
      <c r="S405" s="124">
        <v>1</v>
      </c>
      <c r="T405">
        <f t="shared" si="57"/>
        <v>3</v>
      </c>
      <c r="U405" s="124">
        <v>1</v>
      </c>
      <c r="V405" s="124">
        <v>0</v>
      </c>
      <c r="W405" s="124">
        <v>0</v>
      </c>
      <c r="X405" s="124">
        <v>0</v>
      </c>
      <c r="Y405">
        <f t="shared" si="58"/>
        <v>1</v>
      </c>
      <c r="Z405">
        <f t="shared" si="59"/>
        <v>4</v>
      </c>
      <c r="AA405" s="124">
        <v>0</v>
      </c>
      <c r="AB405" s="124">
        <v>0</v>
      </c>
      <c r="AC405" s="124">
        <v>1</v>
      </c>
      <c r="AD405" s="124">
        <v>0</v>
      </c>
      <c r="AE405" s="124">
        <v>0</v>
      </c>
      <c r="AF405" s="124">
        <v>0</v>
      </c>
      <c r="AG405" s="124">
        <v>0</v>
      </c>
      <c r="AH405" s="124">
        <v>0</v>
      </c>
      <c r="AJ405" t="s">
        <v>412</v>
      </c>
    </row>
    <row r="406" spans="1:36">
      <c r="A406" s="124">
        <v>2706</v>
      </c>
      <c r="B406" t="s">
        <v>21</v>
      </c>
      <c r="C406" s="6">
        <v>10</v>
      </c>
      <c r="D406" s="124">
        <v>1</v>
      </c>
      <c r="E406" s="124">
        <v>1</v>
      </c>
      <c r="F406" s="124">
        <v>0</v>
      </c>
      <c r="G406" s="124">
        <v>0</v>
      </c>
      <c r="H406" s="124">
        <v>0</v>
      </c>
      <c r="I406">
        <f t="shared" si="54"/>
        <v>1</v>
      </c>
      <c r="J406" s="124">
        <v>0</v>
      </c>
      <c r="K406" s="124">
        <v>0</v>
      </c>
      <c r="L406" s="124">
        <v>0</v>
      </c>
      <c r="M406" s="124">
        <v>0</v>
      </c>
      <c r="N406" s="59">
        <f t="shared" si="55"/>
        <v>0</v>
      </c>
      <c r="O406" s="59">
        <f t="shared" si="56"/>
        <v>1</v>
      </c>
      <c r="P406" s="124">
        <v>0</v>
      </c>
      <c r="Q406" s="124">
        <v>2</v>
      </c>
      <c r="R406" s="124">
        <v>1</v>
      </c>
      <c r="S406" s="124">
        <v>1</v>
      </c>
      <c r="T406">
        <f t="shared" si="57"/>
        <v>4</v>
      </c>
      <c r="U406" s="124">
        <v>0</v>
      </c>
      <c r="V406" s="124">
        <v>0</v>
      </c>
      <c r="W406" s="124">
        <v>0</v>
      </c>
      <c r="X406" s="124">
        <v>0</v>
      </c>
      <c r="Y406">
        <f t="shared" si="58"/>
        <v>0</v>
      </c>
      <c r="Z406">
        <f t="shared" si="59"/>
        <v>4</v>
      </c>
      <c r="AA406" s="124">
        <v>0</v>
      </c>
      <c r="AB406" s="124">
        <v>0</v>
      </c>
      <c r="AC406" s="124">
        <v>1</v>
      </c>
      <c r="AD406" s="124">
        <v>0</v>
      </c>
      <c r="AE406" s="124">
        <v>0</v>
      </c>
      <c r="AF406" s="124">
        <v>0</v>
      </c>
      <c r="AG406" s="124">
        <v>0</v>
      </c>
      <c r="AH406" s="124">
        <v>0</v>
      </c>
      <c r="AJ406" t="s">
        <v>412</v>
      </c>
    </row>
    <row r="407" spans="1:36">
      <c r="A407" s="124">
        <v>7476</v>
      </c>
      <c r="B407" t="s">
        <v>20</v>
      </c>
      <c r="C407" s="6">
        <v>11</v>
      </c>
      <c r="D407" s="124">
        <v>0</v>
      </c>
      <c r="E407" s="124">
        <v>0</v>
      </c>
      <c r="F407" s="124">
        <v>0</v>
      </c>
      <c r="G407" s="124">
        <v>0</v>
      </c>
      <c r="H407" s="124">
        <v>0</v>
      </c>
      <c r="I407">
        <f t="shared" si="54"/>
        <v>0</v>
      </c>
      <c r="J407" s="124">
        <v>0</v>
      </c>
      <c r="K407" s="124">
        <v>0</v>
      </c>
      <c r="L407" s="124">
        <v>0</v>
      </c>
      <c r="M407" s="124">
        <v>0</v>
      </c>
      <c r="N407" s="59">
        <f t="shared" si="55"/>
        <v>0</v>
      </c>
      <c r="O407" s="59">
        <f t="shared" si="56"/>
        <v>0</v>
      </c>
      <c r="P407" s="124">
        <v>0</v>
      </c>
      <c r="Q407" s="124">
        <v>0</v>
      </c>
      <c r="R407" s="124">
        <v>2</v>
      </c>
      <c r="S407" s="124">
        <v>1</v>
      </c>
      <c r="T407">
        <f t="shared" si="57"/>
        <v>3</v>
      </c>
      <c r="U407" s="124">
        <v>1</v>
      </c>
      <c r="V407" s="124">
        <v>0</v>
      </c>
      <c r="W407" s="124">
        <v>2</v>
      </c>
      <c r="X407" s="124">
        <v>0</v>
      </c>
      <c r="Y407">
        <f t="shared" si="58"/>
        <v>3</v>
      </c>
      <c r="Z407">
        <f t="shared" si="59"/>
        <v>6</v>
      </c>
      <c r="AA407" s="124">
        <v>0</v>
      </c>
      <c r="AB407" s="124">
        <v>0</v>
      </c>
      <c r="AC407" s="124">
        <v>1</v>
      </c>
      <c r="AD407" s="124">
        <v>0</v>
      </c>
      <c r="AE407" s="124">
        <v>0</v>
      </c>
      <c r="AF407" s="124">
        <v>0</v>
      </c>
      <c r="AG407" s="124">
        <v>0</v>
      </c>
      <c r="AH407" s="124">
        <v>0</v>
      </c>
      <c r="AJ407" t="s">
        <v>412</v>
      </c>
    </row>
    <row r="408" spans="1:36">
      <c r="A408" s="124">
        <v>1246</v>
      </c>
      <c r="B408" t="s">
        <v>20</v>
      </c>
      <c r="C408" s="6">
        <v>15</v>
      </c>
      <c r="D408" s="124">
        <v>1</v>
      </c>
      <c r="E408" s="124">
        <v>0</v>
      </c>
      <c r="F408" s="124">
        <v>0</v>
      </c>
      <c r="G408" s="124">
        <v>0</v>
      </c>
      <c r="H408" s="124">
        <v>0</v>
      </c>
      <c r="I408">
        <f t="shared" si="54"/>
        <v>0</v>
      </c>
      <c r="J408" s="124">
        <v>0</v>
      </c>
      <c r="K408" s="124">
        <v>0</v>
      </c>
      <c r="L408" s="124">
        <v>0</v>
      </c>
      <c r="M408" s="124">
        <v>0</v>
      </c>
      <c r="N408" s="59">
        <f t="shared" si="55"/>
        <v>0</v>
      </c>
      <c r="O408" s="59">
        <f t="shared" si="56"/>
        <v>0</v>
      </c>
      <c r="P408" s="124">
        <v>0</v>
      </c>
      <c r="Q408" s="124">
        <v>0</v>
      </c>
      <c r="R408" s="124">
        <v>0</v>
      </c>
      <c r="S408" s="124">
        <v>0</v>
      </c>
      <c r="T408">
        <f t="shared" si="57"/>
        <v>0</v>
      </c>
      <c r="U408" s="124">
        <v>2</v>
      </c>
      <c r="V408" s="124">
        <v>0</v>
      </c>
      <c r="W408" s="124">
        <v>0</v>
      </c>
      <c r="X408" s="124">
        <v>0</v>
      </c>
      <c r="Y408">
        <f t="shared" si="58"/>
        <v>2</v>
      </c>
      <c r="Z408">
        <f t="shared" si="59"/>
        <v>2</v>
      </c>
      <c r="AA408" s="124">
        <v>0</v>
      </c>
      <c r="AB408" s="124">
        <v>0</v>
      </c>
      <c r="AC408" s="124">
        <v>1</v>
      </c>
      <c r="AD408" s="124">
        <v>0</v>
      </c>
      <c r="AE408" s="124">
        <v>0</v>
      </c>
      <c r="AF408" s="124">
        <v>0</v>
      </c>
      <c r="AG408" s="124">
        <v>0</v>
      </c>
      <c r="AH408" s="124">
        <v>0</v>
      </c>
      <c r="AJ408" t="s">
        <v>412</v>
      </c>
    </row>
    <row r="409" spans="1:36">
      <c r="A409" s="124">
        <v>2706</v>
      </c>
      <c r="B409" t="s">
        <v>20</v>
      </c>
      <c r="C409" s="6">
        <v>15</v>
      </c>
      <c r="D409" s="124">
        <v>1</v>
      </c>
      <c r="E409" s="124">
        <v>0</v>
      </c>
      <c r="F409" s="124">
        <v>0</v>
      </c>
      <c r="G409" s="124">
        <v>0</v>
      </c>
      <c r="H409" s="124">
        <v>0</v>
      </c>
      <c r="I409">
        <f t="shared" si="54"/>
        <v>0</v>
      </c>
      <c r="J409" s="124">
        <v>0</v>
      </c>
      <c r="K409" s="124">
        <v>0</v>
      </c>
      <c r="L409" s="124">
        <v>0</v>
      </c>
      <c r="M409" s="124">
        <v>0</v>
      </c>
      <c r="N409" s="59">
        <f t="shared" si="55"/>
        <v>0</v>
      </c>
      <c r="O409" s="59">
        <f t="shared" si="56"/>
        <v>0</v>
      </c>
      <c r="P409" s="124">
        <v>0</v>
      </c>
      <c r="Q409" s="124">
        <v>0</v>
      </c>
      <c r="R409" s="124">
        <v>0</v>
      </c>
      <c r="S409" s="124">
        <v>0</v>
      </c>
      <c r="T409">
        <f t="shared" si="57"/>
        <v>0</v>
      </c>
      <c r="U409" s="124">
        <v>0</v>
      </c>
      <c r="V409" s="124">
        <v>0</v>
      </c>
      <c r="W409" s="124">
        <v>0</v>
      </c>
      <c r="X409" s="124">
        <v>0</v>
      </c>
      <c r="Y409">
        <f t="shared" si="58"/>
        <v>0</v>
      </c>
      <c r="Z409">
        <f t="shared" si="59"/>
        <v>0</v>
      </c>
      <c r="AA409" s="124">
        <v>85</v>
      </c>
      <c r="AB409" s="124">
        <v>0</v>
      </c>
      <c r="AC409" s="124">
        <v>1</v>
      </c>
      <c r="AD409" s="124">
        <v>0</v>
      </c>
      <c r="AE409" s="124">
        <v>0</v>
      </c>
      <c r="AF409" s="124">
        <v>0</v>
      </c>
      <c r="AG409" s="124">
        <v>0</v>
      </c>
      <c r="AH409" s="124">
        <v>0</v>
      </c>
      <c r="AJ409" t="s">
        <v>412</v>
      </c>
    </row>
    <row r="410" spans="1:36">
      <c r="A410" s="124">
        <v>5406</v>
      </c>
      <c r="B410" t="s">
        <v>20</v>
      </c>
      <c r="C410" s="6">
        <v>16</v>
      </c>
      <c r="D410" s="124">
        <v>1</v>
      </c>
      <c r="E410" s="124">
        <v>0</v>
      </c>
      <c r="F410" s="124">
        <v>0</v>
      </c>
      <c r="G410" s="124">
        <v>1</v>
      </c>
      <c r="H410" s="124">
        <v>0</v>
      </c>
      <c r="I410">
        <f t="shared" si="54"/>
        <v>1</v>
      </c>
      <c r="J410" s="124">
        <v>0</v>
      </c>
      <c r="K410" s="124">
        <v>0</v>
      </c>
      <c r="L410" s="124">
        <v>0</v>
      </c>
      <c r="M410" s="124">
        <v>0</v>
      </c>
      <c r="N410" s="59">
        <f t="shared" si="55"/>
        <v>0</v>
      </c>
      <c r="O410" s="59">
        <f t="shared" si="56"/>
        <v>1</v>
      </c>
      <c r="P410" s="124">
        <v>0</v>
      </c>
      <c r="Q410" s="124">
        <v>0</v>
      </c>
      <c r="R410" s="124">
        <v>1</v>
      </c>
      <c r="S410" s="124">
        <v>0</v>
      </c>
      <c r="T410">
        <f t="shared" si="57"/>
        <v>1</v>
      </c>
      <c r="U410" s="124">
        <v>5</v>
      </c>
      <c r="V410" s="124">
        <v>0</v>
      </c>
      <c r="W410" s="124">
        <v>0</v>
      </c>
      <c r="X410" s="124">
        <v>0</v>
      </c>
      <c r="Y410">
        <f t="shared" si="58"/>
        <v>5</v>
      </c>
      <c r="Z410">
        <f t="shared" si="59"/>
        <v>6</v>
      </c>
      <c r="AA410" s="124">
        <v>0</v>
      </c>
      <c r="AB410" s="124">
        <v>0</v>
      </c>
      <c r="AC410" s="124">
        <v>3</v>
      </c>
      <c r="AD410" s="124">
        <v>0</v>
      </c>
      <c r="AE410" s="124">
        <v>0</v>
      </c>
      <c r="AF410" s="124">
        <v>0</v>
      </c>
      <c r="AG410" s="124">
        <v>0</v>
      </c>
      <c r="AH410" s="124">
        <v>0</v>
      </c>
      <c r="AJ410" t="s">
        <v>412</v>
      </c>
    </row>
    <row r="411" spans="1:36">
      <c r="A411" s="124">
        <v>2706</v>
      </c>
      <c r="B411" t="s">
        <v>21</v>
      </c>
      <c r="C411" s="6">
        <v>18</v>
      </c>
      <c r="D411" s="124">
        <v>0</v>
      </c>
      <c r="E411" s="124">
        <v>0</v>
      </c>
      <c r="F411" s="124">
        <v>0</v>
      </c>
      <c r="G411" s="124">
        <v>0</v>
      </c>
      <c r="H411" s="124">
        <v>0</v>
      </c>
      <c r="I411">
        <f t="shared" si="54"/>
        <v>0</v>
      </c>
      <c r="J411" s="124">
        <v>0</v>
      </c>
      <c r="K411" s="124">
        <v>0</v>
      </c>
      <c r="L411" s="124">
        <v>0</v>
      </c>
      <c r="M411" s="124">
        <v>0</v>
      </c>
      <c r="N411" s="59">
        <f t="shared" si="55"/>
        <v>0</v>
      </c>
      <c r="O411" s="59">
        <f t="shared" si="56"/>
        <v>0</v>
      </c>
      <c r="P411" s="124">
        <v>0</v>
      </c>
      <c r="Q411" s="124">
        <v>0</v>
      </c>
      <c r="R411" s="124">
        <v>0</v>
      </c>
      <c r="S411" s="124">
        <v>0</v>
      </c>
      <c r="T411">
        <f t="shared" si="57"/>
        <v>0</v>
      </c>
      <c r="U411" s="124">
        <v>0</v>
      </c>
      <c r="V411" s="124">
        <v>0</v>
      </c>
      <c r="W411" s="124">
        <v>0</v>
      </c>
      <c r="X411" s="124">
        <v>0</v>
      </c>
      <c r="Y411">
        <f t="shared" si="58"/>
        <v>0</v>
      </c>
      <c r="Z411">
        <f t="shared" si="59"/>
        <v>0</v>
      </c>
      <c r="AA411" s="124">
        <v>0</v>
      </c>
      <c r="AB411" s="124">
        <v>0</v>
      </c>
      <c r="AC411" s="124">
        <v>0</v>
      </c>
      <c r="AD411" s="124">
        <v>0</v>
      </c>
      <c r="AE411" s="124">
        <v>1</v>
      </c>
      <c r="AF411" s="124">
        <v>0</v>
      </c>
      <c r="AG411" s="124">
        <v>0</v>
      </c>
      <c r="AH411" s="124">
        <v>0</v>
      </c>
      <c r="AI411" t="s">
        <v>410</v>
      </c>
      <c r="AJ411" t="s">
        <v>412</v>
      </c>
    </row>
    <row r="412" spans="1:36">
      <c r="A412" s="124">
        <v>1246</v>
      </c>
      <c r="B412" t="s">
        <v>20</v>
      </c>
      <c r="C412" s="6">
        <v>19</v>
      </c>
      <c r="D412" s="124">
        <v>2</v>
      </c>
      <c r="E412" s="124">
        <v>0</v>
      </c>
      <c r="F412" s="124">
        <v>0</v>
      </c>
      <c r="G412" s="124">
        <v>0</v>
      </c>
      <c r="H412" s="124">
        <v>0</v>
      </c>
      <c r="I412">
        <f t="shared" si="54"/>
        <v>0</v>
      </c>
      <c r="J412" s="124">
        <v>0</v>
      </c>
      <c r="K412" s="124">
        <v>0</v>
      </c>
      <c r="L412" s="124">
        <v>0</v>
      </c>
      <c r="M412" s="124">
        <v>0</v>
      </c>
      <c r="N412" s="59">
        <f t="shared" si="55"/>
        <v>0</v>
      </c>
      <c r="O412" s="59">
        <f t="shared" si="56"/>
        <v>0</v>
      </c>
      <c r="P412" s="124">
        <v>0</v>
      </c>
      <c r="Q412" s="124">
        <v>0</v>
      </c>
      <c r="R412" s="124">
        <v>0</v>
      </c>
      <c r="S412" s="124">
        <v>0</v>
      </c>
      <c r="T412">
        <f t="shared" si="57"/>
        <v>0</v>
      </c>
      <c r="U412" s="124">
        <v>1</v>
      </c>
      <c r="V412" s="124">
        <v>0</v>
      </c>
      <c r="W412" s="124">
        <v>0</v>
      </c>
      <c r="X412" s="124">
        <v>0</v>
      </c>
      <c r="Y412">
        <f t="shared" si="58"/>
        <v>1</v>
      </c>
      <c r="Z412">
        <f t="shared" si="59"/>
        <v>1</v>
      </c>
      <c r="AA412" s="124">
        <v>100</v>
      </c>
      <c r="AB412" s="124">
        <v>0</v>
      </c>
      <c r="AC412" s="124">
        <v>1</v>
      </c>
      <c r="AD412" s="124">
        <v>0</v>
      </c>
      <c r="AE412" s="124">
        <v>0</v>
      </c>
      <c r="AF412" s="124">
        <v>0</v>
      </c>
      <c r="AG412" s="124">
        <v>0</v>
      </c>
      <c r="AH412" s="124">
        <v>0</v>
      </c>
      <c r="AJ412" t="s">
        <v>412</v>
      </c>
    </row>
    <row r="413" spans="1:36">
      <c r="A413" s="124">
        <v>1334</v>
      </c>
      <c r="B413" t="s">
        <v>21</v>
      </c>
      <c r="C413" s="6">
        <v>20</v>
      </c>
      <c r="D413" s="124">
        <v>2</v>
      </c>
      <c r="E413" s="124">
        <v>0</v>
      </c>
      <c r="F413" s="124">
        <v>0</v>
      </c>
      <c r="G413" s="124">
        <v>0</v>
      </c>
      <c r="H413" s="124">
        <v>0</v>
      </c>
      <c r="I413">
        <f t="shared" si="54"/>
        <v>0</v>
      </c>
      <c r="J413" s="124">
        <v>0</v>
      </c>
      <c r="K413" s="124">
        <v>0</v>
      </c>
      <c r="L413" s="124">
        <v>0</v>
      </c>
      <c r="M413" s="124">
        <v>0</v>
      </c>
      <c r="N413" s="59">
        <f t="shared" si="55"/>
        <v>0</v>
      </c>
      <c r="O413" s="59">
        <f t="shared" si="56"/>
        <v>0</v>
      </c>
      <c r="P413" s="124">
        <v>0</v>
      </c>
      <c r="Q413" s="124">
        <v>1</v>
      </c>
      <c r="R413" s="124">
        <v>0</v>
      </c>
      <c r="S413" s="124">
        <v>0</v>
      </c>
      <c r="T413">
        <f t="shared" si="57"/>
        <v>1</v>
      </c>
      <c r="U413" s="124">
        <v>3</v>
      </c>
      <c r="V413" s="124">
        <v>0</v>
      </c>
      <c r="W413" s="124">
        <v>0</v>
      </c>
      <c r="X413" s="124">
        <v>0</v>
      </c>
      <c r="Y413">
        <f t="shared" si="58"/>
        <v>3</v>
      </c>
      <c r="Z413">
        <f t="shared" si="59"/>
        <v>4</v>
      </c>
      <c r="AA413" s="124">
        <v>0</v>
      </c>
      <c r="AB413" s="124">
        <v>0</v>
      </c>
      <c r="AC413" s="124">
        <v>1</v>
      </c>
      <c r="AD413" s="124">
        <v>0</v>
      </c>
      <c r="AE413" s="124">
        <v>0</v>
      </c>
      <c r="AF413" s="124">
        <v>0</v>
      </c>
      <c r="AG413" s="124">
        <v>0</v>
      </c>
      <c r="AH413" s="124">
        <v>0</v>
      </c>
      <c r="AJ413" t="s">
        <v>412</v>
      </c>
    </row>
    <row r="414" spans="1:36">
      <c r="A414" s="124">
        <v>7476</v>
      </c>
      <c r="B414" t="s">
        <v>20</v>
      </c>
      <c r="C414" s="6">
        <v>21</v>
      </c>
      <c r="D414" s="124">
        <v>1</v>
      </c>
      <c r="E414" s="124">
        <v>0</v>
      </c>
      <c r="F414" s="124">
        <v>0</v>
      </c>
      <c r="G414" s="124">
        <v>0</v>
      </c>
      <c r="H414" s="124">
        <v>0</v>
      </c>
      <c r="I414">
        <f t="shared" si="54"/>
        <v>0</v>
      </c>
      <c r="J414" s="124">
        <v>0</v>
      </c>
      <c r="K414" s="124">
        <v>0</v>
      </c>
      <c r="L414" s="124">
        <v>0</v>
      </c>
      <c r="M414" s="124">
        <v>0</v>
      </c>
      <c r="N414" s="59">
        <f t="shared" si="55"/>
        <v>0</v>
      </c>
      <c r="O414" s="59">
        <f t="shared" si="56"/>
        <v>0</v>
      </c>
      <c r="P414" s="124">
        <v>0</v>
      </c>
      <c r="Q414" s="124">
        <v>1</v>
      </c>
      <c r="R414" s="124">
        <v>0</v>
      </c>
      <c r="S414" s="124">
        <v>0</v>
      </c>
      <c r="T414">
        <f t="shared" si="57"/>
        <v>1</v>
      </c>
      <c r="U414" s="124">
        <v>4</v>
      </c>
      <c r="V414" s="124">
        <v>0</v>
      </c>
      <c r="W414" s="124">
        <v>0</v>
      </c>
      <c r="X414" s="124">
        <v>0</v>
      </c>
      <c r="Y414">
        <f t="shared" si="58"/>
        <v>4</v>
      </c>
      <c r="Z414">
        <f t="shared" si="59"/>
        <v>5</v>
      </c>
      <c r="AA414" s="124">
        <v>0</v>
      </c>
      <c r="AB414" s="124">
        <v>0</v>
      </c>
      <c r="AC414" s="124">
        <v>1</v>
      </c>
      <c r="AD414" s="124">
        <v>0</v>
      </c>
      <c r="AE414" s="124">
        <v>0</v>
      </c>
      <c r="AF414" s="124">
        <v>0</v>
      </c>
      <c r="AG414" s="124">
        <v>0</v>
      </c>
      <c r="AH414" s="124">
        <v>0</v>
      </c>
      <c r="AJ414" t="s">
        <v>412</v>
      </c>
    </row>
    <row r="415" spans="1:36">
      <c r="A415" s="124">
        <v>2706</v>
      </c>
      <c r="B415" t="s">
        <v>21</v>
      </c>
      <c r="C415" s="6">
        <v>22</v>
      </c>
      <c r="D415" s="124">
        <v>1</v>
      </c>
      <c r="E415" s="124">
        <v>1</v>
      </c>
      <c r="F415" s="124">
        <v>0</v>
      </c>
      <c r="G415" s="124">
        <v>0</v>
      </c>
      <c r="H415" s="124">
        <v>0</v>
      </c>
      <c r="I415">
        <f t="shared" si="54"/>
        <v>1</v>
      </c>
      <c r="J415" s="124">
        <v>0</v>
      </c>
      <c r="K415" s="124">
        <v>0</v>
      </c>
      <c r="L415" s="124">
        <v>0</v>
      </c>
      <c r="M415" s="124">
        <v>0</v>
      </c>
      <c r="N415" s="59">
        <f t="shared" si="55"/>
        <v>0</v>
      </c>
      <c r="O415" s="59">
        <f t="shared" si="56"/>
        <v>1</v>
      </c>
      <c r="P415" s="124">
        <v>0</v>
      </c>
      <c r="Q415" s="124">
        <v>0</v>
      </c>
      <c r="R415" s="124">
        <v>0</v>
      </c>
      <c r="S415" s="124">
        <v>2</v>
      </c>
      <c r="T415">
        <f t="shared" si="57"/>
        <v>2</v>
      </c>
      <c r="U415" s="124">
        <v>0</v>
      </c>
      <c r="V415" s="124">
        <v>1</v>
      </c>
      <c r="W415" s="124">
        <v>0</v>
      </c>
      <c r="X415" s="124">
        <v>0</v>
      </c>
      <c r="Y415">
        <f t="shared" si="58"/>
        <v>1</v>
      </c>
      <c r="Z415">
        <f t="shared" si="59"/>
        <v>3</v>
      </c>
      <c r="AA415" s="124">
        <v>0</v>
      </c>
      <c r="AB415" s="124">
        <v>0</v>
      </c>
      <c r="AC415" s="124">
        <v>0</v>
      </c>
      <c r="AD415" s="124">
        <v>0</v>
      </c>
      <c r="AE415" s="124">
        <v>0</v>
      </c>
      <c r="AF415" s="124">
        <v>0</v>
      </c>
      <c r="AG415" s="124">
        <v>0</v>
      </c>
      <c r="AH415" s="124">
        <v>0</v>
      </c>
      <c r="AJ415" t="s">
        <v>412</v>
      </c>
    </row>
    <row r="416" spans="1:36">
      <c r="A416" s="124">
        <v>1334</v>
      </c>
      <c r="B416" t="s">
        <v>21</v>
      </c>
      <c r="C416" s="6">
        <v>23</v>
      </c>
      <c r="D416" s="124">
        <v>2</v>
      </c>
      <c r="E416" s="124">
        <v>0</v>
      </c>
      <c r="F416" s="124">
        <v>0</v>
      </c>
      <c r="G416" s="124">
        <v>0</v>
      </c>
      <c r="H416" s="124">
        <v>0</v>
      </c>
      <c r="I416">
        <f t="shared" si="54"/>
        <v>0</v>
      </c>
      <c r="J416" s="124">
        <v>0</v>
      </c>
      <c r="K416" s="124">
        <v>0</v>
      </c>
      <c r="L416" s="124">
        <v>0</v>
      </c>
      <c r="M416" s="124">
        <v>0</v>
      </c>
      <c r="N416" s="59">
        <f t="shared" si="55"/>
        <v>0</v>
      </c>
      <c r="O416" s="59">
        <f t="shared" si="56"/>
        <v>0</v>
      </c>
      <c r="P416" s="124">
        <v>2</v>
      </c>
      <c r="Q416" s="124">
        <v>0</v>
      </c>
      <c r="R416" s="124">
        <v>0</v>
      </c>
      <c r="S416" s="124">
        <v>0</v>
      </c>
      <c r="T416">
        <f t="shared" si="57"/>
        <v>2</v>
      </c>
      <c r="U416" s="124">
        <v>0</v>
      </c>
      <c r="V416" s="124">
        <v>0</v>
      </c>
      <c r="W416" s="124">
        <v>0</v>
      </c>
      <c r="X416" s="124">
        <v>0</v>
      </c>
      <c r="Y416">
        <f t="shared" si="58"/>
        <v>0</v>
      </c>
      <c r="Z416">
        <f t="shared" si="59"/>
        <v>2</v>
      </c>
      <c r="AA416" s="124">
        <v>0</v>
      </c>
      <c r="AB416" s="124">
        <v>0</v>
      </c>
      <c r="AC416" s="124">
        <v>0</v>
      </c>
      <c r="AD416" s="124">
        <v>0</v>
      </c>
      <c r="AE416" s="124">
        <v>0</v>
      </c>
      <c r="AF416" s="124">
        <v>0</v>
      </c>
      <c r="AG416" s="124">
        <v>0</v>
      </c>
      <c r="AH416" s="124">
        <v>0</v>
      </c>
      <c r="AJ416" t="s">
        <v>412</v>
      </c>
    </row>
    <row r="417" spans="1:36">
      <c r="A417" s="124">
        <v>1246</v>
      </c>
      <c r="B417" t="s">
        <v>21</v>
      </c>
      <c r="C417" s="6">
        <v>24</v>
      </c>
      <c r="D417" s="124">
        <v>2</v>
      </c>
      <c r="E417" s="124">
        <v>0</v>
      </c>
      <c r="F417" s="124">
        <v>0</v>
      </c>
      <c r="G417" s="124">
        <v>0</v>
      </c>
      <c r="H417" s="124">
        <v>0</v>
      </c>
      <c r="I417">
        <f t="shared" si="54"/>
        <v>0</v>
      </c>
      <c r="J417" s="124">
        <v>0</v>
      </c>
      <c r="K417" s="124">
        <v>0</v>
      </c>
      <c r="L417" s="124">
        <v>0</v>
      </c>
      <c r="M417" s="124">
        <v>0</v>
      </c>
      <c r="N417" s="59">
        <f t="shared" si="55"/>
        <v>0</v>
      </c>
      <c r="O417" s="59">
        <f t="shared" si="56"/>
        <v>0</v>
      </c>
      <c r="P417" s="124">
        <v>0</v>
      </c>
      <c r="Q417" s="124">
        <v>0</v>
      </c>
      <c r="R417" s="124">
        <v>0</v>
      </c>
      <c r="S417" s="124">
        <v>0</v>
      </c>
      <c r="T417">
        <f t="shared" si="57"/>
        <v>0</v>
      </c>
      <c r="U417" s="124">
        <v>4</v>
      </c>
      <c r="V417" s="124">
        <v>0</v>
      </c>
      <c r="W417" s="124">
        <v>0</v>
      </c>
      <c r="X417" s="124">
        <v>0</v>
      </c>
      <c r="Y417">
        <f t="shared" si="58"/>
        <v>4</v>
      </c>
      <c r="Z417">
        <f t="shared" si="59"/>
        <v>4</v>
      </c>
      <c r="AA417" s="124">
        <v>0</v>
      </c>
      <c r="AB417" s="124">
        <v>0</v>
      </c>
      <c r="AC417" s="124">
        <v>0</v>
      </c>
      <c r="AD417" s="124">
        <v>0</v>
      </c>
      <c r="AE417" s="124">
        <v>0</v>
      </c>
      <c r="AF417" s="124">
        <v>0</v>
      </c>
      <c r="AG417" s="124">
        <v>0</v>
      </c>
      <c r="AH417" s="124">
        <v>0</v>
      </c>
      <c r="AJ417" t="s">
        <v>412</v>
      </c>
    </row>
    <row r="418" spans="1:36">
      <c r="A418" s="124">
        <v>1334</v>
      </c>
      <c r="B418" t="s">
        <v>21</v>
      </c>
      <c r="C418" s="6">
        <v>24</v>
      </c>
      <c r="D418" s="124">
        <v>1</v>
      </c>
      <c r="E418" s="124">
        <v>0</v>
      </c>
      <c r="F418" s="124">
        <v>0</v>
      </c>
      <c r="G418" s="124">
        <v>0</v>
      </c>
      <c r="H418" s="124">
        <v>0</v>
      </c>
      <c r="I418">
        <f t="shared" si="54"/>
        <v>0</v>
      </c>
      <c r="J418" s="124">
        <v>0</v>
      </c>
      <c r="K418" s="124">
        <v>0</v>
      </c>
      <c r="L418" s="124">
        <v>0</v>
      </c>
      <c r="M418" s="124">
        <v>0</v>
      </c>
      <c r="N418" s="59">
        <f t="shared" si="55"/>
        <v>0</v>
      </c>
      <c r="O418" s="59">
        <f t="shared" si="56"/>
        <v>0</v>
      </c>
      <c r="P418" s="124">
        <v>1</v>
      </c>
      <c r="Q418" s="124">
        <v>0</v>
      </c>
      <c r="R418" s="124">
        <v>0</v>
      </c>
      <c r="S418" s="124">
        <v>0</v>
      </c>
      <c r="T418">
        <f t="shared" si="57"/>
        <v>1</v>
      </c>
      <c r="U418" s="124">
        <v>0</v>
      </c>
      <c r="V418" s="124">
        <v>0</v>
      </c>
      <c r="W418" s="124">
        <v>0</v>
      </c>
      <c r="X418" s="124">
        <v>0</v>
      </c>
      <c r="Y418">
        <f t="shared" si="58"/>
        <v>0</v>
      </c>
      <c r="Z418">
        <f t="shared" si="59"/>
        <v>1</v>
      </c>
      <c r="AA418" s="124">
        <v>85</v>
      </c>
      <c r="AB418" s="124">
        <v>0</v>
      </c>
      <c r="AC418" s="124">
        <v>1</v>
      </c>
      <c r="AD418" s="124">
        <v>0</v>
      </c>
      <c r="AE418" s="124">
        <v>0</v>
      </c>
      <c r="AF418" s="124">
        <v>0</v>
      </c>
      <c r="AG418" s="124">
        <v>0</v>
      </c>
      <c r="AH418" s="124">
        <v>0</v>
      </c>
      <c r="AJ418" t="s">
        <v>412</v>
      </c>
    </row>
    <row r="419" spans="1:36">
      <c r="A419" s="124">
        <v>7476</v>
      </c>
      <c r="B419" t="s">
        <v>21</v>
      </c>
      <c r="C419" s="6">
        <v>26</v>
      </c>
      <c r="D419" s="124">
        <v>1</v>
      </c>
      <c r="E419" s="124">
        <v>0</v>
      </c>
      <c r="F419" s="124">
        <v>0</v>
      </c>
      <c r="G419" s="124">
        <v>0</v>
      </c>
      <c r="H419" s="124">
        <v>0</v>
      </c>
      <c r="I419">
        <f t="shared" si="54"/>
        <v>0</v>
      </c>
      <c r="J419" s="124">
        <v>0</v>
      </c>
      <c r="K419" s="124">
        <v>0</v>
      </c>
      <c r="L419" s="124">
        <v>0</v>
      </c>
      <c r="M419" s="124">
        <v>0</v>
      </c>
      <c r="N419" s="59">
        <f t="shared" si="55"/>
        <v>0</v>
      </c>
      <c r="O419" s="59">
        <f t="shared" si="56"/>
        <v>0</v>
      </c>
      <c r="P419" s="124">
        <v>0</v>
      </c>
      <c r="Q419" s="124">
        <v>0</v>
      </c>
      <c r="R419" s="124">
        <v>0</v>
      </c>
      <c r="S419" s="124">
        <v>0</v>
      </c>
      <c r="T419">
        <f t="shared" si="57"/>
        <v>0</v>
      </c>
      <c r="U419" s="124">
        <v>0</v>
      </c>
      <c r="V419" s="124">
        <v>0</v>
      </c>
      <c r="W419" s="124">
        <v>0</v>
      </c>
      <c r="X419" s="124">
        <v>0</v>
      </c>
      <c r="Y419">
        <f t="shared" si="58"/>
        <v>0</v>
      </c>
      <c r="Z419">
        <f t="shared" si="59"/>
        <v>0</v>
      </c>
      <c r="AA419" s="124">
        <v>0</v>
      </c>
      <c r="AB419" s="124">
        <v>0</v>
      </c>
      <c r="AC419" s="124">
        <v>0</v>
      </c>
      <c r="AD419" s="124">
        <v>0</v>
      </c>
      <c r="AE419" s="124">
        <v>1</v>
      </c>
      <c r="AF419" s="124">
        <v>0</v>
      </c>
      <c r="AG419" s="124">
        <v>0</v>
      </c>
      <c r="AH419" s="124">
        <v>0</v>
      </c>
      <c r="AJ419" t="s">
        <v>412</v>
      </c>
    </row>
    <row r="420" spans="1:36">
      <c r="A420" s="124">
        <v>1246</v>
      </c>
      <c r="B420" t="s">
        <v>21</v>
      </c>
      <c r="C420" s="6">
        <v>27</v>
      </c>
      <c r="D420" s="124">
        <v>1</v>
      </c>
      <c r="E420" s="124">
        <v>0</v>
      </c>
      <c r="F420" s="124">
        <v>0</v>
      </c>
      <c r="G420" s="124">
        <v>0</v>
      </c>
      <c r="H420" s="124">
        <v>0</v>
      </c>
      <c r="I420">
        <f t="shared" si="54"/>
        <v>0</v>
      </c>
      <c r="J420" s="124">
        <v>0</v>
      </c>
      <c r="K420" s="124">
        <v>0</v>
      </c>
      <c r="L420" s="124">
        <v>0</v>
      </c>
      <c r="M420" s="124">
        <v>0</v>
      </c>
      <c r="N420" s="59">
        <f t="shared" si="55"/>
        <v>0</v>
      </c>
      <c r="O420" s="59">
        <f t="shared" si="56"/>
        <v>0</v>
      </c>
      <c r="P420" s="124">
        <v>0</v>
      </c>
      <c r="Q420" s="124">
        <v>0</v>
      </c>
      <c r="R420" s="124">
        <v>0</v>
      </c>
      <c r="S420" s="124">
        <v>0</v>
      </c>
      <c r="T420">
        <f t="shared" si="57"/>
        <v>0</v>
      </c>
      <c r="U420" s="124">
        <v>1</v>
      </c>
      <c r="V420" s="124">
        <v>0</v>
      </c>
      <c r="W420" s="124">
        <v>0</v>
      </c>
      <c r="X420" s="124">
        <v>0</v>
      </c>
      <c r="Y420">
        <f t="shared" si="58"/>
        <v>1</v>
      </c>
      <c r="Z420">
        <f t="shared" si="59"/>
        <v>1</v>
      </c>
      <c r="AA420" s="124">
        <v>80</v>
      </c>
      <c r="AB420" s="124">
        <v>0</v>
      </c>
      <c r="AC420" s="124">
        <v>1</v>
      </c>
      <c r="AD420" s="124">
        <v>0</v>
      </c>
      <c r="AE420" s="124">
        <v>0</v>
      </c>
      <c r="AF420" s="124">
        <v>0</v>
      </c>
      <c r="AG420" s="124">
        <v>0</v>
      </c>
      <c r="AH420" s="124">
        <v>0</v>
      </c>
      <c r="AJ420" t="s">
        <v>412</v>
      </c>
    </row>
    <row r="421" spans="1:36">
      <c r="A421" s="124">
        <v>2706</v>
      </c>
      <c r="B421" t="s">
        <v>20</v>
      </c>
      <c r="C421" s="6">
        <v>30</v>
      </c>
      <c r="D421" s="124">
        <v>1</v>
      </c>
      <c r="E421" s="124">
        <v>0</v>
      </c>
      <c r="F421" s="124">
        <v>0</v>
      </c>
      <c r="G421" s="124">
        <v>0</v>
      </c>
      <c r="H421" s="124">
        <v>0</v>
      </c>
      <c r="I421">
        <f t="shared" si="54"/>
        <v>0</v>
      </c>
      <c r="J421" s="124">
        <v>0</v>
      </c>
      <c r="K421" s="124">
        <v>0</v>
      </c>
      <c r="L421" s="124">
        <v>0</v>
      </c>
      <c r="M421" s="124">
        <v>0</v>
      </c>
      <c r="N421" s="59">
        <f t="shared" si="55"/>
        <v>0</v>
      </c>
      <c r="O421" s="59">
        <f t="shared" si="56"/>
        <v>0</v>
      </c>
      <c r="P421" s="124">
        <v>0</v>
      </c>
      <c r="Q421" s="124">
        <v>0</v>
      </c>
      <c r="R421" s="124">
        <v>0</v>
      </c>
      <c r="S421" s="124">
        <v>0</v>
      </c>
      <c r="T421">
        <f t="shared" si="57"/>
        <v>0</v>
      </c>
      <c r="U421" s="124">
        <v>5</v>
      </c>
      <c r="V421" s="124">
        <v>0</v>
      </c>
      <c r="W421" s="124">
        <v>0</v>
      </c>
      <c r="X421" s="124">
        <v>0</v>
      </c>
      <c r="Y421">
        <f t="shared" si="58"/>
        <v>5</v>
      </c>
      <c r="Z421">
        <f t="shared" si="59"/>
        <v>5</v>
      </c>
      <c r="AA421" s="124">
        <v>0</v>
      </c>
      <c r="AB421" s="124">
        <v>0</v>
      </c>
      <c r="AC421" s="124">
        <v>1</v>
      </c>
      <c r="AD421" s="124">
        <v>0</v>
      </c>
      <c r="AE421" s="124">
        <v>0</v>
      </c>
      <c r="AF421" s="124">
        <v>0</v>
      </c>
      <c r="AG421" s="124">
        <v>0</v>
      </c>
      <c r="AH421" s="124">
        <v>0</v>
      </c>
      <c r="AJ421" t="s">
        <v>412</v>
      </c>
    </row>
    <row r="422" spans="1:36">
      <c r="A422" s="124">
        <v>1334</v>
      </c>
      <c r="B422" t="s">
        <v>20</v>
      </c>
      <c r="C422" s="6">
        <v>31</v>
      </c>
      <c r="D422" s="124">
        <v>1</v>
      </c>
      <c r="E422" s="124">
        <v>0</v>
      </c>
      <c r="F422" s="124">
        <v>0</v>
      </c>
      <c r="G422" s="124">
        <v>0</v>
      </c>
      <c r="H422" s="124">
        <v>0</v>
      </c>
      <c r="I422">
        <f t="shared" si="54"/>
        <v>0</v>
      </c>
      <c r="J422" s="124">
        <v>0</v>
      </c>
      <c r="K422" s="124">
        <v>0</v>
      </c>
      <c r="L422" s="124">
        <v>0</v>
      </c>
      <c r="M422" s="124">
        <v>0</v>
      </c>
      <c r="N422" s="59">
        <f t="shared" si="55"/>
        <v>0</v>
      </c>
      <c r="O422" s="59">
        <f t="shared" si="56"/>
        <v>0</v>
      </c>
      <c r="P422" s="124">
        <v>0</v>
      </c>
      <c r="Q422" s="124">
        <v>0</v>
      </c>
      <c r="R422" s="124">
        <v>0</v>
      </c>
      <c r="S422" s="124">
        <v>0</v>
      </c>
      <c r="T422">
        <f t="shared" si="57"/>
        <v>0</v>
      </c>
      <c r="U422" s="124">
        <v>1</v>
      </c>
      <c r="V422" s="124">
        <v>0</v>
      </c>
      <c r="W422" s="124">
        <v>0</v>
      </c>
      <c r="X422" s="124">
        <v>0</v>
      </c>
      <c r="Y422">
        <f t="shared" si="58"/>
        <v>1</v>
      </c>
      <c r="Z422">
        <f t="shared" si="59"/>
        <v>1</v>
      </c>
      <c r="AA422" s="124">
        <v>0</v>
      </c>
      <c r="AB422" s="124">
        <v>0</v>
      </c>
      <c r="AC422" s="124">
        <v>1</v>
      </c>
      <c r="AD422" s="124">
        <v>0</v>
      </c>
      <c r="AE422" s="124">
        <v>0</v>
      </c>
      <c r="AF422" s="124">
        <v>0</v>
      </c>
      <c r="AG422" s="124">
        <v>0</v>
      </c>
      <c r="AH422" s="124">
        <v>0</v>
      </c>
      <c r="AJ422" t="s">
        <v>412</v>
      </c>
    </row>
    <row r="423" spans="1:36">
      <c r="A423" s="124">
        <v>1246</v>
      </c>
      <c r="B423" t="s">
        <v>21</v>
      </c>
      <c r="C423" s="6">
        <v>33</v>
      </c>
      <c r="D423" s="124">
        <v>1</v>
      </c>
      <c r="E423" s="124">
        <v>0</v>
      </c>
      <c r="F423" s="124">
        <v>0</v>
      </c>
      <c r="G423" s="124">
        <v>0</v>
      </c>
      <c r="H423" s="124">
        <v>0</v>
      </c>
      <c r="I423">
        <f t="shared" si="54"/>
        <v>0</v>
      </c>
      <c r="J423" s="124">
        <v>1</v>
      </c>
      <c r="K423" s="124">
        <v>0</v>
      </c>
      <c r="L423" s="124">
        <v>0</v>
      </c>
      <c r="M423" s="124">
        <v>0</v>
      </c>
      <c r="N423" s="59">
        <f t="shared" si="55"/>
        <v>1</v>
      </c>
      <c r="O423" s="59">
        <f t="shared" si="56"/>
        <v>1</v>
      </c>
      <c r="P423" s="124">
        <v>0</v>
      </c>
      <c r="Q423" s="124">
        <v>0</v>
      </c>
      <c r="R423" s="124">
        <v>0</v>
      </c>
      <c r="S423" s="124">
        <v>0</v>
      </c>
      <c r="T423">
        <f t="shared" si="57"/>
        <v>0</v>
      </c>
      <c r="U423" s="124">
        <v>2</v>
      </c>
      <c r="V423" s="124">
        <v>0</v>
      </c>
      <c r="W423" s="124">
        <v>0</v>
      </c>
      <c r="X423" s="124">
        <v>0</v>
      </c>
      <c r="Y423">
        <f t="shared" si="58"/>
        <v>2</v>
      </c>
      <c r="Z423">
        <f t="shared" si="59"/>
        <v>2</v>
      </c>
      <c r="AA423" s="124">
        <v>70</v>
      </c>
      <c r="AB423" s="124">
        <v>0</v>
      </c>
      <c r="AC423" s="124">
        <v>1</v>
      </c>
      <c r="AD423" s="124">
        <v>0</v>
      </c>
      <c r="AE423" s="124">
        <v>0</v>
      </c>
      <c r="AF423" s="124">
        <v>0</v>
      </c>
      <c r="AG423" s="124">
        <v>0</v>
      </c>
      <c r="AH423" s="124">
        <v>0</v>
      </c>
      <c r="AJ423" t="s">
        <v>412</v>
      </c>
    </row>
    <row r="424" spans="1:36">
      <c r="A424" s="124">
        <v>7476</v>
      </c>
      <c r="B424" t="s">
        <v>20</v>
      </c>
      <c r="C424" s="6">
        <v>34</v>
      </c>
      <c r="D424" s="124">
        <v>1</v>
      </c>
      <c r="E424" s="124">
        <v>0</v>
      </c>
      <c r="F424" s="124">
        <v>0</v>
      </c>
      <c r="G424" s="124">
        <v>0</v>
      </c>
      <c r="H424" s="124">
        <v>0</v>
      </c>
      <c r="I424">
        <f t="shared" si="54"/>
        <v>0</v>
      </c>
      <c r="J424" s="124">
        <v>0</v>
      </c>
      <c r="K424" s="124">
        <v>0</v>
      </c>
      <c r="L424" s="124">
        <v>0</v>
      </c>
      <c r="M424" s="124">
        <v>0</v>
      </c>
      <c r="N424" s="59">
        <f t="shared" si="55"/>
        <v>0</v>
      </c>
      <c r="O424" s="59">
        <f t="shared" si="56"/>
        <v>0</v>
      </c>
      <c r="P424" s="124">
        <v>0</v>
      </c>
      <c r="Q424" s="124">
        <v>1</v>
      </c>
      <c r="R424" s="124">
        <v>0</v>
      </c>
      <c r="S424" s="124">
        <v>0</v>
      </c>
      <c r="T424">
        <f t="shared" si="57"/>
        <v>1</v>
      </c>
      <c r="U424" s="124">
        <v>1</v>
      </c>
      <c r="V424" s="124">
        <v>0</v>
      </c>
      <c r="W424" s="124">
        <v>0</v>
      </c>
      <c r="X424" s="124">
        <v>0</v>
      </c>
      <c r="Y424">
        <f t="shared" si="58"/>
        <v>1</v>
      </c>
      <c r="Z424">
        <f t="shared" si="59"/>
        <v>2</v>
      </c>
      <c r="AA424" s="124">
        <v>0</v>
      </c>
      <c r="AB424" s="124">
        <v>0</v>
      </c>
      <c r="AC424" s="124">
        <v>1</v>
      </c>
      <c r="AD424" s="124">
        <v>0</v>
      </c>
      <c r="AE424" s="124">
        <v>0</v>
      </c>
      <c r="AF424" s="124">
        <v>0</v>
      </c>
      <c r="AG424" s="124">
        <v>0</v>
      </c>
      <c r="AH424" s="124">
        <v>0</v>
      </c>
      <c r="AJ424" t="s">
        <v>412</v>
      </c>
    </row>
    <row r="425" spans="1:36">
      <c r="A425" s="124">
        <v>2706</v>
      </c>
      <c r="B425" t="s">
        <v>20</v>
      </c>
      <c r="C425" s="6">
        <v>35</v>
      </c>
      <c r="D425" s="124">
        <v>1</v>
      </c>
      <c r="E425" s="124">
        <v>1</v>
      </c>
      <c r="F425" s="124">
        <v>0</v>
      </c>
      <c r="G425" s="124">
        <v>0</v>
      </c>
      <c r="H425" s="124">
        <v>0</v>
      </c>
      <c r="I425">
        <f t="shared" si="54"/>
        <v>1</v>
      </c>
      <c r="J425" s="124">
        <v>0</v>
      </c>
      <c r="K425" s="124">
        <v>0</v>
      </c>
      <c r="L425" s="124">
        <v>0</v>
      </c>
      <c r="M425" s="124">
        <v>0</v>
      </c>
      <c r="N425" s="59">
        <f t="shared" si="55"/>
        <v>0</v>
      </c>
      <c r="O425" s="59">
        <f t="shared" si="56"/>
        <v>1</v>
      </c>
      <c r="P425" s="124">
        <v>1</v>
      </c>
      <c r="Q425" s="124">
        <v>0</v>
      </c>
      <c r="R425" s="124">
        <v>0</v>
      </c>
      <c r="S425" s="124">
        <v>1</v>
      </c>
      <c r="T425">
        <f t="shared" si="57"/>
        <v>2</v>
      </c>
      <c r="U425" s="124">
        <v>1</v>
      </c>
      <c r="V425" s="124">
        <v>0</v>
      </c>
      <c r="W425" s="124">
        <v>0</v>
      </c>
      <c r="X425" s="124">
        <v>0</v>
      </c>
      <c r="Y425">
        <f t="shared" si="58"/>
        <v>1</v>
      </c>
      <c r="Z425">
        <f t="shared" si="59"/>
        <v>3</v>
      </c>
      <c r="AA425" s="124">
        <v>0</v>
      </c>
      <c r="AB425" s="124">
        <v>0</v>
      </c>
      <c r="AC425" s="124">
        <v>1</v>
      </c>
      <c r="AD425" s="124">
        <v>0</v>
      </c>
      <c r="AE425" s="124">
        <v>0</v>
      </c>
      <c r="AF425" s="124">
        <v>0</v>
      </c>
      <c r="AG425" s="124">
        <v>0</v>
      </c>
      <c r="AH425" s="124">
        <v>0</v>
      </c>
      <c r="AJ425" t="s">
        <v>412</v>
      </c>
    </row>
    <row r="426" spans="1:36">
      <c r="A426" s="124">
        <v>1334</v>
      </c>
      <c r="B426" t="s">
        <v>20</v>
      </c>
      <c r="C426" s="6">
        <v>36</v>
      </c>
      <c r="D426" s="124">
        <v>1</v>
      </c>
      <c r="E426" s="124">
        <v>0</v>
      </c>
      <c r="F426" s="124">
        <v>0</v>
      </c>
      <c r="G426" s="124">
        <v>0</v>
      </c>
      <c r="H426" s="124">
        <v>0</v>
      </c>
      <c r="I426">
        <f t="shared" si="54"/>
        <v>0</v>
      </c>
      <c r="J426" s="124">
        <v>0</v>
      </c>
      <c r="K426" s="124">
        <v>0</v>
      </c>
      <c r="L426" s="124">
        <v>0</v>
      </c>
      <c r="M426" s="124">
        <v>0</v>
      </c>
      <c r="N426" s="59">
        <f t="shared" si="55"/>
        <v>0</v>
      </c>
      <c r="O426" s="59">
        <f t="shared" si="56"/>
        <v>0</v>
      </c>
      <c r="P426" s="124">
        <v>2</v>
      </c>
      <c r="Q426" s="124">
        <v>0</v>
      </c>
      <c r="R426" s="124">
        <v>0</v>
      </c>
      <c r="S426" s="124">
        <v>0</v>
      </c>
      <c r="T426">
        <f t="shared" si="57"/>
        <v>2</v>
      </c>
      <c r="U426" s="124">
        <v>1</v>
      </c>
      <c r="V426" s="124">
        <v>0</v>
      </c>
      <c r="W426" s="124">
        <v>0</v>
      </c>
      <c r="X426" s="124">
        <v>0</v>
      </c>
      <c r="Y426">
        <f t="shared" si="58"/>
        <v>1</v>
      </c>
      <c r="Z426">
        <f t="shared" si="59"/>
        <v>3</v>
      </c>
      <c r="AA426" s="124">
        <v>0</v>
      </c>
      <c r="AB426" s="124">
        <v>0</v>
      </c>
      <c r="AC426" s="124">
        <v>1</v>
      </c>
      <c r="AD426" s="124">
        <v>0</v>
      </c>
      <c r="AE426" s="124">
        <v>0</v>
      </c>
      <c r="AF426" s="124">
        <v>0</v>
      </c>
      <c r="AG426" s="124">
        <v>0</v>
      </c>
      <c r="AH426" s="124">
        <v>0</v>
      </c>
      <c r="AJ426" t="s">
        <v>412</v>
      </c>
    </row>
    <row r="427" spans="1:36">
      <c r="A427" s="124">
        <v>7476</v>
      </c>
      <c r="B427" t="s">
        <v>21</v>
      </c>
      <c r="C427" s="6">
        <v>38</v>
      </c>
      <c r="D427" s="124">
        <v>1</v>
      </c>
      <c r="E427" s="124">
        <v>0</v>
      </c>
      <c r="F427" s="124">
        <v>0</v>
      </c>
      <c r="G427" s="124">
        <v>0</v>
      </c>
      <c r="H427" s="124">
        <v>0</v>
      </c>
      <c r="I427">
        <f t="shared" si="54"/>
        <v>0</v>
      </c>
      <c r="J427" s="124">
        <v>0</v>
      </c>
      <c r="K427" s="124">
        <v>0</v>
      </c>
      <c r="L427" s="124">
        <v>0</v>
      </c>
      <c r="M427" s="124">
        <v>0</v>
      </c>
      <c r="N427" s="59">
        <f t="shared" si="55"/>
        <v>0</v>
      </c>
      <c r="O427" s="59">
        <f t="shared" si="56"/>
        <v>0</v>
      </c>
      <c r="P427" s="124">
        <v>0</v>
      </c>
      <c r="Q427" s="124">
        <v>0</v>
      </c>
      <c r="R427" s="124">
        <v>1</v>
      </c>
      <c r="S427" s="124">
        <v>1</v>
      </c>
      <c r="T427">
        <f t="shared" si="57"/>
        <v>2</v>
      </c>
      <c r="U427" s="124">
        <v>0</v>
      </c>
      <c r="V427" s="124">
        <v>0</v>
      </c>
      <c r="W427" s="124">
        <v>1</v>
      </c>
      <c r="X427" s="124">
        <v>0</v>
      </c>
      <c r="Y427">
        <f t="shared" si="58"/>
        <v>1</v>
      </c>
      <c r="Z427">
        <f t="shared" si="59"/>
        <v>3</v>
      </c>
      <c r="AA427" s="124">
        <v>0</v>
      </c>
      <c r="AB427" s="124">
        <v>0</v>
      </c>
      <c r="AC427" s="124">
        <v>1</v>
      </c>
      <c r="AD427" s="124">
        <v>0</v>
      </c>
      <c r="AE427" s="124">
        <v>0</v>
      </c>
      <c r="AF427" s="124">
        <v>0</v>
      </c>
      <c r="AG427" s="124">
        <v>0</v>
      </c>
      <c r="AH427" s="124">
        <v>0</v>
      </c>
      <c r="AJ427" t="s">
        <v>412</v>
      </c>
    </row>
    <row r="428" spans="1:36">
      <c r="A428" s="124">
        <v>2706</v>
      </c>
      <c r="B428" t="s">
        <v>21</v>
      </c>
      <c r="C428" s="6">
        <v>38</v>
      </c>
      <c r="D428" s="124">
        <v>1</v>
      </c>
      <c r="E428" s="124">
        <v>1</v>
      </c>
      <c r="F428" s="124">
        <v>0</v>
      </c>
      <c r="G428" s="124">
        <v>0</v>
      </c>
      <c r="H428" s="124">
        <v>0</v>
      </c>
      <c r="I428">
        <f t="shared" si="54"/>
        <v>1</v>
      </c>
      <c r="J428" s="124">
        <v>0</v>
      </c>
      <c r="K428" s="124">
        <v>0</v>
      </c>
      <c r="L428" s="124">
        <v>0</v>
      </c>
      <c r="M428" s="124">
        <v>0</v>
      </c>
      <c r="N428" s="59">
        <f t="shared" si="55"/>
        <v>0</v>
      </c>
      <c r="O428" s="59">
        <f t="shared" si="56"/>
        <v>1</v>
      </c>
      <c r="P428" s="124">
        <v>0</v>
      </c>
      <c r="Q428" s="124">
        <v>1</v>
      </c>
      <c r="R428" s="124">
        <v>0</v>
      </c>
      <c r="S428" s="124">
        <v>1</v>
      </c>
      <c r="T428">
        <f t="shared" si="57"/>
        <v>2</v>
      </c>
      <c r="U428" s="124">
        <v>2</v>
      </c>
      <c r="V428" s="124">
        <v>1</v>
      </c>
      <c r="W428" s="124">
        <v>0</v>
      </c>
      <c r="X428" s="124">
        <v>0</v>
      </c>
      <c r="Y428">
        <f t="shared" si="58"/>
        <v>3</v>
      </c>
      <c r="Z428">
        <f t="shared" si="59"/>
        <v>5</v>
      </c>
      <c r="AA428" s="124">
        <v>0</v>
      </c>
      <c r="AB428" s="124">
        <v>0</v>
      </c>
      <c r="AC428" s="124">
        <v>1</v>
      </c>
      <c r="AD428" s="124">
        <v>0</v>
      </c>
      <c r="AE428" s="124">
        <v>0</v>
      </c>
      <c r="AF428" s="124">
        <v>0</v>
      </c>
      <c r="AG428" s="124">
        <v>0</v>
      </c>
      <c r="AH428" s="124">
        <v>0</v>
      </c>
      <c r="AJ428" t="s">
        <v>412</v>
      </c>
    </row>
    <row r="429" spans="1:36">
      <c r="A429" s="124">
        <v>1246</v>
      </c>
      <c r="B429" t="s">
        <v>21</v>
      </c>
      <c r="C429" s="6">
        <v>40</v>
      </c>
      <c r="D429" s="124">
        <v>1</v>
      </c>
      <c r="E429" s="124">
        <v>0</v>
      </c>
      <c r="F429" s="124">
        <v>0</v>
      </c>
      <c r="G429" s="124">
        <v>0</v>
      </c>
      <c r="H429" s="124">
        <v>0</v>
      </c>
      <c r="I429">
        <f t="shared" si="54"/>
        <v>0</v>
      </c>
      <c r="J429" s="124">
        <v>0</v>
      </c>
      <c r="K429" s="124">
        <v>0</v>
      </c>
      <c r="L429" s="124">
        <v>0</v>
      </c>
      <c r="M429" s="124">
        <v>0</v>
      </c>
      <c r="N429" s="59">
        <f t="shared" si="55"/>
        <v>0</v>
      </c>
      <c r="O429" s="59">
        <f t="shared" si="56"/>
        <v>0</v>
      </c>
      <c r="P429" s="124">
        <v>0</v>
      </c>
      <c r="Q429" s="124">
        <v>0</v>
      </c>
      <c r="R429" s="124">
        <v>0</v>
      </c>
      <c r="S429" s="124">
        <v>0</v>
      </c>
      <c r="T429">
        <f t="shared" si="57"/>
        <v>0</v>
      </c>
      <c r="U429" s="124">
        <v>1</v>
      </c>
      <c r="V429" s="124">
        <v>0</v>
      </c>
      <c r="W429" s="124">
        <v>0</v>
      </c>
      <c r="X429" s="124">
        <v>0</v>
      </c>
      <c r="Y429">
        <f t="shared" si="58"/>
        <v>1</v>
      </c>
      <c r="Z429">
        <f t="shared" si="59"/>
        <v>1</v>
      </c>
      <c r="AA429" s="124">
        <v>0</v>
      </c>
      <c r="AB429" s="124">
        <v>0</v>
      </c>
      <c r="AC429" s="124">
        <v>1</v>
      </c>
      <c r="AD429" s="124">
        <v>0</v>
      </c>
      <c r="AE429" s="124">
        <v>0</v>
      </c>
      <c r="AF429" s="124">
        <v>0</v>
      </c>
      <c r="AG429" s="124">
        <v>0</v>
      </c>
      <c r="AH429" s="124">
        <v>0</v>
      </c>
      <c r="AJ429" t="s">
        <v>412</v>
      </c>
    </row>
    <row r="430" spans="1:36">
      <c r="A430" s="124">
        <v>1334</v>
      </c>
      <c r="B430" t="s">
        <v>20</v>
      </c>
      <c r="C430" s="6">
        <v>41</v>
      </c>
      <c r="D430" s="124">
        <v>1</v>
      </c>
      <c r="E430" s="124">
        <v>0</v>
      </c>
      <c r="F430" s="124">
        <v>0</v>
      </c>
      <c r="G430" s="124">
        <v>0</v>
      </c>
      <c r="H430" s="124">
        <v>0</v>
      </c>
      <c r="I430">
        <f t="shared" si="54"/>
        <v>0</v>
      </c>
      <c r="J430" s="124">
        <v>0</v>
      </c>
      <c r="K430" s="124">
        <v>0</v>
      </c>
      <c r="L430" s="124">
        <v>0</v>
      </c>
      <c r="M430" s="124">
        <v>0</v>
      </c>
      <c r="N430" s="59">
        <f t="shared" si="55"/>
        <v>0</v>
      </c>
      <c r="O430" s="59">
        <f t="shared" si="56"/>
        <v>0</v>
      </c>
      <c r="P430" s="124">
        <v>1</v>
      </c>
      <c r="Q430" s="124">
        <v>0</v>
      </c>
      <c r="R430" s="124">
        <v>0</v>
      </c>
      <c r="S430" s="124">
        <v>0</v>
      </c>
      <c r="T430">
        <f t="shared" si="57"/>
        <v>1</v>
      </c>
      <c r="U430" s="124">
        <v>0</v>
      </c>
      <c r="V430" s="124">
        <v>0</v>
      </c>
      <c r="W430" s="124">
        <v>0</v>
      </c>
      <c r="X430" s="124">
        <v>0</v>
      </c>
      <c r="Y430">
        <f t="shared" si="58"/>
        <v>0</v>
      </c>
      <c r="Z430">
        <f t="shared" si="59"/>
        <v>1</v>
      </c>
      <c r="AA430" s="124">
        <v>0</v>
      </c>
      <c r="AB430" s="124">
        <v>0</v>
      </c>
      <c r="AC430" s="124">
        <v>1</v>
      </c>
      <c r="AD430" s="124">
        <v>0</v>
      </c>
      <c r="AE430" s="124">
        <v>0</v>
      </c>
      <c r="AF430" s="124">
        <v>0</v>
      </c>
      <c r="AG430" s="124">
        <v>0</v>
      </c>
      <c r="AH430" s="124">
        <v>0</v>
      </c>
      <c r="AJ430" t="s">
        <v>412</v>
      </c>
    </row>
    <row r="431" spans="1:36">
      <c r="A431" s="124">
        <v>2706</v>
      </c>
      <c r="B431" t="s">
        <v>21</v>
      </c>
      <c r="C431" s="6">
        <v>41</v>
      </c>
      <c r="D431" s="124">
        <v>1</v>
      </c>
      <c r="E431" s="124">
        <v>0</v>
      </c>
      <c r="F431" s="124">
        <v>0</v>
      </c>
      <c r="G431" s="124">
        <v>0</v>
      </c>
      <c r="H431" s="124">
        <v>0</v>
      </c>
      <c r="I431">
        <f t="shared" si="54"/>
        <v>0</v>
      </c>
      <c r="J431" s="124">
        <v>0</v>
      </c>
      <c r="K431" s="124">
        <v>0</v>
      </c>
      <c r="L431" s="124">
        <v>0</v>
      </c>
      <c r="M431" s="124">
        <v>0</v>
      </c>
      <c r="N431" s="59">
        <f t="shared" si="55"/>
        <v>0</v>
      </c>
      <c r="O431" s="59">
        <f t="shared" si="56"/>
        <v>0</v>
      </c>
      <c r="P431" s="124">
        <v>0</v>
      </c>
      <c r="Q431" s="124">
        <v>2</v>
      </c>
      <c r="R431" s="124">
        <v>1</v>
      </c>
      <c r="S431" s="124">
        <v>0</v>
      </c>
      <c r="T431">
        <f t="shared" si="57"/>
        <v>3</v>
      </c>
      <c r="U431" s="124">
        <v>0</v>
      </c>
      <c r="V431" s="124">
        <v>0</v>
      </c>
      <c r="W431" s="124">
        <v>0</v>
      </c>
      <c r="X431" s="124">
        <v>0</v>
      </c>
      <c r="Y431">
        <f t="shared" si="58"/>
        <v>0</v>
      </c>
      <c r="Z431">
        <f t="shared" si="59"/>
        <v>3</v>
      </c>
      <c r="AA431" s="124">
        <v>0</v>
      </c>
      <c r="AB431" s="124">
        <v>0</v>
      </c>
      <c r="AC431" s="124">
        <v>1</v>
      </c>
      <c r="AD431" s="124">
        <v>0</v>
      </c>
      <c r="AE431" s="124">
        <v>0</v>
      </c>
      <c r="AF431" s="124">
        <v>0</v>
      </c>
      <c r="AG431" s="124">
        <v>0</v>
      </c>
      <c r="AH431" s="124">
        <v>0</v>
      </c>
      <c r="AJ431" t="s">
        <v>412</v>
      </c>
    </row>
    <row r="432" spans="1:36">
      <c r="A432" s="124">
        <v>1246</v>
      </c>
      <c r="B432" t="s">
        <v>20</v>
      </c>
      <c r="C432" s="6">
        <v>42</v>
      </c>
      <c r="D432" s="124">
        <v>1</v>
      </c>
      <c r="E432" s="124">
        <v>0</v>
      </c>
      <c r="F432" s="124">
        <v>0</v>
      </c>
      <c r="G432" s="124">
        <v>0</v>
      </c>
      <c r="H432" s="124">
        <v>0</v>
      </c>
      <c r="I432">
        <f t="shared" si="54"/>
        <v>0</v>
      </c>
      <c r="J432" s="124">
        <v>0</v>
      </c>
      <c r="K432" s="124">
        <v>0</v>
      </c>
      <c r="L432" s="124">
        <v>0</v>
      </c>
      <c r="M432" s="124">
        <v>0</v>
      </c>
      <c r="N432" s="59">
        <f t="shared" si="55"/>
        <v>0</v>
      </c>
      <c r="O432" s="59">
        <f t="shared" si="56"/>
        <v>0</v>
      </c>
      <c r="P432" s="124">
        <v>0</v>
      </c>
      <c r="Q432" s="124">
        <v>0</v>
      </c>
      <c r="R432" s="124">
        <v>0</v>
      </c>
      <c r="S432" s="124">
        <v>0</v>
      </c>
      <c r="T432">
        <f t="shared" si="57"/>
        <v>0</v>
      </c>
      <c r="U432" s="124">
        <v>4</v>
      </c>
      <c r="V432" s="124">
        <v>1</v>
      </c>
      <c r="W432" s="124">
        <v>0</v>
      </c>
      <c r="X432" s="124">
        <v>0</v>
      </c>
      <c r="Y432">
        <f t="shared" si="58"/>
        <v>5</v>
      </c>
      <c r="Z432">
        <f t="shared" si="59"/>
        <v>5</v>
      </c>
      <c r="AA432" s="124">
        <v>0</v>
      </c>
      <c r="AB432" s="124">
        <v>0</v>
      </c>
      <c r="AC432" s="124">
        <v>1</v>
      </c>
      <c r="AD432" s="124">
        <v>0</v>
      </c>
      <c r="AE432" s="124">
        <v>0</v>
      </c>
      <c r="AF432" s="124">
        <v>0</v>
      </c>
      <c r="AG432" s="124">
        <v>0</v>
      </c>
      <c r="AH432" s="124">
        <v>0</v>
      </c>
      <c r="AJ432" t="s">
        <v>412</v>
      </c>
    </row>
    <row r="433" spans="1:36">
      <c r="A433" s="124">
        <v>7476</v>
      </c>
      <c r="B433" t="s">
        <v>21</v>
      </c>
      <c r="C433" s="6">
        <v>42</v>
      </c>
      <c r="D433" s="124">
        <v>1</v>
      </c>
      <c r="E433" s="124">
        <v>0</v>
      </c>
      <c r="F433" s="124">
        <v>0</v>
      </c>
      <c r="G433" s="124">
        <v>0</v>
      </c>
      <c r="H433" s="124">
        <v>0</v>
      </c>
      <c r="I433">
        <f t="shared" si="54"/>
        <v>0</v>
      </c>
      <c r="J433" s="124">
        <v>0</v>
      </c>
      <c r="K433" s="124">
        <v>0</v>
      </c>
      <c r="L433" s="124">
        <v>0</v>
      </c>
      <c r="M433" s="124">
        <v>0</v>
      </c>
      <c r="N433" s="59">
        <f t="shared" si="55"/>
        <v>0</v>
      </c>
      <c r="O433" s="59">
        <f t="shared" si="56"/>
        <v>0</v>
      </c>
      <c r="P433" s="124">
        <v>0</v>
      </c>
      <c r="Q433" s="124">
        <v>0</v>
      </c>
      <c r="R433" s="124">
        <v>1</v>
      </c>
      <c r="S433" s="124">
        <v>0</v>
      </c>
      <c r="T433">
        <f t="shared" si="57"/>
        <v>1</v>
      </c>
      <c r="U433" s="124">
        <v>3</v>
      </c>
      <c r="V433" s="124">
        <v>0</v>
      </c>
      <c r="W433" s="124">
        <v>0</v>
      </c>
      <c r="X433" s="124">
        <v>0</v>
      </c>
      <c r="Y433">
        <f t="shared" si="58"/>
        <v>3</v>
      </c>
      <c r="Z433">
        <f t="shared" si="59"/>
        <v>4</v>
      </c>
      <c r="AA433" s="124">
        <v>0</v>
      </c>
      <c r="AB433" s="124">
        <v>0</v>
      </c>
      <c r="AC433" s="124">
        <v>1</v>
      </c>
      <c r="AD433" s="124">
        <v>0</v>
      </c>
      <c r="AE433" s="124">
        <v>0</v>
      </c>
      <c r="AF433" s="124">
        <v>0</v>
      </c>
      <c r="AG433" s="124">
        <v>0</v>
      </c>
      <c r="AH433" s="124">
        <v>0</v>
      </c>
      <c r="AJ433" t="s">
        <v>412</v>
      </c>
    </row>
    <row r="434" spans="1:36">
      <c r="A434" s="124">
        <v>7476</v>
      </c>
      <c r="B434" t="s">
        <v>21</v>
      </c>
      <c r="C434" s="6">
        <v>47</v>
      </c>
      <c r="D434" s="124">
        <v>1</v>
      </c>
      <c r="E434" s="124">
        <v>0</v>
      </c>
      <c r="F434" s="124">
        <v>0</v>
      </c>
      <c r="G434" s="124">
        <v>1</v>
      </c>
      <c r="H434" s="124">
        <v>0</v>
      </c>
      <c r="I434">
        <f t="shared" si="54"/>
        <v>1</v>
      </c>
      <c r="J434" s="124">
        <v>0</v>
      </c>
      <c r="K434" s="124">
        <v>0</v>
      </c>
      <c r="L434" s="124">
        <v>0</v>
      </c>
      <c r="M434" s="124">
        <v>0</v>
      </c>
      <c r="N434" s="59">
        <f t="shared" si="55"/>
        <v>0</v>
      </c>
      <c r="O434" s="59">
        <f t="shared" si="56"/>
        <v>1</v>
      </c>
      <c r="P434" s="124">
        <v>0</v>
      </c>
      <c r="Q434" s="124">
        <v>1</v>
      </c>
      <c r="R434" s="124">
        <v>0</v>
      </c>
      <c r="S434" s="124">
        <v>1</v>
      </c>
      <c r="T434">
        <f t="shared" si="57"/>
        <v>2</v>
      </c>
      <c r="U434" s="124">
        <v>0</v>
      </c>
      <c r="V434" s="124">
        <v>0</v>
      </c>
      <c r="W434" s="124">
        <v>0</v>
      </c>
      <c r="X434" s="124">
        <v>0</v>
      </c>
      <c r="Y434">
        <f t="shared" si="58"/>
        <v>0</v>
      </c>
      <c r="Z434">
        <f t="shared" si="59"/>
        <v>2</v>
      </c>
      <c r="AA434" s="124">
        <v>0</v>
      </c>
      <c r="AB434" s="124">
        <v>0</v>
      </c>
      <c r="AC434" s="124">
        <v>1</v>
      </c>
      <c r="AD434" s="124">
        <v>0</v>
      </c>
      <c r="AE434" s="124">
        <v>0</v>
      </c>
      <c r="AF434" s="124">
        <v>0</v>
      </c>
      <c r="AG434" s="124">
        <v>3</v>
      </c>
      <c r="AH434" s="124">
        <v>0</v>
      </c>
      <c r="AI434" t="s">
        <v>411</v>
      </c>
      <c r="AJ434" t="s">
        <v>412</v>
      </c>
    </row>
    <row r="435" spans="1:36">
      <c r="A435" s="124">
        <v>1334</v>
      </c>
      <c r="B435" t="s">
        <v>21</v>
      </c>
      <c r="C435" s="6">
        <v>48</v>
      </c>
      <c r="D435" s="124">
        <v>0</v>
      </c>
      <c r="E435" s="124">
        <v>0</v>
      </c>
      <c r="F435" s="124">
        <v>0</v>
      </c>
      <c r="G435" s="124">
        <v>0</v>
      </c>
      <c r="H435" s="124">
        <v>0</v>
      </c>
      <c r="I435">
        <f t="shared" si="54"/>
        <v>0</v>
      </c>
      <c r="J435" s="124">
        <v>0</v>
      </c>
      <c r="K435" s="124">
        <v>0</v>
      </c>
      <c r="L435" s="124">
        <v>0</v>
      </c>
      <c r="M435" s="124">
        <v>0</v>
      </c>
      <c r="N435" s="59">
        <f t="shared" si="55"/>
        <v>0</v>
      </c>
      <c r="O435" s="59">
        <f t="shared" si="56"/>
        <v>0</v>
      </c>
      <c r="P435" s="124">
        <v>0</v>
      </c>
      <c r="Q435" s="124">
        <v>0</v>
      </c>
      <c r="R435" s="124">
        <v>0</v>
      </c>
      <c r="S435" s="124">
        <v>0</v>
      </c>
      <c r="T435">
        <f t="shared" si="57"/>
        <v>0</v>
      </c>
      <c r="U435" s="124">
        <v>2</v>
      </c>
      <c r="V435" s="124">
        <v>0</v>
      </c>
      <c r="W435" s="124">
        <v>0</v>
      </c>
      <c r="X435" s="124">
        <v>0</v>
      </c>
      <c r="Y435">
        <f t="shared" si="58"/>
        <v>2</v>
      </c>
      <c r="Z435">
        <f t="shared" si="59"/>
        <v>2</v>
      </c>
      <c r="AA435" s="124">
        <v>0</v>
      </c>
      <c r="AB435" s="124">
        <v>0</v>
      </c>
      <c r="AC435" s="124">
        <v>2</v>
      </c>
      <c r="AD435" s="124">
        <v>0</v>
      </c>
      <c r="AE435" s="124">
        <v>0</v>
      </c>
      <c r="AF435" s="124">
        <v>0</v>
      </c>
      <c r="AG435" s="124">
        <v>0</v>
      </c>
      <c r="AH435" s="124">
        <v>0</v>
      </c>
      <c r="AJ435" t="s">
        <v>412</v>
      </c>
    </row>
    <row r="436" spans="1:36">
      <c r="A436" s="124">
        <v>1246</v>
      </c>
      <c r="B436" t="s">
        <v>20</v>
      </c>
      <c r="C436" s="6">
        <v>50</v>
      </c>
      <c r="D436" s="124">
        <v>1</v>
      </c>
      <c r="E436" s="124">
        <v>0</v>
      </c>
      <c r="F436" s="124">
        <v>0</v>
      </c>
      <c r="G436" s="124">
        <v>0</v>
      </c>
      <c r="H436" s="124">
        <v>0</v>
      </c>
      <c r="I436">
        <f t="shared" si="54"/>
        <v>0</v>
      </c>
      <c r="J436" s="124">
        <v>0</v>
      </c>
      <c r="K436" s="124">
        <v>0</v>
      </c>
      <c r="L436" s="124">
        <v>0</v>
      </c>
      <c r="M436" s="124">
        <v>0</v>
      </c>
      <c r="N436" s="59">
        <f t="shared" si="55"/>
        <v>0</v>
      </c>
      <c r="O436" s="59">
        <f t="shared" si="56"/>
        <v>0</v>
      </c>
      <c r="P436" s="124">
        <v>0</v>
      </c>
      <c r="Q436" s="124">
        <v>0</v>
      </c>
      <c r="R436" s="124">
        <v>0</v>
      </c>
      <c r="S436" s="124">
        <v>0</v>
      </c>
      <c r="T436">
        <f t="shared" si="57"/>
        <v>0</v>
      </c>
      <c r="U436" s="124">
        <v>3</v>
      </c>
      <c r="V436" s="124">
        <v>0</v>
      </c>
      <c r="W436" s="124">
        <v>0</v>
      </c>
      <c r="X436" s="124">
        <v>0</v>
      </c>
      <c r="Y436">
        <f t="shared" si="58"/>
        <v>3</v>
      </c>
      <c r="Z436">
        <f t="shared" si="59"/>
        <v>3</v>
      </c>
      <c r="AA436" s="124">
        <v>70</v>
      </c>
      <c r="AB436" s="124">
        <v>0</v>
      </c>
      <c r="AC436" s="124">
        <v>1</v>
      </c>
      <c r="AD436" s="124">
        <v>0</v>
      </c>
      <c r="AE436" s="124">
        <v>0</v>
      </c>
      <c r="AF436" s="124">
        <v>0</v>
      </c>
      <c r="AG436" s="124">
        <v>0</v>
      </c>
      <c r="AH436" s="124">
        <v>0</v>
      </c>
      <c r="AJ436" t="s">
        <v>412</v>
      </c>
    </row>
    <row r="437" spans="1:36">
      <c r="A437" s="124">
        <v>2706</v>
      </c>
      <c r="B437" t="s">
        <v>21</v>
      </c>
      <c r="C437" s="6">
        <v>50</v>
      </c>
      <c r="D437" s="124">
        <v>1</v>
      </c>
      <c r="E437" s="124">
        <v>0</v>
      </c>
      <c r="F437" s="124">
        <v>0</v>
      </c>
      <c r="G437" s="124">
        <v>0</v>
      </c>
      <c r="H437" s="124">
        <v>0</v>
      </c>
      <c r="I437">
        <f t="shared" si="54"/>
        <v>0</v>
      </c>
      <c r="J437" s="124">
        <v>0</v>
      </c>
      <c r="K437" s="124">
        <v>0</v>
      </c>
      <c r="L437" s="124">
        <v>0</v>
      </c>
      <c r="M437" s="124">
        <v>0</v>
      </c>
      <c r="N437" s="59">
        <f t="shared" si="55"/>
        <v>0</v>
      </c>
      <c r="O437" s="59">
        <f t="shared" si="56"/>
        <v>0</v>
      </c>
      <c r="P437" s="124">
        <v>1</v>
      </c>
      <c r="Q437" s="124">
        <v>0</v>
      </c>
      <c r="R437" s="124">
        <v>0</v>
      </c>
      <c r="S437" s="124">
        <v>1</v>
      </c>
      <c r="T437">
        <f t="shared" si="57"/>
        <v>2</v>
      </c>
      <c r="U437" s="124">
        <v>1</v>
      </c>
      <c r="V437" s="124">
        <v>0</v>
      </c>
      <c r="W437" s="124">
        <v>0</v>
      </c>
      <c r="X437" s="124">
        <v>0</v>
      </c>
      <c r="Y437">
        <f t="shared" si="58"/>
        <v>1</v>
      </c>
      <c r="Z437">
        <f t="shared" si="59"/>
        <v>3</v>
      </c>
      <c r="AA437" s="124">
        <v>0</v>
      </c>
      <c r="AB437" s="124">
        <v>0</v>
      </c>
      <c r="AC437" s="124">
        <v>1</v>
      </c>
      <c r="AD437" s="124">
        <v>0</v>
      </c>
      <c r="AE437" s="124">
        <v>0</v>
      </c>
      <c r="AF437" s="124">
        <v>0</v>
      </c>
      <c r="AG437" s="124">
        <v>0</v>
      </c>
      <c r="AH437" s="124">
        <v>2</v>
      </c>
      <c r="AJ437" t="s">
        <v>412</v>
      </c>
    </row>
    <row r="438" spans="1:36">
      <c r="A438" s="124">
        <v>1334</v>
      </c>
      <c r="B438" t="s">
        <v>20</v>
      </c>
      <c r="C438" s="6">
        <v>52</v>
      </c>
      <c r="D438" s="124">
        <v>2</v>
      </c>
      <c r="E438" s="124">
        <v>0</v>
      </c>
      <c r="F438" s="124">
        <v>0</v>
      </c>
      <c r="G438" s="124">
        <v>0</v>
      </c>
      <c r="H438" s="124">
        <v>0</v>
      </c>
      <c r="I438">
        <f t="shared" si="54"/>
        <v>0</v>
      </c>
      <c r="J438" s="124">
        <v>0</v>
      </c>
      <c r="K438" s="124">
        <v>0</v>
      </c>
      <c r="L438" s="124">
        <v>0</v>
      </c>
      <c r="M438" s="124">
        <v>0</v>
      </c>
      <c r="N438" s="59">
        <f t="shared" si="55"/>
        <v>0</v>
      </c>
      <c r="O438" s="59">
        <f t="shared" si="56"/>
        <v>0</v>
      </c>
      <c r="P438" s="124">
        <v>0</v>
      </c>
      <c r="Q438" s="124">
        <v>0</v>
      </c>
      <c r="R438" s="124">
        <v>0</v>
      </c>
      <c r="S438" s="124">
        <v>0</v>
      </c>
      <c r="T438">
        <f t="shared" si="57"/>
        <v>0</v>
      </c>
      <c r="U438" s="124">
        <v>1</v>
      </c>
      <c r="V438" s="124">
        <v>0</v>
      </c>
      <c r="W438" s="124">
        <v>0</v>
      </c>
      <c r="X438" s="124">
        <v>0</v>
      </c>
      <c r="Y438">
        <f t="shared" si="58"/>
        <v>1</v>
      </c>
      <c r="Z438">
        <f t="shared" si="59"/>
        <v>1</v>
      </c>
      <c r="AA438" s="124">
        <v>0</v>
      </c>
      <c r="AB438" s="124">
        <v>0</v>
      </c>
      <c r="AC438" s="124">
        <v>1</v>
      </c>
      <c r="AD438" s="124">
        <v>0</v>
      </c>
      <c r="AE438" s="124">
        <v>0</v>
      </c>
      <c r="AF438" s="124">
        <v>0</v>
      </c>
      <c r="AG438" s="124">
        <v>0</v>
      </c>
      <c r="AH438" s="124">
        <v>1</v>
      </c>
      <c r="AJ438" t="s">
        <v>412</v>
      </c>
    </row>
    <row r="439" spans="1:36">
      <c r="A439" s="124">
        <v>7476</v>
      </c>
      <c r="B439" t="s">
        <v>21</v>
      </c>
      <c r="C439" s="6">
        <v>55</v>
      </c>
      <c r="D439" s="124">
        <v>1</v>
      </c>
      <c r="E439" s="124">
        <v>1</v>
      </c>
      <c r="F439" s="124">
        <v>0</v>
      </c>
      <c r="G439" s="124">
        <v>0</v>
      </c>
      <c r="H439" s="124">
        <v>0</v>
      </c>
      <c r="I439">
        <f t="shared" si="54"/>
        <v>1</v>
      </c>
      <c r="J439" s="124">
        <v>0</v>
      </c>
      <c r="K439" s="124">
        <v>0</v>
      </c>
      <c r="L439" s="124">
        <v>0</v>
      </c>
      <c r="M439" s="124">
        <v>0</v>
      </c>
      <c r="N439" s="59">
        <f t="shared" si="55"/>
        <v>0</v>
      </c>
      <c r="O439" s="59">
        <f t="shared" si="56"/>
        <v>1</v>
      </c>
      <c r="P439" s="124">
        <v>0</v>
      </c>
      <c r="Q439" s="124">
        <v>1</v>
      </c>
      <c r="R439" s="124">
        <v>0</v>
      </c>
      <c r="S439" s="124">
        <v>0</v>
      </c>
      <c r="T439">
        <f t="shared" si="57"/>
        <v>1</v>
      </c>
      <c r="U439" s="124">
        <v>3</v>
      </c>
      <c r="V439" s="124">
        <v>0</v>
      </c>
      <c r="W439" s="124">
        <v>0</v>
      </c>
      <c r="X439" s="124">
        <v>0</v>
      </c>
      <c r="Y439">
        <f t="shared" si="58"/>
        <v>3</v>
      </c>
      <c r="Z439">
        <f t="shared" si="59"/>
        <v>4</v>
      </c>
      <c r="AA439" s="124">
        <v>0</v>
      </c>
      <c r="AB439" s="124">
        <v>0</v>
      </c>
      <c r="AC439" s="124">
        <v>1</v>
      </c>
      <c r="AD439" s="124">
        <v>0</v>
      </c>
      <c r="AE439" s="124">
        <v>0</v>
      </c>
      <c r="AF439" s="124">
        <v>0</v>
      </c>
      <c r="AG439" s="124">
        <v>0</v>
      </c>
      <c r="AH439" s="124">
        <v>0</v>
      </c>
      <c r="AJ439" t="s">
        <v>412</v>
      </c>
    </row>
    <row r="440" spans="1:36">
      <c r="A440" s="124">
        <v>2706</v>
      </c>
      <c r="B440" t="s">
        <v>20</v>
      </c>
      <c r="C440" s="6">
        <v>57</v>
      </c>
      <c r="D440" s="124">
        <v>2</v>
      </c>
      <c r="E440" s="124">
        <v>0</v>
      </c>
      <c r="F440" s="124">
        <v>0</v>
      </c>
      <c r="G440" s="124">
        <v>0</v>
      </c>
      <c r="H440" s="124">
        <v>0</v>
      </c>
      <c r="I440">
        <f t="shared" si="54"/>
        <v>0</v>
      </c>
      <c r="J440" s="124">
        <v>0</v>
      </c>
      <c r="K440" s="124">
        <v>0</v>
      </c>
      <c r="L440" s="124">
        <v>0</v>
      </c>
      <c r="M440" s="124">
        <v>0</v>
      </c>
      <c r="N440" s="59">
        <f t="shared" si="55"/>
        <v>0</v>
      </c>
      <c r="O440" s="59">
        <f t="shared" si="56"/>
        <v>0</v>
      </c>
      <c r="P440" s="124">
        <v>1</v>
      </c>
      <c r="Q440" s="124">
        <v>0</v>
      </c>
      <c r="R440" s="124">
        <v>0</v>
      </c>
      <c r="S440" s="124">
        <v>0</v>
      </c>
      <c r="T440">
        <f t="shared" si="57"/>
        <v>1</v>
      </c>
      <c r="U440" s="124">
        <v>4</v>
      </c>
      <c r="V440" s="124">
        <v>1</v>
      </c>
      <c r="W440" s="124">
        <v>0</v>
      </c>
      <c r="X440" s="124">
        <v>0</v>
      </c>
      <c r="Y440">
        <f t="shared" si="58"/>
        <v>5</v>
      </c>
      <c r="Z440">
        <f t="shared" si="59"/>
        <v>6</v>
      </c>
      <c r="AA440" s="124">
        <v>0</v>
      </c>
      <c r="AB440" s="124">
        <v>0</v>
      </c>
      <c r="AC440" s="124">
        <v>1</v>
      </c>
      <c r="AD440" s="124">
        <v>0</v>
      </c>
      <c r="AE440" s="124">
        <v>0</v>
      </c>
      <c r="AF440" s="124">
        <v>0</v>
      </c>
      <c r="AG440" s="124">
        <v>0</v>
      </c>
      <c r="AH440" s="124">
        <v>0</v>
      </c>
      <c r="AJ440" t="s">
        <v>412</v>
      </c>
    </row>
    <row r="441" spans="1:36">
      <c r="A441" s="124">
        <v>7476</v>
      </c>
      <c r="B441" t="s">
        <v>20</v>
      </c>
      <c r="C441" s="6">
        <v>58</v>
      </c>
      <c r="D441" s="124">
        <v>1</v>
      </c>
      <c r="E441" s="124">
        <v>1</v>
      </c>
      <c r="F441" s="124">
        <v>0</v>
      </c>
      <c r="G441" s="124">
        <v>0</v>
      </c>
      <c r="H441" s="124">
        <v>0</v>
      </c>
      <c r="I441">
        <f t="shared" si="54"/>
        <v>1</v>
      </c>
      <c r="J441" s="124">
        <v>0</v>
      </c>
      <c r="K441" s="124">
        <v>0</v>
      </c>
      <c r="L441" s="124">
        <v>0</v>
      </c>
      <c r="M441" s="124">
        <v>0</v>
      </c>
      <c r="N441" s="59">
        <f t="shared" si="55"/>
        <v>0</v>
      </c>
      <c r="O441" s="59">
        <f t="shared" si="56"/>
        <v>1</v>
      </c>
      <c r="P441" s="124">
        <v>0</v>
      </c>
      <c r="Q441" s="124">
        <v>0</v>
      </c>
      <c r="R441" s="124">
        <v>0</v>
      </c>
      <c r="S441" s="124">
        <v>1</v>
      </c>
      <c r="T441">
        <f t="shared" si="57"/>
        <v>1</v>
      </c>
      <c r="U441" s="124">
        <v>2</v>
      </c>
      <c r="V441" s="124">
        <v>0</v>
      </c>
      <c r="W441" s="124">
        <v>0</v>
      </c>
      <c r="X441" s="124">
        <v>0</v>
      </c>
      <c r="Y441">
        <f t="shared" si="58"/>
        <v>2</v>
      </c>
      <c r="Z441">
        <f t="shared" si="59"/>
        <v>3</v>
      </c>
      <c r="AA441" s="124">
        <v>0</v>
      </c>
      <c r="AB441" s="124">
        <v>0</v>
      </c>
      <c r="AC441" s="124">
        <v>1</v>
      </c>
      <c r="AD441" s="124">
        <v>0</v>
      </c>
      <c r="AE441" s="124">
        <v>0</v>
      </c>
      <c r="AF441" s="124">
        <v>0</v>
      </c>
      <c r="AG441" s="124">
        <v>0</v>
      </c>
      <c r="AH441" s="124">
        <v>0</v>
      </c>
      <c r="AJ441" t="s">
        <v>412</v>
      </c>
    </row>
    <row r="442" spans="1:36">
      <c r="A442" s="124">
        <v>1334</v>
      </c>
      <c r="B442" t="s">
        <v>20</v>
      </c>
      <c r="C442" s="6">
        <v>59</v>
      </c>
      <c r="D442" s="124">
        <v>2</v>
      </c>
      <c r="E442" s="124">
        <v>0</v>
      </c>
      <c r="F442" s="124">
        <v>0</v>
      </c>
      <c r="G442" s="124">
        <v>0</v>
      </c>
      <c r="H442" s="124">
        <v>0</v>
      </c>
      <c r="I442">
        <f t="shared" si="54"/>
        <v>0</v>
      </c>
      <c r="J442" s="124">
        <v>0</v>
      </c>
      <c r="K442" s="124">
        <v>0</v>
      </c>
      <c r="L442" s="124">
        <v>0</v>
      </c>
      <c r="M442" s="124">
        <v>0</v>
      </c>
      <c r="N442" s="59">
        <f t="shared" si="55"/>
        <v>0</v>
      </c>
      <c r="O442" s="59">
        <f t="shared" si="56"/>
        <v>0</v>
      </c>
      <c r="P442" s="124">
        <v>0</v>
      </c>
      <c r="Q442" s="124">
        <v>0</v>
      </c>
      <c r="R442" s="124">
        <v>0</v>
      </c>
      <c r="S442" s="124">
        <v>0</v>
      </c>
      <c r="T442">
        <f t="shared" si="57"/>
        <v>0</v>
      </c>
      <c r="U442" s="124">
        <v>3</v>
      </c>
      <c r="V442" s="124">
        <v>0</v>
      </c>
      <c r="W442" s="124">
        <v>0</v>
      </c>
      <c r="X442" s="124">
        <v>0</v>
      </c>
      <c r="Y442">
        <f t="shared" si="58"/>
        <v>3</v>
      </c>
      <c r="Z442">
        <f t="shared" si="59"/>
        <v>3</v>
      </c>
      <c r="AA442" s="124">
        <v>0</v>
      </c>
      <c r="AB442" s="124">
        <v>0</v>
      </c>
      <c r="AC442" s="124">
        <v>2</v>
      </c>
      <c r="AD442" s="124">
        <v>0</v>
      </c>
      <c r="AE442" s="124">
        <v>0</v>
      </c>
      <c r="AF442" s="124">
        <v>0</v>
      </c>
      <c r="AG442" s="124">
        <v>0</v>
      </c>
      <c r="AH442" s="124">
        <v>0</v>
      </c>
      <c r="AJ442" t="s">
        <v>412</v>
      </c>
    </row>
    <row r="443" spans="1:36">
      <c r="A443" s="124">
        <v>1246</v>
      </c>
      <c r="B443" t="s">
        <v>21</v>
      </c>
      <c r="C443" s="6">
        <v>59</v>
      </c>
      <c r="D443" s="124">
        <v>1</v>
      </c>
      <c r="E443" s="124">
        <v>0</v>
      </c>
      <c r="F443" s="124">
        <v>0</v>
      </c>
      <c r="G443" s="124">
        <v>0</v>
      </c>
      <c r="H443" s="124">
        <v>0</v>
      </c>
      <c r="I443">
        <f t="shared" si="54"/>
        <v>0</v>
      </c>
      <c r="J443" s="124">
        <v>0</v>
      </c>
      <c r="K443" s="124">
        <v>0</v>
      </c>
      <c r="L443" s="124">
        <v>0</v>
      </c>
      <c r="M443" s="124">
        <v>0</v>
      </c>
      <c r="N443" s="59">
        <f t="shared" si="55"/>
        <v>0</v>
      </c>
      <c r="O443" s="59">
        <f t="shared" si="56"/>
        <v>0</v>
      </c>
      <c r="P443" s="124">
        <v>0</v>
      </c>
      <c r="Q443" s="124">
        <v>0</v>
      </c>
      <c r="R443" s="124">
        <v>0</v>
      </c>
      <c r="S443" s="124">
        <v>0</v>
      </c>
      <c r="T443">
        <f t="shared" si="57"/>
        <v>0</v>
      </c>
      <c r="U443" s="124">
        <v>3</v>
      </c>
      <c r="V443" s="124">
        <v>0</v>
      </c>
      <c r="W443" s="124">
        <v>0</v>
      </c>
      <c r="X443" s="124">
        <v>0</v>
      </c>
      <c r="Y443">
        <f t="shared" si="58"/>
        <v>3</v>
      </c>
      <c r="Z443">
        <f t="shared" si="59"/>
        <v>3</v>
      </c>
      <c r="AA443" s="124">
        <v>0</v>
      </c>
      <c r="AB443" s="124">
        <v>0</v>
      </c>
      <c r="AC443" s="124">
        <v>1</v>
      </c>
      <c r="AD443" s="124">
        <v>0</v>
      </c>
      <c r="AE443" s="124">
        <v>0</v>
      </c>
      <c r="AF443" s="124">
        <v>0</v>
      </c>
      <c r="AG443" s="124">
        <v>0</v>
      </c>
      <c r="AH443" s="124">
        <v>0</v>
      </c>
      <c r="AJ443" t="s">
        <v>412</v>
      </c>
    </row>
    <row r="444" spans="1:36">
      <c r="A444" s="124"/>
      <c r="B444" t="str">
        <f>B443</f>
        <v>BLUE</v>
      </c>
      <c r="C444" s="6">
        <f>C443+1</f>
        <v>60</v>
      </c>
      <c r="D444" s="124"/>
      <c r="E444" s="124"/>
      <c r="F444" s="124"/>
      <c r="G444" s="124"/>
      <c r="H444" s="124"/>
      <c r="J444" s="124"/>
      <c r="K444" s="124"/>
      <c r="L444" s="124"/>
      <c r="M444" s="124"/>
      <c r="N444" s="59"/>
      <c r="O444" s="59"/>
      <c r="P444" s="168"/>
      <c r="Q444" s="124"/>
      <c r="R444" s="124"/>
      <c r="S444" s="124"/>
      <c r="U444" s="124"/>
      <c r="V444" s="124"/>
      <c r="W444" s="124"/>
      <c r="X444" s="124"/>
      <c r="AA444" s="124"/>
      <c r="AB444" s="124"/>
      <c r="AC444" s="124"/>
      <c r="AD444" s="124"/>
      <c r="AE444" s="124"/>
      <c r="AF444" s="124"/>
      <c r="AG444" s="124"/>
      <c r="AH444" s="124"/>
      <c r="AJ444" t="s">
        <v>413</v>
      </c>
    </row>
    <row r="445" spans="1:36">
      <c r="A445" s="124"/>
      <c r="B445" t="str">
        <f t="shared" ref="B445:B456" si="60">B444</f>
        <v>BLUE</v>
      </c>
      <c r="C445" s="6">
        <f t="shared" ref="C445:C456" si="61">C444+1</f>
        <v>61</v>
      </c>
      <c r="D445" s="124"/>
      <c r="E445" s="124"/>
      <c r="F445" s="124"/>
      <c r="G445" s="124"/>
      <c r="H445" s="124"/>
      <c r="J445" s="124"/>
      <c r="K445" s="124"/>
      <c r="L445" s="124"/>
      <c r="M445" s="124"/>
      <c r="N445" s="59"/>
      <c r="O445" s="59"/>
      <c r="P445" s="168"/>
      <c r="Q445" s="124"/>
      <c r="R445" s="124"/>
      <c r="S445" s="124"/>
      <c r="U445" s="124"/>
      <c r="V445" s="124"/>
      <c r="W445" s="124"/>
      <c r="X445" s="124"/>
      <c r="AA445" s="124"/>
      <c r="AB445" s="124"/>
      <c r="AC445" s="124"/>
      <c r="AD445" s="124"/>
      <c r="AE445" s="124"/>
      <c r="AF445" s="124"/>
      <c r="AG445" s="124"/>
      <c r="AH445" s="124"/>
      <c r="AJ445" t="s">
        <v>414</v>
      </c>
    </row>
    <row r="446" spans="1:36">
      <c r="A446" s="124"/>
      <c r="B446" t="str">
        <f t="shared" si="60"/>
        <v>BLUE</v>
      </c>
      <c r="C446" s="6">
        <f t="shared" si="61"/>
        <v>62</v>
      </c>
      <c r="D446" s="124"/>
      <c r="E446" s="124"/>
      <c r="F446" s="124"/>
      <c r="G446" s="124"/>
      <c r="H446" s="124"/>
      <c r="J446" s="124"/>
      <c r="K446" s="124"/>
      <c r="L446" s="124"/>
      <c r="M446" s="124"/>
      <c r="N446" s="59"/>
      <c r="O446" s="59"/>
      <c r="P446" s="168"/>
      <c r="Q446" s="124"/>
      <c r="R446" s="124"/>
      <c r="S446" s="124"/>
      <c r="U446" s="124"/>
      <c r="V446" s="124"/>
      <c r="W446" s="124"/>
      <c r="X446" s="124"/>
      <c r="AA446" s="124"/>
      <c r="AB446" s="124"/>
      <c r="AC446" s="124"/>
      <c r="AD446" s="124"/>
      <c r="AE446" s="124"/>
      <c r="AF446" s="124"/>
      <c r="AG446" s="124"/>
      <c r="AH446" s="124"/>
      <c r="AJ446" t="s">
        <v>415</v>
      </c>
    </row>
    <row r="447" spans="1:36">
      <c r="A447" s="124"/>
      <c r="B447" t="str">
        <f t="shared" si="60"/>
        <v>BLUE</v>
      </c>
      <c r="C447" s="6">
        <f t="shared" si="61"/>
        <v>63</v>
      </c>
      <c r="D447" s="124"/>
      <c r="E447" s="124"/>
      <c r="F447" s="124"/>
      <c r="G447" s="124"/>
      <c r="H447" s="124"/>
      <c r="J447" s="124"/>
      <c r="K447" s="124"/>
      <c r="L447" s="124"/>
      <c r="M447" s="124"/>
      <c r="N447" s="59"/>
      <c r="O447" s="59"/>
      <c r="P447" s="168"/>
      <c r="Q447" s="124"/>
      <c r="R447" s="124"/>
      <c r="S447" s="124"/>
      <c r="U447" s="124"/>
      <c r="V447" s="124"/>
      <c r="W447" s="124"/>
      <c r="X447" s="124"/>
      <c r="AA447" s="124"/>
      <c r="AB447" s="124"/>
      <c r="AC447" s="124"/>
      <c r="AD447" s="124"/>
      <c r="AE447" s="124"/>
      <c r="AF447" s="124"/>
      <c r="AG447" s="124"/>
      <c r="AH447" s="124"/>
    </row>
    <row r="448" spans="1:36">
      <c r="A448" s="124"/>
      <c r="B448" t="str">
        <f t="shared" si="60"/>
        <v>BLUE</v>
      </c>
      <c r="C448" s="6">
        <f t="shared" si="61"/>
        <v>64</v>
      </c>
      <c r="D448" s="124"/>
      <c r="E448" s="124"/>
      <c r="F448" s="124"/>
      <c r="G448" s="124"/>
      <c r="H448" s="124"/>
      <c r="J448" s="124"/>
      <c r="K448" s="124"/>
      <c r="L448" s="124"/>
      <c r="M448" s="124"/>
      <c r="N448" s="59"/>
      <c r="O448" s="59"/>
      <c r="P448" s="168"/>
      <c r="Q448" s="124"/>
      <c r="R448" s="124"/>
      <c r="S448" s="124"/>
      <c r="U448" s="124"/>
      <c r="V448" s="124"/>
      <c r="W448" s="124"/>
      <c r="X448" s="124"/>
      <c r="AA448" s="124"/>
      <c r="AB448" s="124"/>
      <c r="AC448" s="124"/>
      <c r="AD448" s="124"/>
      <c r="AE448" s="124"/>
      <c r="AF448" s="124"/>
      <c r="AG448" s="124"/>
      <c r="AH448" s="124"/>
    </row>
    <row r="449" spans="1:34">
      <c r="A449" s="124"/>
      <c r="B449" t="str">
        <f t="shared" si="60"/>
        <v>BLUE</v>
      </c>
      <c r="C449" s="6">
        <f t="shared" si="61"/>
        <v>65</v>
      </c>
      <c r="D449" s="124"/>
      <c r="E449" s="124"/>
      <c r="F449" s="124"/>
      <c r="G449" s="124"/>
      <c r="H449" s="124"/>
      <c r="J449" s="124"/>
      <c r="K449" s="124"/>
      <c r="L449" s="124"/>
      <c r="M449" s="124"/>
      <c r="N449" s="59"/>
      <c r="O449" s="59"/>
      <c r="P449" s="168"/>
      <c r="Q449" s="124"/>
      <c r="R449" s="124"/>
      <c r="S449" s="124"/>
      <c r="U449" s="124"/>
      <c r="V449" s="124"/>
      <c r="W449" s="124"/>
      <c r="X449" s="124"/>
      <c r="AA449" s="124"/>
      <c r="AB449" s="124"/>
      <c r="AC449" s="124"/>
      <c r="AD449" s="124"/>
      <c r="AE449" s="124"/>
      <c r="AF449" s="124"/>
      <c r="AG449" s="124"/>
      <c r="AH449" s="124"/>
    </row>
    <row r="450" spans="1:34">
      <c r="A450" s="124"/>
      <c r="B450" t="str">
        <f t="shared" si="60"/>
        <v>BLUE</v>
      </c>
      <c r="C450" s="6">
        <f t="shared" si="61"/>
        <v>66</v>
      </c>
      <c r="D450" s="124"/>
      <c r="E450" s="124"/>
      <c r="F450" s="124"/>
      <c r="G450" s="124"/>
      <c r="H450" s="124"/>
      <c r="J450" s="124"/>
      <c r="K450" s="124"/>
      <c r="L450" s="124"/>
      <c r="M450" s="124"/>
      <c r="N450" s="59"/>
      <c r="O450" s="59"/>
      <c r="P450" s="168"/>
      <c r="Q450" s="124"/>
      <c r="R450" s="124"/>
      <c r="S450" s="124"/>
      <c r="U450" s="124"/>
      <c r="V450" s="124"/>
      <c r="W450" s="124"/>
      <c r="X450" s="124"/>
      <c r="AA450" s="124"/>
      <c r="AB450" s="124"/>
      <c r="AC450" s="124"/>
      <c r="AD450" s="124"/>
      <c r="AE450" s="124"/>
      <c r="AF450" s="124"/>
      <c r="AG450" s="124"/>
      <c r="AH450" s="124"/>
    </row>
    <row r="451" spans="1:34">
      <c r="A451" s="124"/>
      <c r="B451" t="str">
        <f t="shared" si="60"/>
        <v>BLUE</v>
      </c>
      <c r="C451" s="6">
        <f t="shared" si="61"/>
        <v>67</v>
      </c>
      <c r="D451" s="124"/>
      <c r="E451" s="124"/>
      <c r="F451" s="124"/>
      <c r="G451" s="124"/>
      <c r="H451" s="124"/>
      <c r="J451" s="124"/>
      <c r="K451" s="124"/>
      <c r="L451" s="124"/>
      <c r="M451" s="124"/>
      <c r="N451" s="59"/>
      <c r="O451" s="59"/>
      <c r="P451" s="168"/>
      <c r="Q451" s="124"/>
      <c r="R451" s="124"/>
      <c r="S451" s="124"/>
      <c r="U451" s="124"/>
      <c r="V451" s="124"/>
      <c r="W451" s="124"/>
      <c r="X451" s="124"/>
      <c r="AA451" s="124"/>
      <c r="AB451" s="124"/>
      <c r="AC451" s="124"/>
      <c r="AD451" s="124"/>
      <c r="AE451" s="124"/>
      <c r="AF451" s="124"/>
      <c r="AG451" s="124"/>
      <c r="AH451" s="124"/>
    </row>
    <row r="452" spans="1:34">
      <c r="A452" s="124"/>
      <c r="B452" t="str">
        <f t="shared" si="60"/>
        <v>BLUE</v>
      </c>
      <c r="C452" s="6">
        <f t="shared" si="61"/>
        <v>68</v>
      </c>
      <c r="D452" s="124"/>
      <c r="E452" s="124"/>
      <c r="F452" s="124"/>
      <c r="G452" s="124"/>
      <c r="H452" s="124"/>
      <c r="J452" s="124"/>
      <c r="K452" s="124"/>
      <c r="L452" s="124"/>
      <c r="M452" s="124"/>
      <c r="N452" s="59"/>
      <c r="O452" s="59"/>
      <c r="P452" s="168"/>
      <c r="Q452" s="124"/>
      <c r="R452" s="124"/>
      <c r="S452" s="124"/>
      <c r="U452" s="124"/>
      <c r="V452" s="124"/>
      <c r="W452" s="124"/>
      <c r="X452" s="124"/>
      <c r="AA452" s="124"/>
      <c r="AB452" s="124"/>
      <c r="AC452" s="124"/>
      <c r="AD452" s="124"/>
      <c r="AE452" s="124"/>
      <c r="AF452" s="124"/>
      <c r="AG452" s="124"/>
      <c r="AH452" s="124"/>
    </row>
    <row r="453" spans="1:34">
      <c r="A453" s="124"/>
      <c r="B453" t="str">
        <f t="shared" si="60"/>
        <v>BLUE</v>
      </c>
      <c r="C453" s="6">
        <f t="shared" si="61"/>
        <v>69</v>
      </c>
      <c r="D453" s="124"/>
      <c r="E453" s="124"/>
      <c r="F453" s="124"/>
      <c r="G453" s="124"/>
      <c r="H453" s="124"/>
      <c r="J453" s="124"/>
      <c r="K453" s="124"/>
      <c r="L453" s="124"/>
      <c r="M453" s="124"/>
      <c r="N453" s="59"/>
      <c r="O453" s="59"/>
      <c r="P453" s="168"/>
      <c r="Q453" s="124"/>
      <c r="R453" s="124"/>
      <c r="S453" s="124"/>
      <c r="U453" s="124"/>
      <c r="V453" s="124"/>
      <c r="W453" s="124"/>
      <c r="X453" s="124"/>
      <c r="AA453" s="124"/>
      <c r="AB453" s="124"/>
      <c r="AC453" s="124"/>
      <c r="AD453" s="124"/>
      <c r="AE453" s="124"/>
      <c r="AF453" s="124"/>
      <c r="AG453" s="124"/>
      <c r="AH453" s="124"/>
    </row>
    <row r="454" spans="1:34">
      <c r="A454" s="124"/>
      <c r="B454" t="str">
        <f t="shared" si="60"/>
        <v>BLUE</v>
      </c>
      <c r="C454" s="6">
        <f t="shared" si="61"/>
        <v>70</v>
      </c>
      <c r="D454" s="124"/>
      <c r="E454" s="124"/>
      <c r="F454" s="124"/>
      <c r="G454" s="124"/>
      <c r="H454" s="124"/>
      <c r="J454" s="124"/>
      <c r="K454" s="124"/>
      <c r="L454" s="124"/>
      <c r="M454" s="124"/>
      <c r="N454" s="59"/>
      <c r="O454" s="59"/>
      <c r="P454" s="168"/>
      <c r="Q454" s="124"/>
      <c r="R454" s="124"/>
      <c r="S454" s="124"/>
      <c r="U454" s="124"/>
      <c r="V454" s="124"/>
      <c r="W454" s="124"/>
      <c r="X454" s="124"/>
      <c r="AA454" s="124"/>
      <c r="AB454" s="124"/>
      <c r="AC454" s="124"/>
      <c r="AD454" s="124"/>
      <c r="AE454" s="124"/>
      <c r="AF454" s="124"/>
      <c r="AG454" s="124"/>
      <c r="AH454" s="124"/>
    </row>
    <row r="455" spans="1:34">
      <c r="A455" s="124"/>
      <c r="B455" t="str">
        <f t="shared" si="60"/>
        <v>BLUE</v>
      </c>
      <c r="C455" s="6">
        <f t="shared" si="61"/>
        <v>71</v>
      </c>
      <c r="D455" s="124"/>
      <c r="E455" s="124"/>
      <c r="F455" s="124"/>
      <c r="G455" s="124"/>
      <c r="H455" s="124"/>
      <c r="J455" s="124"/>
      <c r="K455" s="124"/>
      <c r="L455" s="124"/>
      <c r="M455" s="124"/>
      <c r="N455" s="59"/>
      <c r="O455" s="59"/>
      <c r="P455" s="168"/>
      <c r="Q455" s="124"/>
      <c r="R455" s="124"/>
      <c r="S455" s="124"/>
      <c r="U455" s="124"/>
      <c r="V455" s="124"/>
      <c r="W455" s="124"/>
      <c r="X455" s="124"/>
      <c r="AA455" s="124"/>
      <c r="AB455" s="124"/>
      <c r="AC455" s="124"/>
      <c r="AD455" s="124"/>
      <c r="AE455" s="124"/>
      <c r="AF455" s="124"/>
      <c r="AG455" s="124"/>
      <c r="AH455" s="124"/>
    </row>
    <row r="456" spans="1:34">
      <c r="A456" s="124"/>
      <c r="B456" t="str">
        <f t="shared" si="60"/>
        <v>BLUE</v>
      </c>
      <c r="C456" s="6">
        <f t="shared" si="61"/>
        <v>72</v>
      </c>
      <c r="D456" s="124"/>
      <c r="E456" s="124"/>
      <c r="F456" s="124"/>
      <c r="G456" s="124"/>
      <c r="H456" s="124"/>
      <c r="J456" s="124"/>
      <c r="K456" s="124"/>
      <c r="L456" s="124"/>
      <c r="M456" s="124"/>
      <c r="N456" s="59"/>
      <c r="O456" s="59"/>
      <c r="P456" s="168"/>
      <c r="Q456" s="124"/>
      <c r="R456" s="124"/>
      <c r="S456" s="124"/>
      <c r="U456" s="124"/>
      <c r="V456" s="124"/>
      <c r="W456" s="124"/>
      <c r="X456" s="124"/>
      <c r="AA456" s="124"/>
      <c r="AB456" s="124"/>
      <c r="AC456" s="124"/>
      <c r="AD456" s="124"/>
      <c r="AE456" s="124"/>
      <c r="AF456" s="124"/>
      <c r="AG456" s="124"/>
      <c r="AH456" s="124"/>
    </row>
    <row r="457" spans="1:34">
      <c r="B457" t="str">
        <f>B456</f>
        <v>BLUE</v>
      </c>
      <c r="C457" s="6">
        <f>C456+1</f>
        <v>73</v>
      </c>
      <c r="I457">
        <f t="shared" ref="I457:I509" si="62">SUM($E457:$H457)</f>
        <v>0</v>
      </c>
      <c r="N457" s="59">
        <f t="shared" ref="N457:N520" si="63">SUM($J457:$M457)</f>
        <v>0</v>
      </c>
      <c r="O457" s="59">
        <f t="shared" ref="O457:O520" si="64">SUM($I457, $N457)</f>
        <v>0</v>
      </c>
      <c r="T457">
        <f t="shared" ref="T457:T509" si="65">SUM($P457:$S457)</f>
        <v>0</v>
      </c>
      <c r="Y457">
        <f t="shared" ref="Y457:Y493" si="66">SUM($U457:$X457)</f>
        <v>0</v>
      </c>
      <c r="Z457">
        <f t="shared" ref="Z457:Z493" si="67">SUM($T457,$Y457)</f>
        <v>0</v>
      </c>
    </row>
    <row r="458" spans="1:34">
      <c r="B458" t="str">
        <f t="shared" ref="B458:B466" si="68">B457</f>
        <v>BLUE</v>
      </c>
      <c r="C458" s="6">
        <f t="shared" ref="C458:C500" si="69">C457+1</f>
        <v>74</v>
      </c>
      <c r="I458">
        <f t="shared" si="62"/>
        <v>0</v>
      </c>
      <c r="N458" s="59">
        <f t="shared" si="63"/>
        <v>0</v>
      </c>
      <c r="O458" s="59">
        <f t="shared" si="64"/>
        <v>0</v>
      </c>
      <c r="T458">
        <f t="shared" si="65"/>
        <v>0</v>
      </c>
      <c r="Y458">
        <f t="shared" si="66"/>
        <v>0</v>
      </c>
      <c r="Z458">
        <f t="shared" si="67"/>
        <v>0</v>
      </c>
    </row>
    <row r="459" spans="1:34">
      <c r="B459" t="str">
        <f t="shared" si="68"/>
        <v>BLUE</v>
      </c>
      <c r="C459" s="6">
        <f t="shared" si="69"/>
        <v>75</v>
      </c>
      <c r="I459">
        <f t="shared" si="62"/>
        <v>0</v>
      </c>
      <c r="N459" s="59">
        <f t="shared" si="63"/>
        <v>0</v>
      </c>
      <c r="O459" s="59">
        <f t="shared" si="64"/>
        <v>0</v>
      </c>
      <c r="T459">
        <f t="shared" si="65"/>
        <v>0</v>
      </c>
      <c r="Y459">
        <f t="shared" si="66"/>
        <v>0</v>
      </c>
      <c r="Z459">
        <f t="shared" si="67"/>
        <v>0</v>
      </c>
    </row>
    <row r="460" spans="1:34">
      <c r="B460" t="str">
        <f t="shared" si="68"/>
        <v>BLUE</v>
      </c>
      <c r="C460" s="6">
        <f t="shared" si="69"/>
        <v>76</v>
      </c>
      <c r="I460">
        <f t="shared" si="62"/>
        <v>0</v>
      </c>
      <c r="N460" s="59">
        <f t="shared" si="63"/>
        <v>0</v>
      </c>
      <c r="O460" s="59">
        <f t="shared" si="64"/>
        <v>0</v>
      </c>
      <c r="T460">
        <f t="shared" si="65"/>
        <v>0</v>
      </c>
      <c r="Y460">
        <f t="shared" si="66"/>
        <v>0</v>
      </c>
      <c r="Z460">
        <f t="shared" si="67"/>
        <v>0</v>
      </c>
    </row>
    <row r="461" spans="1:34">
      <c r="B461" t="str">
        <f t="shared" si="68"/>
        <v>BLUE</v>
      </c>
      <c r="C461" s="6">
        <f t="shared" si="69"/>
        <v>77</v>
      </c>
      <c r="I461">
        <f t="shared" si="62"/>
        <v>0</v>
      </c>
      <c r="N461" s="59">
        <f t="shared" si="63"/>
        <v>0</v>
      </c>
      <c r="O461" s="59">
        <f t="shared" si="64"/>
        <v>0</v>
      </c>
      <c r="T461">
        <f t="shared" si="65"/>
        <v>0</v>
      </c>
      <c r="Y461">
        <f t="shared" si="66"/>
        <v>0</v>
      </c>
      <c r="Z461">
        <f t="shared" si="67"/>
        <v>0</v>
      </c>
    </row>
    <row r="462" spans="1:34">
      <c r="B462" t="str">
        <f t="shared" si="68"/>
        <v>BLUE</v>
      </c>
      <c r="C462" s="6">
        <f t="shared" si="69"/>
        <v>78</v>
      </c>
      <c r="I462">
        <f t="shared" si="62"/>
        <v>0</v>
      </c>
      <c r="N462" s="59">
        <f t="shared" si="63"/>
        <v>0</v>
      </c>
      <c r="O462" s="59">
        <f t="shared" si="64"/>
        <v>0</v>
      </c>
      <c r="T462">
        <f t="shared" si="65"/>
        <v>0</v>
      </c>
      <c r="Y462">
        <f t="shared" si="66"/>
        <v>0</v>
      </c>
      <c r="Z462">
        <f t="shared" si="67"/>
        <v>0</v>
      </c>
    </row>
    <row r="463" spans="1:34">
      <c r="B463" t="str">
        <f t="shared" si="68"/>
        <v>BLUE</v>
      </c>
      <c r="C463" s="6">
        <f t="shared" si="69"/>
        <v>79</v>
      </c>
      <c r="I463">
        <f t="shared" si="62"/>
        <v>0</v>
      </c>
      <c r="N463" s="59">
        <f t="shared" si="63"/>
        <v>0</v>
      </c>
      <c r="O463" s="59">
        <f t="shared" si="64"/>
        <v>0</v>
      </c>
      <c r="T463">
        <f t="shared" si="65"/>
        <v>0</v>
      </c>
      <c r="Y463">
        <f t="shared" si="66"/>
        <v>0</v>
      </c>
      <c r="Z463">
        <f t="shared" si="67"/>
        <v>0</v>
      </c>
    </row>
    <row r="464" spans="1:34">
      <c r="B464" t="str">
        <f t="shared" si="68"/>
        <v>BLUE</v>
      </c>
      <c r="C464" s="6">
        <f t="shared" si="69"/>
        <v>80</v>
      </c>
      <c r="I464">
        <f t="shared" si="62"/>
        <v>0</v>
      </c>
      <c r="N464" s="59">
        <f t="shared" si="63"/>
        <v>0</v>
      </c>
      <c r="O464" s="59">
        <f t="shared" si="64"/>
        <v>0</v>
      </c>
      <c r="T464">
        <f t="shared" si="65"/>
        <v>0</v>
      </c>
      <c r="Y464">
        <f t="shared" si="66"/>
        <v>0</v>
      </c>
      <c r="Z464">
        <f t="shared" si="67"/>
        <v>0</v>
      </c>
    </row>
    <row r="465" spans="2:26">
      <c r="B465" t="str">
        <f t="shared" si="68"/>
        <v>BLUE</v>
      </c>
      <c r="C465" s="6">
        <f t="shared" si="69"/>
        <v>81</v>
      </c>
      <c r="I465">
        <f t="shared" si="62"/>
        <v>0</v>
      </c>
      <c r="N465" s="59">
        <f t="shared" si="63"/>
        <v>0</v>
      </c>
      <c r="O465" s="59">
        <f t="shared" si="64"/>
        <v>0</v>
      </c>
      <c r="T465">
        <f t="shared" si="65"/>
        <v>0</v>
      </c>
      <c r="Y465">
        <f t="shared" si="66"/>
        <v>0</v>
      </c>
      <c r="Z465">
        <f t="shared" si="67"/>
        <v>0</v>
      </c>
    </row>
    <row r="466" spans="2:26">
      <c r="B466" t="str">
        <f t="shared" si="68"/>
        <v>BLUE</v>
      </c>
      <c r="C466" s="6">
        <f t="shared" si="69"/>
        <v>82</v>
      </c>
      <c r="I466">
        <f t="shared" si="62"/>
        <v>0</v>
      </c>
      <c r="N466" s="59">
        <f t="shared" si="63"/>
        <v>0</v>
      </c>
      <c r="O466" s="59">
        <f t="shared" si="64"/>
        <v>0</v>
      </c>
      <c r="T466">
        <f t="shared" si="65"/>
        <v>0</v>
      </c>
      <c r="Y466">
        <f t="shared" si="66"/>
        <v>0</v>
      </c>
      <c r="Z466">
        <f t="shared" si="67"/>
        <v>0</v>
      </c>
    </row>
    <row r="467" spans="2:26">
      <c r="B467" t="str">
        <f t="shared" ref="B467:B530" si="70">B466</f>
        <v>BLUE</v>
      </c>
      <c r="C467" s="6">
        <f t="shared" si="69"/>
        <v>83</v>
      </c>
      <c r="I467">
        <f t="shared" si="62"/>
        <v>0</v>
      </c>
      <c r="N467" s="59">
        <f t="shared" si="63"/>
        <v>0</v>
      </c>
      <c r="O467" s="59">
        <f t="shared" si="64"/>
        <v>0</v>
      </c>
      <c r="T467">
        <f t="shared" si="65"/>
        <v>0</v>
      </c>
      <c r="Y467">
        <f t="shared" si="66"/>
        <v>0</v>
      </c>
      <c r="Z467">
        <f t="shared" si="67"/>
        <v>0</v>
      </c>
    </row>
    <row r="468" spans="2:26">
      <c r="B468" t="str">
        <f t="shared" si="70"/>
        <v>BLUE</v>
      </c>
      <c r="C468" s="6">
        <f t="shared" si="69"/>
        <v>84</v>
      </c>
      <c r="I468">
        <f t="shared" si="62"/>
        <v>0</v>
      </c>
      <c r="N468" s="59">
        <f t="shared" si="63"/>
        <v>0</v>
      </c>
      <c r="O468" s="59">
        <f t="shared" si="64"/>
        <v>0</v>
      </c>
      <c r="T468">
        <f t="shared" si="65"/>
        <v>0</v>
      </c>
      <c r="Y468">
        <f t="shared" si="66"/>
        <v>0</v>
      </c>
      <c r="Z468">
        <f t="shared" si="67"/>
        <v>0</v>
      </c>
    </row>
    <row r="469" spans="2:26">
      <c r="B469" t="str">
        <f t="shared" si="70"/>
        <v>BLUE</v>
      </c>
      <c r="C469" s="6">
        <f t="shared" si="69"/>
        <v>85</v>
      </c>
      <c r="I469">
        <f t="shared" si="62"/>
        <v>0</v>
      </c>
      <c r="N469" s="59">
        <f t="shared" si="63"/>
        <v>0</v>
      </c>
      <c r="O469" s="59">
        <f t="shared" si="64"/>
        <v>0</v>
      </c>
      <c r="T469">
        <f t="shared" si="65"/>
        <v>0</v>
      </c>
      <c r="Y469">
        <f t="shared" si="66"/>
        <v>0</v>
      </c>
      <c r="Z469">
        <f t="shared" si="67"/>
        <v>0</v>
      </c>
    </row>
    <row r="470" spans="2:26">
      <c r="B470" t="str">
        <f t="shared" si="70"/>
        <v>BLUE</v>
      </c>
      <c r="C470" s="6">
        <f t="shared" si="69"/>
        <v>86</v>
      </c>
      <c r="I470">
        <f t="shared" si="62"/>
        <v>0</v>
      </c>
      <c r="N470" s="59">
        <f t="shared" si="63"/>
        <v>0</v>
      </c>
      <c r="O470" s="59">
        <f t="shared" si="64"/>
        <v>0</v>
      </c>
      <c r="T470">
        <f t="shared" si="65"/>
        <v>0</v>
      </c>
      <c r="Y470">
        <f t="shared" si="66"/>
        <v>0</v>
      </c>
      <c r="Z470">
        <f t="shared" si="67"/>
        <v>0</v>
      </c>
    </row>
    <row r="471" spans="2:26">
      <c r="B471" t="str">
        <f t="shared" si="70"/>
        <v>BLUE</v>
      </c>
      <c r="C471" s="6">
        <f t="shared" si="69"/>
        <v>87</v>
      </c>
      <c r="I471">
        <f t="shared" si="62"/>
        <v>0</v>
      </c>
      <c r="N471" s="59">
        <f t="shared" si="63"/>
        <v>0</v>
      </c>
      <c r="O471" s="59">
        <f t="shared" si="64"/>
        <v>0</v>
      </c>
      <c r="T471">
        <f t="shared" si="65"/>
        <v>0</v>
      </c>
      <c r="Y471">
        <f t="shared" si="66"/>
        <v>0</v>
      </c>
      <c r="Z471">
        <f t="shared" si="67"/>
        <v>0</v>
      </c>
    </row>
    <row r="472" spans="2:26">
      <c r="B472" t="str">
        <f t="shared" si="70"/>
        <v>BLUE</v>
      </c>
      <c r="C472" s="6">
        <f t="shared" si="69"/>
        <v>88</v>
      </c>
      <c r="I472">
        <f t="shared" si="62"/>
        <v>0</v>
      </c>
      <c r="N472" s="59">
        <f t="shared" si="63"/>
        <v>0</v>
      </c>
      <c r="O472" s="59">
        <f t="shared" si="64"/>
        <v>0</v>
      </c>
      <c r="T472">
        <f t="shared" si="65"/>
        <v>0</v>
      </c>
      <c r="Y472">
        <f t="shared" si="66"/>
        <v>0</v>
      </c>
      <c r="Z472">
        <f t="shared" si="67"/>
        <v>0</v>
      </c>
    </row>
    <row r="473" spans="2:26">
      <c r="B473" t="str">
        <f t="shared" si="70"/>
        <v>BLUE</v>
      </c>
      <c r="C473" s="6">
        <f t="shared" si="69"/>
        <v>89</v>
      </c>
      <c r="I473">
        <f t="shared" si="62"/>
        <v>0</v>
      </c>
      <c r="N473" s="59">
        <f t="shared" si="63"/>
        <v>0</v>
      </c>
      <c r="O473" s="59">
        <f t="shared" si="64"/>
        <v>0</v>
      </c>
      <c r="T473">
        <f t="shared" si="65"/>
        <v>0</v>
      </c>
      <c r="Y473">
        <f t="shared" si="66"/>
        <v>0</v>
      </c>
      <c r="Z473">
        <f t="shared" si="67"/>
        <v>0</v>
      </c>
    </row>
    <row r="474" spans="2:26">
      <c r="B474" t="str">
        <f t="shared" si="70"/>
        <v>BLUE</v>
      </c>
      <c r="C474" s="6">
        <f t="shared" si="69"/>
        <v>90</v>
      </c>
      <c r="I474">
        <f t="shared" si="62"/>
        <v>0</v>
      </c>
      <c r="N474" s="59">
        <f t="shared" si="63"/>
        <v>0</v>
      </c>
      <c r="O474" s="59">
        <f t="shared" si="64"/>
        <v>0</v>
      </c>
      <c r="T474">
        <f t="shared" si="65"/>
        <v>0</v>
      </c>
      <c r="Y474">
        <f t="shared" si="66"/>
        <v>0</v>
      </c>
      <c r="Z474">
        <f t="shared" si="67"/>
        <v>0</v>
      </c>
    </row>
    <row r="475" spans="2:26">
      <c r="B475" t="str">
        <f t="shared" si="70"/>
        <v>BLUE</v>
      </c>
      <c r="C475" s="6">
        <f t="shared" si="69"/>
        <v>91</v>
      </c>
      <c r="I475">
        <f t="shared" si="62"/>
        <v>0</v>
      </c>
      <c r="N475" s="59">
        <f t="shared" si="63"/>
        <v>0</v>
      </c>
      <c r="O475" s="59">
        <f t="shared" si="64"/>
        <v>0</v>
      </c>
      <c r="T475">
        <f t="shared" si="65"/>
        <v>0</v>
      </c>
      <c r="Y475">
        <f t="shared" si="66"/>
        <v>0</v>
      </c>
      <c r="Z475">
        <f t="shared" si="67"/>
        <v>0</v>
      </c>
    </row>
    <row r="476" spans="2:26">
      <c r="B476" t="str">
        <f t="shared" si="70"/>
        <v>BLUE</v>
      </c>
      <c r="C476" s="6">
        <f t="shared" si="69"/>
        <v>92</v>
      </c>
      <c r="I476">
        <f t="shared" si="62"/>
        <v>0</v>
      </c>
      <c r="N476" s="59">
        <f t="shared" si="63"/>
        <v>0</v>
      </c>
      <c r="O476" s="59">
        <f t="shared" si="64"/>
        <v>0</v>
      </c>
      <c r="T476">
        <f t="shared" si="65"/>
        <v>0</v>
      </c>
      <c r="Y476">
        <f t="shared" si="66"/>
        <v>0</v>
      </c>
      <c r="Z476">
        <f t="shared" si="67"/>
        <v>0</v>
      </c>
    </row>
    <row r="477" spans="2:26">
      <c r="B477" t="str">
        <f t="shared" si="70"/>
        <v>BLUE</v>
      </c>
      <c r="C477" s="6">
        <f t="shared" si="69"/>
        <v>93</v>
      </c>
      <c r="I477">
        <f t="shared" si="62"/>
        <v>0</v>
      </c>
      <c r="N477" s="59">
        <f t="shared" si="63"/>
        <v>0</v>
      </c>
      <c r="O477" s="59">
        <f t="shared" si="64"/>
        <v>0</v>
      </c>
      <c r="T477">
        <f t="shared" si="65"/>
        <v>0</v>
      </c>
      <c r="Y477">
        <f t="shared" si="66"/>
        <v>0</v>
      </c>
      <c r="Z477">
        <f t="shared" si="67"/>
        <v>0</v>
      </c>
    </row>
    <row r="478" spans="2:26">
      <c r="B478" t="str">
        <f t="shared" si="70"/>
        <v>BLUE</v>
      </c>
      <c r="C478" s="6">
        <f t="shared" si="69"/>
        <v>94</v>
      </c>
      <c r="I478">
        <f t="shared" si="62"/>
        <v>0</v>
      </c>
      <c r="N478" s="59">
        <f t="shared" si="63"/>
        <v>0</v>
      </c>
      <c r="O478" s="59">
        <f t="shared" si="64"/>
        <v>0</v>
      </c>
      <c r="T478">
        <f t="shared" si="65"/>
        <v>0</v>
      </c>
      <c r="Y478">
        <f t="shared" si="66"/>
        <v>0</v>
      </c>
      <c r="Z478">
        <f t="shared" si="67"/>
        <v>0</v>
      </c>
    </row>
    <row r="479" spans="2:26">
      <c r="B479" t="str">
        <f t="shared" si="70"/>
        <v>BLUE</v>
      </c>
      <c r="C479" s="6">
        <f t="shared" si="69"/>
        <v>95</v>
      </c>
      <c r="I479">
        <f t="shared" si="62"/>
        <v>0</v>
      </c>
      <c r="N479" s="59">
        <f t="shared" si="63"/>
        <v>0</v>
      </c>
      <c r="O479" s="59">
        <f t="shared" si="64"/>
        <v>0</v>
      </c>
      <c r="T479">
        <f t="shared" si="65"/>
        <v>0</v>
      </c>
      <c r="Y479">
        <f t="shared" si="66"/>
        <v>0</v>
      </c>
      <c r="Z479">
        <f t="shared" si="67"/>
        <v>0</v>
      </c>
    </row>
    <row r="480" spans="2:26">
      <c r="B480" t="str">
        <f t="shared" si="70"/>
        <v>BLUE</v>
      </c>
      <c r="C480" s="6">
        <f t="shared" si="69"/>
        <v>96</v>
      </c>
      <c r="I480">
        <f t="shared" si="62"/>
        <v>0</v>
      </c>
      <c r="N480" s="59">
        <f t="shared" si="63"/>
        <v>0</v>
      </c>
      <c r="O480" s="59">
        <f t="shared" si="64"/>
        <v>0</v>
      </c>
      <c r="T480">
        <f t="shared" si="65"/>
        <v>0</v>
      </c>
      <c r="Y480">
        <f t="shared" si="66"/>
        <v>0</v>
      </c>
      <c r="Z480">
        <f t="shared" si="67"/>
        <v>0</v>
      </c>
    </row>
    <row r="481" spans="2:26">
      <c r="B481" t="str">
        <f t="shared" si="70"/>
        <v>BLUE</v>
      </c>
      <c r="C481" s="6">
        <f t="shared" si="69"/>
        <v>97</v>
      </c>
      <c r="I481">
        <f t="shared" si="62"/>
        <v>0</v>
      </c>
      <c r="N481" s="59">
        <f t="shared" si="63"/>
        <v>0</v>
      </c>
      <c r="O481" s="59">
        <f t="shared" si="64"/>
        <v>0</v>
      </c>
      <c r="T481">
        <f t="shared" si="65"/>
        <v>0</v>
      </c>
      <c r="Y481">
        <f t="shared" si="66"/>
        <v>0</v>
      </c>
      <c r="Z481">
        <f t="shared" si="67"/>
        <v>0</v>
      </c>
    </row>
    <row r="482" spans="2:26">
      <c r="B482" t="str">
        <f t="shared" si="70"/>
        <v>BLUE</v>
      </c>
      <c r="C482" s="6">
        <f t="shared" si="69"/>
        <v>98</v>
      </c>
      <c r="I482">
        <f t="shared" si="62"/>
        <v>0</v>
      </c>
      <c r="N482" s="59">
        <f t="shared" si="63"/>
        <v>0</v>
      </c>
      <c r="O482" s="59">
        <f t="shared" si="64"/>
        <v>0</v>
      </c>
      <c r="T482">
        <f t="shared" si="65"/>
        <v>0</v>
      </c>
      <c r="Y482">
        <f t="shared" si="66"/>
        <v>0</v>
      </c>
      <c r="Z482">
        <f t="shared" si="67"/>
        <v>0</v>
      </c>
    </row>
    <row r="483" spans="2:26">
      <c r="B483" t="str">
        <f t="shared" si="70"/>
        <v>BLUE</v>
      </c>
      <c r="C483" s="6">
        <f t="shared" si="69"/>
        <v>99</v>
      </c>
      <c r="I483">
        <f t="shared" si="62"/>
        <v>0</v>
      </c>
      <c r="N483" s="59">
        <f t="shared" si="63"/>
        <v>0</v>
      </c>
      <c r="O483" s="59">
        <f t="shared" si="64"/>
        <v>0</v>
      </c>
      <c r="T483">
        <f t="shared" si="65"/>
        <v>0</v>
      </c>
      <c r="Y483">
        <f t="shared" si="66"/>
        <v>0</v>
      </c>
      <c r="Z483">
        <f t="shared" si="67"/>
        <v>0</v>
      </c>
    </row>
    <row r="484" spans="2:26">
      <c r="B484" t="str">
        <f t="shared" si="70"/>
        <v>BLUE</v>
      </c>
      <c r="C484" s="6">
        <f t="shared" si="69"/>
        <v>100</v>
      </c>
      <c r="I484">
        <f t="shared" si="62"/>
        <v>0</v>
      </c>
      <c r="N484" s="59">
        <f t="shared" si="63"/>
        <v>0</v>
      </c>
      <c r="O484" s="59">
        <f t="shared" si="64"/>
        <v>0</v>
      </c>
      <c r="T484">
        <f t="shared" si="65"/>
        <v>0</v>
      </c>
      <c r="Y484">
        <f t="shared" si="66"/>
        <v>0</v>
      </c>
      <c r="Z484">
        <f t="shared" si="67"/>
        <v>0</v>
      </c>
    </row>
    <row r="485" spans="2:26">
      <c r="B485" t="str">
        <f t="shared" si="70"/>
        <v>BLUE</v>
      </c>
      <c r="C485" s="6">
        <f t="shared" si="69"/>
        <v>101</v>
      </c>
      <c r="I485">
        <f t="shared" si="62"/>
        <v>0</v>
      </c>
      <c r="N485" s="59">
        <f t="shared" si="63"/>
        <v>0</v>
      </c>
      <c r="O485" s="59">
        <f t="shared" si="64"/>
        <v>0</v>
      </c>
      <c r="T485">
        <f t="shared" si="65"/>
        <v>0</v>
      </c>
      <c r="Y485">
        <f t="shared" si="66"/>
        <v>0</v>
      </c>
      <c r="Z485">
        <f t="shared" si="67"/>
        <v>0</v>
      </c>
    </row>
    <row r="486" spans="2:26">
      <c r="B486" t="str">
        <f t="shared" si="70"/>
        <v>BLUE</v>
      </c>
      <c r="C486" s="6">
        <f t="shared" si="69"/>
        <v>102</v>
      </c>
      <c r="I486">
        <f t="shared" si="62"/>
        <v>0</v>
      </c>
      <c r="N486" s="59">
        <f t="shared" si="63"/>
        <v>0</v>
      </c>
      <c r="O486" s="59">
        <f t="shared" si="64"/>
        <v>0</v>
      </c>
      <c r="T486">
        <f t="shared" si="65"/>
        <v>0</v>
      </c>
      <c r="Y486">
        <f t="shared" si="66"/>
        <v>0</v>
      </c>
      <c r="Z486">
        <f t="shared" si="67"/>
        <v>0</v>
      </c>
    </row>
    <row r="487" spans="2:26">
      <c r="B487" t="str">
        <f t="shared" si="70"/>
        <v>BLUE</v>
      </c>
      <c r="C487" s="6">
        <f t="shared" si="69"/>
        <v>103</v>
      </c>
      <c r="I487">
        <f t="shared" si="62"/>
        <v>0</v>
      </c>
      <c r="N487" s="59">
        <f t="shared" si="63"/>
        <v>0</v>
      </c>
      <c r="O487" s="59">
        <f t="shared" si="64"/>
        <v>0</v>
      </c>
      <c r="T487">
        <f t="shared" si="65"/>
        <v>0</v>
      </c>
      <c r="Y487">
        <f t="shared" si="66"/>
        <v>0</v>
      </c>
      <c r="Z487">
        <f t="shared" si="67"/>
        <v>0</v>
      </c>
    </row>
    <row r="488" spans="2:26">
      <c r="B488" t="str">
        <f t="shared" si="70"/>
        <v>BLUE</v>
      </c>
      <c r="C488" s="6">
        <f t="shared" si="69"/>
        <v>104</v>
      </c>
      <c r="I488">
        <f t="shared" si="62"/>
        <v>0</v>
      </c>
      <c r="N488" s="59">
        <f t="shared" si="63"/>
        <v>0</v>
      </c>
      <c r="O488" s="59">
        <f t="shared" si="64"/>
        <v>0</v>
      </c>
      <c r="T488">
        <f t="shared" si="65"/>
        <v>0</v>
      </c>
      <c r="Y488">
        <f t="shared" si="66"/>
        <v>0</v>
      </c>
      <c r="Z488">
        <f t="shared" si="67"/>
        <v>0</v>
      </c>
    </row>
    <row r="489" spans="2:26">
      <c r="B489" t="str">
        <f t="shared" si="70"/>
        <v>BLUE</v>
      </c>
      <c r="C489" s="6">
        <f t="shared" si="69"/>
        <v>105</v>
      </c>
      <c r="I489">
        <f t="shared" si="62"/>
        <v>0</v>
      </c>
      <c r="N489" s="59">
        <f t="shared" si="63"/>
        <v>0</v>
      </c>
      <c r="O489" s="59">
        <f t="shared" si="64"/>
        <v>0</v>
      </c>
      <c r="T489">
        <f t="shared" si="65"/>
        <v>0</v>
      </c>
      <c r="Y489">
        <f t="shared" si="66"/>
        <v>0</v>
      </c>
      <c r="Z489">
        <f t="shared" si="67"/>
        <v>0</v>
      </c>
    </row>
    <row r="490" spans="2:26">
      <c r="B490" t="str">
        <f t="shared" si="70"/>
        <v>BLUE</v>
      </c>
      <c r="C490" s="6">
        <f t="shared" si="69"/>
        <v>106</v>
      </c>
      <c r="I490">
        <f t="shared" si="62"/>
        <v>0</v>
      </c>
      <c r="N490" s="59">
        <f t="shared" si="63"/>
        <v>0</v>
      </c>
      <c r="O490" s="59">
        <f t="shared" si="64"/>
        <v>0</v>
      </c>
      <c r="T490">
        <f t="shared" si="65"/>
        <v>0</v>
      </c>
      <c r="Y490">
        <f t="shared" si="66"/>
        <v>0</v>
      </c>
      <c r="Z490">
        <f t="shared" si="67"/>
        <v>0</v>
      </c>
    </row>
    <row r="491" spans="2:26">
      <c r="B491" t="str">
        <f t="shared" si="70"/>
        <v>BLUE</v>
      </c>
      <c r="C491" s="6">
        <f t="shared" si="69"/>
        <v>107</v>
      </c>
      <c r="I491">
        <f t="shared" si="62"/>
        <v>0</v>
      </c>
      <c r="N491" s="59">
        <f t="shared" si="63"/>
        <v>0</v>
      </c>
      <c r="O491" s="59">
        <f t="shared" si="64"/>
        <v>0</v>
      </c>
      <c r="T491">
        <f t="shared" si="65"/>
        <v>0</v>
      </c>
      <c r="Y491">
        <f t="shared" si="66"/>
        <v>0</v>
      </c>
      <c r="Z491">
        <f t="shared" si="67"/>
        <v>0</v>
      </c>
    </row>
    <row r="492" spans="2:26">
      <c r="B492" t="str">
        <f t="shared" si="70"/>
        <v>BLUE</v>
      </c>
      <c r="C492" s="6">
        <f t="shared" si="69"/>
        <v>108</v>
      </c>
      <c r="I492">
        <f t="shared" si="62"/>
        <v>0</v>
      </c>
      <c r="N492" s="59">
        <f t="shared" si="63"/>
        <v>0</v>
      </c>
      <c r="O492" s="59">
        <f t="shared" si="64"/>
        <v>0</v>
      </c>
      <c r="T492">
        <f t="shared" si="65"/>
        <v>0</v>
      </c>
      <c r="Y492">
        <f t="shared" si="66"/>
        <v>0</v>
      </c>
      <c r="Z492">
        <f t="shared" si="67"/>
        <v>0</v>
      </c>
    </row>
    <row r="493" spans="2:26">
      <c r="B493" t="str">
        <f t="shared" si="70"/>
        <v>BLUE</v>
      </c>
      <c r="C493" s="6">
        <f t="shared" si="69"/>
        <v>109</v>
      </c>
      <c r="I493">
        <f t="shared" si="62"/>
        <v>0</v>
      </c>
      <c r="N493" s="59">
        <f t="shared" si="63"/>
        <v>0</v>
      </c>
      <c r="O493" s="59">
        <f t="shared" si="64"/>
        <v>0</v>
      </c>
      <c r="T493">
        <f t="shared" si="65"/>
        <v>0</v>
      </c>
      <c r="Y493">
        <f t="shared" si="66"/>
        <v>0</v>
      </c>
      <c r="Z493">
        <f t="shared" si="67"/>
        <v>0</v>
      </c>
    </row>
    <row r="494" spans="2:26">
      <c r="B494" t="str">
        <f t="shared" si="70"/>
        <v>BLUE</v>
      </c>
      <c r="C494" s="6">
        <f t="shared" si="69"/>
        <v>110</v>
      </c>
      <c r="I494">
        <f t="shared" si="62"/>
        <v>0</v>
      </c>
      <c r="N494" s="59">
        <f t="shared" si="63"/>
        <v>0</v>
      </c>
      <c r="O494" s="59">
        <f t="shared" si="64"/>
        <v>0</v>
      </c>
      <c r="T494">
        <f t="shared" si="65"/>
        <v>0</v>
      </c>
      <c r="Y494">
        <f t="shared" ref="Y494:Y557" si="71">SUM($U494:$X494)</f>
        <v>0</v>
      </c>
      <c r="Z494">
        <f t="shared" ref="Z494:Z557" si="72">SUM($T494,$Y494)</f>
        <v>0</v>
      </c>
    </row>
    <row r="495" spans="2:26">
      <c r="B495" t="str">
        <f t="shared" si="70"/>
        <v>BLUE</v>
      </c>
      <c r="C495" s="6">
        <f t="shared" si="69"/>
        <v>111</v>
      </c>
      <c r="I495">
        <f t="shared" si="62"/>
        <v>0</v>
      </c>
      <c r="N495" s="59">
        <f t="shared" si="63"/>
        <v>0</v>
      </c>
      <c r="O495" s="59">
        <f t="shared" si="64"/>
        <v>0</v>
      </c>
      <c r="T495">
        <f t="shared" si="65"/>
        <v>0</v>
      </c>
      <c r="Y495">
        <f t="shared" si="71"/>
        <v>0</v>
      </c>
      <c r="Z495">
        <f t="shared" si="72"/>
        <v>0</v>
      </c>
    </row>
    <row r="496" spans="2:26">
      <c r="B496" t="str">
        <f t="shared" si="70"/>
        <v>BLUE</v>
      </c>
      <c r="C496" s="6">
        <f t="shared" si="69"/>
        <v>112</v>
      </c>
      <c r="I496">
        <f t="shared" si="62"/>
        <v>0</v>
      </c>
      <c r="N496" s="59">
        <f t="shared" si="63"/>
        <v>0</v>
      </c>
      <c r="O496" s="59">
        <f t="shared" si="64"/>
        <v>0</v>
      </c>
      <c r="T496">
        <f t="shared" si="65"/>
        <v>0</v>
      </c>
      <c r="Y496">
        <f t="shared" si="71"/>
        <v>0</v>
      </c>
      <c r="Z496">
        <f t="shared" si="72"/>
        <v>0</v>
      </c>
    </row>
    <row r="497" spans="2:26">
      <c r="B497" t="str">
        <f t="shared" si="70"/>
        <v>BLUE</v>
      </c>
      <c r="C497" s="6">
        <f t="shared" si="69"/>
        <v>113</v>
      </c>
      <c r="I497">
        <f t="shared" si="62"/>
        <v>0</v>
      </c>
      <c r="N497" s="59">
        <f t="shared" si="63"/>
        <v>0</v>
      </c>
      <c r="O497" s="59">
        <f t="shared" si="64"/>
        <v>0</v>
      </c>
      <c r="T497">
        <f t="shared" si="65"/>
        <v>0</v>
      </c>
      <c r="Y497">
        <f t="shared" si="71"/>
        <v>0</v>
      </c>
      <c r="Z497">
        <f t="shared" si="72"/>
        <v>0</v>
      </c>
    </row>
    <row r="498" spans="2:26">
      <c r="B498" t="str">
        <f t="shared" si="70"/>
        <v>BLUE</v>
      </c>
      <c r="C498" s="6">
        <f t="shared" si="69"/>
        <v>114</v>
      </c>
      <c r="I498">
        <f t="shared" si="62"/>
        <v>0</v>
      </c>
      <c r="N498" s="59">
        <f t="shared" si="63"/>
        <v>0</v>
      </c>
      <c r="O498" s="59">
        <f t="shared" si="64"/>
        <v>0</v>
      </c>
      <c r="T498">
        <f t="shared" si="65"/>
        <v>0</v>
      </c>
      <c r="Y498">
        <f t="shared" si="71"/>
        <v>0</v>
      </c>
      <c r="Z498">
        <f t="shared" si="72"/>
        <v>0</v>
      </c>
    </row>
    <row r="499" spans="2:26">
      <c r="B499" t="str">
        <f t="shared" si="70"/>
        <v>BLUE</v>
      </c>
      <c r="C499" s="6">
        <f t="shared" si="69"/>
        <v>115</v>
      </c>
      <c r="I499">
        <f t="shared" si="62"/>
        <v>0</v>
      </c>
      <c r="N499" s="59">
        <f t="shared" si="63"/>
        <v>0</v>
      </c>
      <c r="O499" s="59">
        <f t="shared" si="64"/>
        <v>0</v>
      </c>
      <c r="T499">
        <f t="shared" si="65"/>
        <v>0</v>
      </c>
      <c r="Y499">
        <f t="shared" si="71"/>
        <v>0</v>
      </c>
      <c r="Z499">
        <f t="shared" si="72"/>
        <v>0</v>
      </c>
    </row>
    <row r="500" spans="2:26">
      <c r="B500" t="str">
        <f t="shared" si="70"/>
        <v>BLUE</v>
      </c>
      <c r="C500" s="6">
        <f t="shared" si="69"/>
        <v>116</v>
      </c>
      <c r="I500">
        <f t="shared" si="62"/>
        <v>0</v>
      </c>
      <c r="N500" s="59">
        <f t="shared" si="63"/>
        <v>0</v>
      </c>
      <c r="O500" s="59">
        <f t="shared" si="64"/>
        <v>0</v>
      </c>
      <c r="T500">
        <f t="shared" si="65"/>
        <v>0</v>
      </c>
      <c r="Y500">
        <f t="shared" si="71"/>
        <v>0</v>
      </c>
      <c r="Z500">
        <f t="shared" si="72"/>
        <v>0</v>
      </c>
    </row>
    <row r="501" spans="2:26">
      <c r="B501" t="str">
        <f t="shared" si="70"/>
        <v>BLUE</v>
      </c>
      <c r="C501" s="6">
        <f t="shared" ref="C501:C564" si="73">C500+1</f>
        <v>117</v>
      </c>
      <c r="I501">
        <f t="shared" si="62"/>
        <v>0</v>
      </c>
      <c r="N501" s="59">
        <f t="shared" si="63"/>
        <v>0</v>
      </c>
      <c r="O501" s="59">
        <f t="shared" si="64"/>
        <v>0</v>
      </c>
      <c r="T501">
        <f t="shared" si="65"/>
        <v>0</v>
      </c>
      <c r="Y501">
        <f t="shared" si="71"/>
        <v>0</v>
      </c>
      <c r="Z501">
        <f t="shared" si="72"/>
        <v>0</v>
      </c>
    </row>
    <row r="502" spans="2:26">
      <c r="B502" t="str">
        <f t="shared" si="70"/>
        <v>BLUE</v>
      </c>
      <c r="C502" s="6">
        <f t="shared" si="73"/>
        <v>118</v>
      </c>
      <c r="I502">
        <f t="shared" si="62"/>
        <v>0</v>
      </c>
      <c r="N502" s="59">
        <f t="shared" si="63"/>
        <v>0</v>
      </c>
      <c r="O502" s="59">
        <f t="shared" si="64"/>
        <v>0</v>
      </c>
      <c r="T502">
        <f t="shared" si="65"/>
        <v>0</v>
      </c>
      <c r="Y502">
        <f t="shared" si="71"/>
        <v>0</v>
      </c>
      <c r="Z502">
        <f t="shared" si="72"/>
        <v>0</v>
      </c>
    </row>
    <row r="503" spans="2:26">
      <c r="B503" t="str">
        <f t="shared" si="70"/>
        <v>BLUE</v>
      </c>
      <c r="C503" s="6">
        <f t="shared" si="73"/>
        <v>119</v>
      </c>
      <c r="I503">
        <f t="shared" si="62"/>
        <v>0</v>
      </c>
      <c r="N503" s="59">
        <f t="shared" si="63"/>
        <v>0</v>
      </c>
      <c r="O503" s="59">
        <f t="shared" si="64"/>
        <v>0</v>
      </c>
      <c r="T503">
        <f t="shared" si="65"/>
        <v>0</v>
      </c>
      <c r="Y503">
        <f t="shared" si="71"/>
        <v>0</v>
      </c>
      <c r="Z503">
        <f t="shared" si="72"/>
        <v>0</v>
      </c>
    </row>
    <row r="504" spans="2:26">
      <c r="B504" t="str">
        <f t="shared" si="70"/>
        <v>BLUE</v>
      </c>
      <c r="C504" s="6">
        <f t="shared" si="73"/>
        <v>120</v>
      </c>
      <c r="I504">
        <f t="shared" si="62"/>
        <v>0</v>
      </c>
      <c r="N504" s="59">
        <f t="shared" si="63"/>
        <v>0</v>
      </c>
      <c r="O504" s="59">
        <f t="shared" si="64"/>
        <v>0</v>
      </c>
      <c r="T504">
        <f t="shared" si="65"/>
        <v>0</v>
      </c>
      <c r="Y504">
        <f t="shared" si="71"/>
        <v>0</v>
      </c>
      <c r="Z504">
        <f t="shared" si="72"/>
        <v>0</v>
      </c>
    </row>
    <row r="505" spans="2:26">
      <c r="B505" t="str">
        <f t="shared" si="70"/>
        <v>BLUE</v>
      </c>
      <c r="C505" s="6">
        <f t="shared" si="73"/>
        <v>121</v>
      </c>
      <c r="I505">
        <f t="shared" si="62"/>
        <v>0</v>
      </c>
      <c r="N505" s="59">
        <f t="shared" si="63"/>
        <v>0</v>
      </c>
      <c r="O505" s="59">
        <f t="shared" si="64"/>
        <v>0</v>
      </c>
      <c r="T505">
        <f t="shared" si="65"/>
        <v>0</v>
      </c>
      <c r="Y505">
        <f t="shared" si="71"/>
        <v>0</v>
      </c>
      <c r="Z505">
        <f t="shared" si="72"/>
        <v>0</v>
      </c>
    </row>
    <row r="506" spans="2:26">
      <c r="B506" t="str">
        <f t="shared" si="70"/>
        <v>BLUE</v>
      </c>
      <c r="C506" s="6">
        <f t="shared" si="73"/>
        <v>122</v>
      </c>
      <c r="I506">
        <f t="shared" si="62"/>
        <v>0</v>
      </c>
      <c r="N506" s="59">
        <f t="shared" si="63"/>
        <v>0</v>
      </c>
      <c r="O506" s="59">
        <f t="shared" si="64"/>
        <v>0</v>
      </c>
      <c r="T506">
        <f t="shared" si="65"/>
        <v>0</v>
      </c>
      <c r="Y506">
        <f t="shared" si="71"/>
        <v>0</v>
      </c>
      <c r="Z506">
        <f t="shared" si="72"/>
        <v>0</v>
      </c>
    </row>
    <row r="507" spans="2:26">
      <c r="B507" t="str">
        <f t="shared" si="70"/>
        <v>BLUE</v>
      </c>
      <c r="C507" s="6">
        <f t="shared" si="73"/>
        <v>123</v>
      </c>
      <c r="I507">
        <f t="shared" si="62"/>
        <v>0</v>
      </c>
      <c r="N507" s="59">
        <f t="shared" si="63"/>
        <v>0</v>
      </c>
      <c r="O507" s="59">
        <f t="shared" si="64"/>
        <v>0</v>
      </c>
      <c r="T507">
        <f t="shared" si="65"/>
        <v>0</v>
      </c>
      <c r="Y507">
        <f t="shared" si="71"/>
        <v>0</v>
      </c>
      <c r="Z507">
        <f t="shared" si="72"/>
        <v>0</v>
      </c>
    </row>
    <row r="508" spans="2:26">
      <c r="B508" t="str">
        <f t="shared" si="70"/>
        <v>BLUE</v>
      </c>
      <c r="C508" s="6">
        <f t="shared" si="73"/>
        <v>124</v>
      </c>
      <c r="I508">
        <f t="shared" si="62"/>
        <v>0</v>
      </c>
      <c r="N508" s="59">
        <f t="shared" si="63"/>
        <v>0</v>
      </c>
      <c r="O508" s="59">
        <f t="shared" si="64"/>
        <v>0</v>
      </c>
      <c r="T508">
        <f t="shared" si="65"/>
        <v>0</v>
      </c>
      <c r="Y508">
        <f t="shared" si="71"/>
        <v>0</v>
      </c>
      <c r="Z508">
        <f t="shared" si="72"/>
        <v>0</v>
      </c>
    </row>
    <row r="509" spans="2:26">
      <c r="B509" t="str">
        <f t="shared" si="70"/>
        <v>BLUE</v>
      </c>
      <c r="C509" s="6">
        <f t="shared" si="73"/>
        <v>125</v>
      </c>
      <c r="I509">
        <f t="shared" si="62"/>
        <v>0</v>
      </c>
      <c r="N509" s="59">
        <f t="shared" si="63"/>
        <v>0</v>
      </c>
      <c r="O509" s="59">
        <f t="shared" si="64"/>
        <v>0</v>
      </c>
      <c r="T509">
        <f t="shared" si="65"/>
        <v>0</v>
      </c>
      <c r="Y509">
        <f t="shared" si="71"/>
        <v>0</v>
      </c>
      <c r="Z509">
        <f t="shared" si="72"/>
        <v>0</v>
      </c>
    </row>
    <row r="510" spans="2:26">
      <c r="B510" t="str">
        <f t="shared" si="70"/>
        <v>BLUE</v>
      </c>
      <c r="C510" s="6">
        <f t="shared" si="73"/>
        <v>126</v>
      </c>
      <c r="I510">
        <f t="shared" ref="I510:I573" si="74">SUM($E510:$H510)</f>
        <v>0</v>
      </c>
      <c r="N510" s="59">
        <f t="shared" si="63"/>
        <v>0</v>
      </c>
      <c r="O510" s="59">
        <f t="shared" si="64"/>
        <v>0</v>
      </c>
      <c r="T510">
        <f t="shared" ref="T510:T573" si="75">SUM($P510:$S510)</f>
        <v>0</v>
      </c>
      <c r="Y510">
        <f t="shared" si="71"/>
        <v>0</v>
      </c>
      <c r="Z510">
        <f t="shared" si="72"/>
        <v>0</v>
      </c>
    </row>
    <row r="511" spans="2:26">
      <c r="B511" t="str">
        <f t="shared" si="70"/>
        <v>BLUE</v>
      </c>
      <c r="C511" s="6">
        <f t="shared" si="73"/>
        <v>127</v>
      </c>
      <c r="I511">
        <f t="shared" si="74"/>
        <v>0</v>
      </c>
      <c r="N511" s="59">
        <f t="shared" si="63"/>
        <v>0</v>
      </c>
      <c r="O511" s="59">
        <f t="shared" si="64"/>
        <v>0</v>
      </c>
      <c r="T511">
        <f t="shared" si="75"/>
        <v>0</v>
      </c>
      <c r="Y511">
        <f t="shared" si="71"/>
        <v>0</v>
      </c>
      <c r="Z511">
        <f t="shared" si="72"/>
        <v>0</v>
      </c>
    </row>
    <row r="512" spans="2:26">
      <c r="B512" t="str">
        <f t="shared" si="70"/>
        <v>BLUE</v>
      </c>
      <c r="C512" s="6">
        <f t="shared" si="73"/>
        <v>128</v>
      </c>
      <c r="I512">
        <f t="shared" si="74"/>
        <v>0</v>
      </c>
      <c r="N512" s="59">
        <f t="shared" si="63"/>
        <v>0</v>
      </c>
      <c r="O512" s="59">
        <f t="shared" si="64"/>
        <v>0</v>
      </c>
      <c r="T512">
        <f t="shared" si="75"/>
        <v>0</v>
      </c>
      <c r="Y512">
        <f t="shared" si="71"/>
        <v>0</v>
      </c>
      <c r="Z512">
        <f t="shared" si="72"/>
        <v>0</v>
      </c>
    </row>
    <row r="513" spans="2:26">
      <c r="B513" t="str">
        <f t="shared" si="70"/>
        <v>BLUE</v>
      </c>
      <c r="C513" s="6">
        <f t="shared" si="73"/>
        <v>129</v>
      </c>
      <c r="I513">
        <f t="shared" si="74"/>
        <v>0</v>
      </c>
      <c r="N513" s="59">
        <f t="shared" si="63"/>
        <v>0</v>
      </c>
      <c r="O513" s="59">
        <f t="shared" si="64"/>
        <v>0</v>
      </c>
      <c r="T513">
        <f t="shared" si="75"/>
        <v>0</v>
      </c>
      <c r="Y513">
        <f t="shared" si="71"/>
        <v>0</v>
      </c>
      <c r="Z513">
        <f t="shared" si="72"/>
        <v>0</v>
      </c>
    </row>
    <row r="514" spans="2:26">
      <c r="B514" t="str">
        <f t="shared" si="70"/>
        <v>BLUE</v>
      </c>
      <c r="C514" s="6">
        <f t="shared" si="73"/>
        <v>130</v>
      </c>
      <c r="I514">
        <f t="shared" si="74"/>
        <v>0</v>
      </c>
      <c r="N514" s="59">
        <f t="shared" si="63"/>
        <v>0</v>
      </c>
      <c r="O514" s="59">
        <f t="shared" si="64"/>
        <v>0</v>
      </c>
      <c r="T514">
        <f t="shared" si="75"/>
        <v>0</v>
      </c>
      <c r="Y514">
        <f t="shared" si="71"/>
        <v>0</v>
      </c>
      <c r="Z514">
        <f t="shared" si="72"/>
        <v>0</v>
      </c>
    </row>
    <row r="515" spans="2:26">
      <c r="B515" t="str">
        <f t="shared" si="70"/>
        <v>BLUE</v>
      </c>
      <c r="C515" s="6">
        <f t="shared" si="73"/>
        <v>131</v>
      </c>
      <c r="I515">
        <f t="shared" si="74"/>
        <v>0</v>
      </c>
      <c r="N515" s="59">
        <f t="shared" si="63"/>
        <v>0</v>
      </c>
      <c r="O515" s="59">
        <f t="shared" si="64"/>
        <v>0</v>
      </c>
      <c r="T515">
        <f t="shared" si="75"/>
        <v>0</v>
      </c>
      <c r="Y515">
        <f t="shared" si="71"/>
        <v>0</v>
      </c>
      <c r="Z515">
        <f t="shared" si="72"/>
        <v>0</v>
      </c>
    </row>
    <row r="516" spans="2:26">
      <c r="B516" t="str">
        <f t="shared" si="70"/>
        <v>BLUE</v>
      </c>
      <c r="C516" s="6">
        <f t="shared" si="73"/>
        <v>132</v>
      </c>
      <c r="I516">
        <f t="shared" si="74"/>
        <v>0</v>
      </c>
      <c r="N516" s="59">
        <f t="shared" si="63"/>
        <v>0</v>
      </c>
      <c r="O516" s="59">
        <f t="shared" si="64"/>
        <v>0</v>
      </c>
      <c r="T516">
        <f t="shared" si="75"/>
        <v>0</v>
      </c>
      <c r="Y516">
        <f t="shared" si="71"/>
        <v>0</v>
      </c>
      <c r="Z516">
        <f t="shared" si="72"/>
        <v>0</v>
      </c>
    </row>
    <row r="517" spans="2:26">
      <c r="B517" t="str">
        <f t="shared" si="70"/>
        <v>BLUE</v>
      </c>
      <c r="C517" s="6">
        <f t="shared" si="73"/>
        <v>133</v>
      </c>
      <c r="I517">
        <f t="shared" si="74"/>
        <v>0</v>
      </c>
      <c r="N517" s="59">
        <f t="shared" si="63"/>
        <v>0</v>
      </c>
      <c r="O517" s="59">
        <f t="shared" si="64"/>
        <v>0</v>
      </c>
      <c r="T517">
        <f t="shared" si="75"/>
        <v>0</v>
      </c>
      <c r="Y517">
        <f t="shared" si="71"/>
        <v>0</v>
      </c>
      <c r="Z517">
        <f t="shared" si="72"/>
        <v>0</v>
      </c>
    </row>
    <row r="518" spans="2:26">
      <c r="B518" t="str">
        <f t="shared" si="70"/>
        <v>BLUE</v>
      </c>
      <c r="C518" s="6">
        <f t="shared" si="73"/>
        <v>134</v>
      </c>
      <c r="I518">
        <f t="shared" si="74"/>
        <v>0</v>
      </c>
      <c r="N518" s="59">
        <f t="shared" si="63"/>
        <v>0</v>
      </c>
      <c r="O518" s="59">
        <f t="shared" si="64"/>
        <v>0</v>
      </c>
      <c r="T518">
        <f t="shared" si="75"/>
        <v>0</v>
      </c>
      <c r="Y518">
        <f t="shared" si="71"/>
        <v>0</v>
      </c>
      <c r="Z518">
        <f t="shared" si="72"/>
        <v>0</v>
      </c>
    </row>
    <row r="519" spans="2:26">
      <c r="B519" t="str">
        <f t="shared" si="70"/>
        <v>BLUE</v>
      </c>
      <c r="C519" s="6">
        <f t="shared" si="73"/>
        <v>135</v>
      </c>
      <c r="I519">
        <f t="shared" si="74"/>
        <v>0</v>
      </c>
      <c r="N519" s="59">
        <f t="shared" si="63"/>
        <v>0</v>
      </c>
      <c r="O519" s="59">
        <f t="shared" si="64"/>
        <v>0</v>
      </c>
      <c r="T519">
        <f t="shared" si="75"/>
        <v>0</v>
      </c>
      <c r="Y519">
        <f t="shared" si="71"/>
        <v>0</v>
      </c>
      <c r="Z519">
        <f t="shared" si="72"/>
        <v>0</v>
      </c>
    </row>
    <row r="520" spans="2:26">
      <c r="B520" t="str">
        <f t="shared" si="70"/>
        <v>BLUE</v>
      </c>
      <c r="C520" s="6">
        <f t="shared" si="73"/>
        <v>136</v>
      </c>
      <c r="I520">
        <f t="shared" si="74"/>
        <v>0</v>
      </c>
      <c r="N520" s="59">
        <f t="shared" si="63"/>
        <v>0</v>
      </c>
      <c r="O520" s="59">
        <f t="shared" si="64"/>
        <v>0</v>
      </c>
      <c r="T520">
        <f t="shared" si="75"/>
        <v>0</v>
      </c>
      <c r="Y520">
        <f t="shared" si="71"/>
        <v>0</v>
      </c>
      <c r="Z520">
        <f t="shared" si="72"/>
        <v>0</v>
      </c>
    </row>
    <row r="521" spans="2:26">
      <c r="B521" t="str">
        <f t="shared" si="70"/>
        <v>BLUE</v>
      </c>
      <c r="C521" s="6">
        <f t="shared" si="73"/>
        <v>137</v>
      </c>
      <c r="I521">
        <f t="shared" si="74"/>
        <v>0</v>
      </c>
      <c r="N521" s="59">
        <f t="shared" ref="N521:N584" si="76">SUM($J521:$M521)</f>
        <v>0</v>
      </c>
      <c r="O521" s="59">
        <f t="shared" ref="O521:O584" si="77">SUM($I521, $N521)</f>
        <v>0</v>
      </c>
      <c r="T521">
        <f t="shared" si="75"/>
        <v>0</v>
      </c>
      <c r="Y521">
        <f t="shared" si="71"/>
        <v>0</v>
      </c>
      <c r="Z521">
        <f t="shared" si="72"/>
        <v>0</v>
      </c>
    </row>
    <row r="522" spans="2:26">
      <c r="B522" t="str">
        <f t="shared" si="70"/>
        <v>BLUE</v>
      </c>
      <c r="C522" s="6">
        <f t="shared" si="73"/>
        <v>138</v>
      </c>
      <c r="I522">
        <f t="shared" si="74"/>
        <v>0</v>
      </c>
      <c r="N522" s="59">
        <f t="shared" si="76"/>
        <v>0</v>
      </c>
      <c r="O522" s="59">
        <f t="shared" si="77"/>
        <v>0</v>
      </c>
      <c r="T522">
        <f t="shared" si="75"/>
        <v>0</v>
      </c>
      <c r="Y522">
        <f t="shared" si="71"/>
        <v>0</v>
      </c>
      <c r="Z522">
        <f t="shared" si="72"/>
        <v>0</v>
      </c>
    </row>
    <row r="523" spans="2:26">
      <c r="B523" t="str">
        <f t="shared" si="70"/>
        <v>BLUE</v>
      </c>
      <c r="C523" s="6">
        <f t="shared" si="73"/>
        <v>139</v>
      </c>
      <c r="I523">
        <f t="shared" si="74"/>
        <v>0</v>
      </c>
      <c r="N523" s="59">
        <f t="shared" si="76"/>
        <v>0</v>
      </c>
      <c r="O523" s="59">
        <f t="shared" si="77"/>
        <v>0</v>
      </c>
      <c r="T523">
        <f t="shared" si="75"/>
        <v>0</v>
      </c>
      <c r="Y523">
        <f t="shared" si="71"/>
        <v>0</v>
      </c>
      <c r="Z523">
        <f t="shared" si="72"/>
        <v>0</v>
      </c>
    </row>
    <row r="524" spans="2:26">
      <c r="B524" t="str">
        <f t="shared" si="70"/>
        <v>BLUE</v>
      </c>
      <c r="C524" s="6">
        <f t="shared" si="73"/>
        <v>140</v>
      </c>
      <c r="I524">
        <f t="shared" si="74"/>
        <v>0</v>
      </c>
      <c r="N524" s="59">
        <f t="shared" si="76"/>
        <v>0</v>
      </c>
      <c r="O524" s="59">
        <f t="shared" si="77"/>
        <v>0</v>
      </c>
      <c r="T524">
        <f t="shared" si="75"/>
        <v>0</v>
      </c>
      <c r="Y524">
        <f t="shared" si="71"/>
        <v>0</v>
      </c>
      <c r="Z524">
        <f t="shared" si="72"/>
        <v>0</v>
      </c>
    </row>
    <row r="525" spans="2:26">
      <c r="B525" t="str">
        <f t="shared" si="70"/>
        <v>BLUE</v>
      </c>
      <c r="C525" s="6">
        <f t="shared" si="73"/>
        <v>141</v>
      </c>
      <c r="I525">
        <f t="shared" si="74"/>
        <v>0</v>
      </c>
      <c r="N525" s="59">
        <f t="shared" si="76"/>
        <v>0</v>
      </c>
      <c r="O525" s="59">
        <f t="shared" si="77"/>
        <v>0</v>
      </c>
      <c r="T525">
        <f t="shared" si="75"/>
        <v>0</v>
      </c>
      <c r="Y525">
        <f t="shared" si="71"/>
        <v>0</v>
      </c>
      <c r="Z525">
        <f t="shared" si="72"/>
        <v>0</v>
      </c>
    </row>
    <row r="526" spans="2:26">
      <c r="B526" t="str">
        <f t="shared" si="70"/>
        <v>BLUE</v>
      </c>
      <c r="C526" s="6">
        <f t="shared" si="73"/>
        <v>142</v>
      </c>
      <c r="I526">
        <f t="shared" si="74"/>
        <v>0</v>
      </c>
      <c r="N526" s="59">
        <f t="shared" si="76"/>
        <v>0</v>
      </c>
      <c r="O526" s="59">
        <f t="shared" si="77"/>
        <v>0</v>
      </c>
      <c r="T526">
        <f t="shared" si="75"/>
        <v>0</v>
      </c>
      <c r="Y526">
        <f t="shared" si="71"/>
        <v>0</v>
      </c>
      <c r="Z526">
        <f t="shared" si="72"/>
        <v>0</v>
      </c>
    </row>
    <row r="527" spans="2:26">
      <c r="B527" t="str">
        <f t="shared" si="70"/>
        <v>BLUE</v>
      </c>
      <c r="C527" s="6">
        <f t="shared" si="73"/>
        <v>143</v>
      </c>
      <c r="I527">
        <f t="shared" si="74"/>
        <v>0</v>
      </c>
      <c r="N527" s="59">
        <f t="shared" si="76"/>
        <v>0</v>
      </c>
      <c r="O527" s="59">
        <f t="shared" si="77"/>
        <v>0</v>
      </c>
      <c r="T527">
        <f t="shared" si="75"/>
        <v>0</v>
      </c>
      <c r="Y527">
        <f t="shared" si="71"/>
        <v>0</v>
      </c>
      <c r="Z527">
        <f t="shared" si="72"/>
        <v>0</v>
      </c>
    </row>
    <row r="528" spans="2:26">
      <c r="B528" t="str">
        <f t="shared" si="70"/>
        <v>BLUE</v>
      </c>
      <c r="C528" s="6">
        <f t="shared" si="73"/>
        <v>144</v>
      </c>
      <c r="I528">
        <f t="shared" si="74"/>
        <v>0</v>
      </c>
      <c r="N528" s="59">
        <f t="shared" si="76"/>
        <v>0</v>
      </c>
      <c r="O528" s="59">
        <f t="shared" si="77"/>
        <v>0</v>
      </c>
      <c r="T528">
        <f t="shared" si="75"/>
        <v>0</v>
      </c>
      <c r="Y528">
        <f t="shared" si="71"/>
        <v>0</v>
      </c>
      <c r="Z528">
        <f t="shared" si="72"/>
        <v>0</v>
      </c>
    </row>
    <row r="529" spans="2:26">
      <c r="B529" t="str">
        <f t="shared" si="70"/>
        <v>BLUE</v>
      </c>
      <c r="C529" s="6">
        <f t="shared" si="73"/>
        <v>145</v>
      </c>
      <c r="I529">
        <f t="shared" si="74"/>
        <v>0</v>
      </c>
      <c r="N529" s="59">
        <f t="shared" si="76"/>
        <v>0</v>
      </c>
      <c r="O529" s="59">
        <f t="shared" si="77"/>
        <v>0</v>
      </c>
      <c r="T529">
        <f t="shared" si="75"/>
        <v>0</v>
      </c>
      <c r="Y529">
        <f t="shared" si="71"/>
        <v>0</v>
      </c>
      <c r="Z529">
        <f t="shared" si="72"/>
        <v>0</v>
      </c>
    </row>
    <row r="530" spans="2:26">
      <c r="B530" t="str">
        <f t="shared" si="70"/>
        <v>BLUE</v>
      </c>
      <c r="C530" s="6">
        <f t="shared" si="73"/>
        <v>146</v>
      </c>
      <c r="I530">
        <f t="shared" si="74"/>
        <v>0</v>
      </c>
      <c r="N530" s="59">
        <f t="shared" si="76"/>
        <v>0</v>
      </c>
      <c r="O530" s="59">
        <f t="shared" si="77"/>
        <v>0</v>
      </c>
      <c r="T530">
        <f t="shared" si="75"/>
        <v>0</v>
      </c>
      <c r="Y530">
        <f t="shared" si="71"/>
        <v>0</v>
      </c>
      <c r="Z530">
        <f t="shared" si="72"/>
        <v>0</v>
      </c>
    </row>
    <row r="531" spans="2:26">
      <c r="B531" t="str">
        <f t="shared" ref="B531:B594" si="78">B530</f>
        <v>BLUE</v>
      </c>
      <c r="C531" s="6">
        <f t="shared" si="73"/>
        <v>147</v>
      </c>
      <c r="I531">
        <f t="shared" si="74"/>
        <v>0</v>
      </c>
      <c r="N531" s="59">
        <f t="shared" si="76"/>
        <v>0</v>
      </c>
      <c r="O531" s="59">
        <f t="shared" si="77"/>
        <v>0</v>
      </c>
      <c r="T531">
        <f t="shared" si="75"/>
        <v>0</v>
      </c>
      <c r="Y531">
        <f t="shared" si="71"/>
        <v>0</v>
      </c>
      <c r="Z531">
        <f t="shared" si="72"/>
        <v>0</v>
      </c>
    </row>
    <row r="532" spans="2:26">
      <c r="B532" t="str">
        <f t="shared" si="78"/>
        <v>BLUE</v>
      </c>
      <c r="C532" s="6">
        <f t="shared" si="73"/>
        <v>148</v>
      </c>
      <c r="I532">
        <f t="shared" si="74"/>
        <v>0</v>
      </c>
      <c r="N532" s="59">
        <f t="shared" si="76"/>
        <v>0</v>
      </c>
      <c r="O532" s="59">
        <f t="shared" si="77"/>
        <v>0</v>
      </c>
      <c r="T532">
        <f t="shared" si="75"/>
        <v>0</v>
      </c>
      <c r="Y532">
        <f t="shared" si="71"/>
        <v>0</v>
      </c>
      <c r="Z532">
        <f t="shared" si="72"/>
        <v>0</v>
      </c>
    </row>
    <row r="533" spans="2:26">
      <c r="B533" t="str">
        <f t="shared" si="78"/>
        <v>BLUE</v>
      </c>
      <c r="C533" s="6">
        <f t="shared" si="73"/>
        <v>149</v>
      </c>
      <c r="I533">
        <f t="shared" si="74"/>
        <v>0</v>
      </c>
      <c r="N533" s="59">
        <f t="shared" si="76"/>
        <v>0</v>
      </c>
      <c r="O533" s="59">
        <f t="shared" si="77"/>
        <v>0</v>
      </c>
      <c r="T533">
        <f t="shared" si="75"/>
        <v>0</v>
      </c>
      <c r="Y533">
        <f t="shared" si="71"/>
        <v>0</v>
      </c>
      <c r="Z533">
        <f t="shared" si="72"/>
        <v>0</v>
      </c>
    </row>
    <row r="534" spans="2:26">
      <c r="B534" t="str">
        <f t="shared" si="78"/>
        <v>BLUE</v>
      </c>
      <c r="C534" s="6">
        <f t="shared" si="73"/>
        <v>150</v>
      </c>
      <c r="I534">
        <f t="shared" si="74"/>
        <v>0</v>
      </c>
      <c r="N534" s="59">
        <f t="shared" si="76"/>
        <v>0</v>
      </c>
      <c r="O534" s="59">
        <f t="shared" si="77"/>
        <v>0</v>
      </c>
      <c r="T534">
        <f t="shared" si="75"/>
        <v>0</v>
      </c>
      <c r="Y534">
        <f t="shared" si="71"/>
        <v>0</v>
      </c>
      <c r="Z534">
        <f t="shared" si="72"/>
        <v>0</v>
      </c>
    </row>
    <row r="535" spans="2:26">
      <c r="B535" t="str">
        <f t="shared" si="78"/>
        <v>BLUE</v>
      </c>
      <c r="C535" s="6">
        <f t="shared" si="73"/>
        <v>151</v>
      </c>
      <c r="I535">
        <f t="shared" si="74"/>
        <v>0</v>
      </c>
      <c r="N535" s="59">
        <f t="shared" si="76"/>
        <v>0</v>
      </c>
      <c r="O535" s="59">
        <f t="shared" si="77"/>
        <v>0</v>
      </c>
      <c r="T535">
        <f t="shared" si="75"/>
        <v>0</v>
      </c>
      <c r="Y535">
        <f t="shared" si="71"/>
        <v>0</v>
      </c>
      <c r="Z535">
        <f t="shared" si="72"/>
        <v>0</v>
      </c>
    </row>
    <row r="536" spans="2:26">
      <c r="B536" t="str">
        <f t="shared" si="78"/>
        <v>BLUE</v>
      </c>
      <c r="C536" s="6">
        <f t="shared" si="73"/>
        <v>152</v>
      </c>
      <c r="I536">
        <f t="shared" si="74"/>
        <v>0</v>
      </c>
      <c r="N536" s="59">
        <f t="shared" si="76"/>
        <v>0</v>
      </c>
      <c r="O536" s="59">
        <f t="shared" si="77"/>
        <v>0</v>
      </c>
      <c r="T536">
        <f t="shared" si="75"/>
        <v>0</v>
      </c>
      <c r="Y536">
        <f t="shared" si="71"/>
        <v>0</v>
      </c>
      <c r="Z536">
        <f t="shared" si="72"/>
        <v>0</v>
      </c>
    </row>
    <row r="537" spans="2:26">
      <c r="B537" t="str">
        <f t="shared" si="78"/>
        <v>BLUE</v>
      </c>
      <c r="C537" s="6">
        <f t="shared" si="73"/>
        <v>153</v>
      </c>
      <c r="I537">
        <f t="shared" si="74"/>
        <v>0</v>
      </c>
      <c r="N537" s="59">
        <f t="shared" si="76"/>
        <v>0</v>
      </c>
      <c r="O537" s="59">
        <f t="shared" si="77"/>
        <v>0</v>
      </c>
      <c r="T537">
        <f t="shared" si="75"/>
        <v>0</v>
      </c>
      <c r="Y537">
        <f t="shared" si="71"/>
        <v>0</v>
      </c>
      <c r="Z537">
        <f t="shared" si="72"/>
        <v>0</v>
      </c>
    </row>
    <row r="538" spans="2:26">
      <c r="B538" t="str">
        <f t="shared" si="78"/>
        <v>BLUE</v>
      </c>
      <c r="C538" s="6">
        <f t="shared" si="73"/>
        <v>154</v>
      </c>
      <c r="I538">
        <f t="shared" si="74"/>
        <v>0</v>
      </c>
      <c r="N538" s="59">
        <f t="shared" si="76"/>
        <v>0</v>
      </c>
      <c r="O538" s="59">
        <f t="shared" si="77"/>
        <v>0</v>
      </c>
      <c r="T538">
        <f t="shared" si="75"/>
        <v>0</v>
      </c>
      <c r="Y538">
        <f t="shared" si="71"/>
        <v>0</v>
      </c>
      <c r="Z538">
        <f t="shared" si="72"/>
        <v>0</v>
      </c>
    </row>
    <row r="539" spans="2:26">
      <c r="B539" t="str">
        <f t="shared" si="78"/>
        <v>BLUE</v>
      </c>
      <c r="C539" s="6">
        <f t="shared" si="73"/>
        <v>155</v>
      </c>
      <c r="I539">
        <f t="shared" si="74"/>
        <v>0</v>
      </c>
      <c r="N539" s="59">
        <f t="shared" si="76"/>
        <v>0</v>
      </c>
      <c r="O539" s="59">
        <f t="shared" si="77"/>
        <v>0</v>
      </c>
      <c r="T539">
        <f t="shared" si="75"/>
        <v>0</v>
      </c>
      <c r="Y539">
        <f t="shared" si="71"/>
        <v>0</v>
      </c>
      <c r="Z539">
        <f t="shared" si="72"/>
        <v>0</v>
      </c>
    </row>
    <row r="540" spans="2:26">
      <c r="B540" t="str">
        <f t="shared" si="78"/>
        <v>BLUE</v>
      </c>
      <c r="C540" s="6">
        <f t="shared" si="73"/>
        <v>156</v>
      </c>
      <c r="I540">
        <f t="shared" si="74"/>
        <v>0</v>
      </c>
      <c r="N540" s="59">
        <f t="shared" si="76"/>
        <v>0</v>
      </c>
      <c r="O540" s="59">
        <f t="shared" si="77"/>
        <v>0</v>
      </c>
      <c r="T540">
        <f t="shared" si="75"/>
        <v>0</v>
      </c>
      <c r="Y540">
        <f t="shared" si="71"/>
        <v>0</v>
      </c>
      <c r="Z540">
        <f t="shared" si="72"/>
        <v>0</v>
      </c>
    </row>
    <row r="541" spans="2:26">
      <c r="B541" t="str">
        <f t="shared" si="78"/>
        <v>BLUE</v>
      </c>
      <c r="C541" s="6">
        <f t="shared" si="73"/>
        <v>157</v>
      </c>
      <c r="I541">
        <f t="shared" si="74"/>
        <v>0</v>
      </c>
      <c r="N541" s="59">
        <f t="shared" si="76"/>
        <v>0</v>
      </c>
      <c r="O541" s="59">
        <f t="shared" si="77"/>
        <v>0</v>
      </c>
      <c r="T541">
        <f t="shared" si="75"/>
        <v>0</v>
      </c>
      <c r="Y541">
        <f t="shared" si="71"/>
        <v>0</v>
      </c>
      <c r="Z541">
        <f t="shared" si="72"/>
        <v>0</v>
      </c>
    </row>
    <row r="542" spans="2:26">
      <c r="B542" t="str">
        <f t="shared" si="78"/>
        <v>BLUE</v>
      </c>
      <c r="C542" s="6">
        <f t="shared" si="73"/>
        <v>158</v>
      </c>
      <c r="I542">
        <f t="shared" si="74"/>
        <v>0</v>
      </c>
      <c r="N542" s="59">
        <f t="shared" si="76"/>
        <v>0</v>
      </c>
      <c r="O542" s="59">
        <f t="shared" si="77"/>
        <v>0</v>
      </c>
      <c r="T542">
        <f t="shared" si="75"/>
        <v>0</v>
      </c>
      <c r="Y542">
        <f t="shared" si="71"/>
        <v>0</v>
      </c>
      <c r="Z542">
        <f t="shared" si="72"/>
        <v>0</v>
      </c>
    </row>
    <row r="543" spans="2:26">
      <c r="B543" t="str">
        <f t="shared" si="78"/>
        <v>BLUE</v>
      </c>
      <c r="C543" s="6">
        <f t="shared" si="73"/>
        <v>159</v>
      </c>
      <c r="I543">
        <f t="shared" si="74"/>
        <v>0</v>
      </c>
      <c r="N543" s="59">
        <f t="shared" si="76"/>
        <v>0</v>
      </c>
      <c r="O543" s="59">
        <f t="shared" si="77"/>
        <v>0</v>
      </c>
      <c r="T543">
        <f t="shared" si="75"/>
        <v>0</v>
      </c>
      <c r="Y543">
        <f t="shared" si="71"/>
        <v>0</v>
      </c>
      <c r="Z543">
        <f t="shared" si="72"/>
        <v>0</v>
      </c>
    </row>
    <row r="544" spans="2:26">
      <c r="B544" t="str">
        <f t="shared" si="78"/>
        <v>BLUE</v>
      </c>
      <c r="C544" s="6">
        <f t="shared" si="73"/>
        <v>160</v>
      </c>
      <c r="I544">
        <f t="shared" si="74"/>
        <v>0</v>
      </c>
      <c r="N544" s="59">
        <f t="shared" si="76"/>
        <v>0</v>
      </c>
      <c r="O544" s="59">
        <f t="shared" si="77"/>
        <v>0</v>
      </c>
      <c r="T544">
        <f t="shared" si="75"/>
        <v>0</v>
      </c>
      <c r="Y544">
        <f t="shared" si="71"/>
        <v>0</v>
      </c>
      <c r="Z544">
        <f t="shared" si="72"/>
        <v>0</v>
      </c>
    </row>
    <row r="545" spans="2:26">
      <c r="B545" t="str">
        <f t="shared" si="78"/>
        <v>BLUE</v>
      </c>
      <c r="C545" s="6">
        <f t="shared" si="73"/>
        <v>161</v>
      </c>
      <c r="I545">
        <f t="shared" si="74"/>
        <v>0</v>
      </c>
      <c r="N545" s="59">
        <f t="shared" si="76"/>
        <v>0</v>
      </c>
      <c r="O545" s="59">
        <f t="shared" si="77"/>
        <v>0</v>
      </c>
      <c r="T545">
        <f t="shared" si="75"/>
        <v>0</v>
      </c>
      <c r="Y545">
        <f t="shared" si="71"/>
        <v>0</v>
      </c>
      <c r="Z545">
        <f t="shared" si="72"/>
        <v>0</v>
      </c>
    </row>
    <row r="546" spans="2:26">
      <c r="B546" t="str">
        <f t="shared" si="78"/>
        <v>BLUE</v>
      </c>
      <c r="C546" s="6">
        <f t="shared" si="73"/>
        <v>162</v>
      </c>
      <c r="I546">
        <f t="shared" si="74"/>
        <v>0</v>
      </c>
      <c r="N546" s="59">
        <f t="shared" si="76"/>
        <v>0</v>
      </c>
      <c r="O546" s="59">
        <f t="shared" si="77"/>
        <v>0</v>
      </c>
      <c r="T546">
        <f t="shared" si="75"/>
        <v>0</v>
      </c>
      <c r="Y546">
        <f t="shared" si="71"/>
        <v>0</v>
      </c>
      <c r="Z546">
        <f t="shared" si="72"/>
        <v>0</v>
      </c>
    </row>
    <row r="547" spans="2:26">
      <c r="B547" t="str">
        <f t="shared" si="78"/>
        <v>BLUE</v>
      </c>
      <c r="C547" s="6">
        <f t="shared" si="73"/>
        <v>163</v>
      </c>
      <c r="I547">
        <f t="shared" si="74"/>
        <v>0</v>
      </c>
      <c r="N547" s="59">
        <f t="shared" si="76"/>
        <v>0</v>
      </c>
      <c r="O547" s="59">
        <f t="shared" si="77"/>
        <v>0</v>
      </c>
      <c r="T547">
        <f t="shared" si="75"/>
        <v>0</v>
      </c>
      <c r="Y547">
        <f t="shared" si="71"/>
        <v>0</v>
      </c>
      <c r="Z547">
        <f t="shared" si="72"/>
        <v>0</v>
      </c>
    </row>
    <row r="548" spans="2:26">
      <c r="B548" t="str">
        <f t="shared" si="78"/>
        <v>BLUE</v>
      </c>
      <c r="C548" s="6">
        <f t="shared" si="73"/>
        <v>164</v>
      </c>
      <c r="I548">
        <f t="shared" si="74"/>
        <v>0</v>
      </c>
      <c r="N548" s="59">
        <f t="shared" si="76"/>
        <v>0</v>
      </c>
      <c r="O548" s="59">
        <f t="shared" si="77"/>
        <v>0</v>
      </c>
      <c r="T548">
        <f t="shared" si="75"/>
        <v>0</v>
      </c>
      <c r="Y548">
        <f t="shared" si="71"/>
        <v>0</v>
      </c>
      <c r="Z548">
        <f t="shared" si="72"/>
        <v>0</v>
      </c>
    </row>
    <row r="549" spans="2:26">
      <c r="B549" t="str">
        <f t="shared" si="78"/>
        <v>BLUE</v>
      </c>
      <c r="C549" s="6">
        <f t="shared" si="73"/>
        <v>165</v>
      </c>
      <c r="I549">
        <f t="shared" si="74"/>
        <v>0</v>
      </c>
      <c r="N549" s="59">
        <f t="shared" si="76"/>
        <v>0</v>
      </c>
      <c r="O549" s="59">
        <f t="shared" si="77"/>
        <v>0</v>
      </c>
      <c r="T549">
        <f t="shared" si="75"/>
        <v>0</v>
      </c>
      <c r="Y549">
        <f t="shared" si="71"/>
        <v>0</v>
      </c>
      <c r="Z549">
        <f t="shared" si="72"/>
        <v>0</v>
      </c>
    </row>
    <row r="550" spans="2:26">
      <c r="B550" t="str">
        <f t="shared" si="78"/>
        <v>BLUE</v>
      </c>
      <c r="C550" s="6">
        <f t="shared" si="73"/>
        <v>166</v>
      </c>
      <c r="I550">
        <f t="shared" si="74"/>
        <v>0</v>
      </c>
      <c r="N550" s="59">
        <f t="shared" si="76"/>
        <v>0</v>
      </c>
      <c r="O550" s="59">
        <f t="shared" si="77"/>
        <v>0</v>
      </c>
      <c r="T550">
        <f t="shared" si="75"/>
        <v>0</v>
      </c>
      <c r="Y550">
        <f t="shared" si="71"/>
        <v>0</v>
      </c>
      <c r="Z550">
        <f t="shared" si="72"/>
        <v>0</v>
      </c>
    </row>
    <row r="551" spans="2:26">
      <c r="B551" t="str">
        <f t="shared" si="78"/>
        <v>BLUE</v>
      </c>
      <c r="C551" s="6">
        <f t="shared" si="73"/>
        <v>167</v>
      </c>
      <c r="I551">
        <f t="shared" si="74"/>
        <v>0</v>
      </c>
      <c r="N551" s="59">
        <f t="shared" si="76"/>
        <v>0</v>
      </c>
      <c r="O551" s="59">
        <f t="shared" si="77"/>
        <v>0</v>
      </c>
      <c r="T551">
        <f t="shared" si="75"/>
        <v>0</v>
      </c>
      <c r="Y551">
        <f t="shared" si="71"/>
        <v>0</v>
      </c>
      <c r="Z551">
        <f t="shared" si="72"/>
        <v>0</v>
      </c>
    </row>
    <row r="552" spans="2:26">
      <c r="B552" t="str">
        <f t="shared" si="78"/>
        <v>BLUE</v>
      </c>
      <c r="C552" s="6">
        <f t="shared" si="73"/>
        <v>168</v>
      </c>
      <c r="I552">
        <f t="shared" si="74"/>
        <v>0</v>
      </c>
      <c r="N552" s="59">
        <f t="shared" si="76"/>
        <v>0</v>
      </c>
      <c r="O552" s="59">
        <f t="shared" si="77"/>
        <v>0</v>
      </c>
      <c r="T552">
        <f t="shared" si="75"/>
        <v>0</v>
      </c>
      <c r="Y552">
        <f t="shared" si="71"/>
        <v>0</v>
      </c>
      <c r="Z552">
        <f t="shared" si="72"/>
        <v>0</v>
      </c>
    </row>
    <row r="553" spans="2:26">
      <c r="B553" t="str">
        <f t="shared" si="78"/>
        <v>BLUE</v>
      </c>
      <c r="C553" s="6">
        <f t="shared" si="73"/>
        <v>169</v>
      </c>
      <c r="I553">
        <f t="shared" si="74"/>
        <v>0</v>
      </c>
      <c r="N553" s="59">
        <f t="shared" si="76"/>
        <v>0</v>
      </c>
      <c r="O553" s="59">
        <f t="shared" si="77"/>
        <v>0</v>
      </c>
      <c r="T553">
        <f t="shared" si="75"/>
        <v>0</v>
      </c>
      <c r="Y553">
        <f t="shared" si="71"/>
        <v>0</v>
      </c>
      <c r="Z553">
        <f t="shared" si="72"/>
        <v>0</v>
      </c>
    </row>
    <row r="554" spans="2:26">
      <c r="B554" t="str">
        <f t="shared" si="78"/>
        <v>BLUE</v>
      </c>
      <c r="C554" s="6">
        <f t="shared" si="73"/>
        <v>170</v>
      </c>
      <c r="I554">
        <f t="shared" si="74"/>
        <v>0</v>
      </c>
      <c r="N554" s="59">
        <f t="shared" si="76"/>
        <v>0</v>
      </c>
      <c r="O554" s="59">
        <f t="shared" si="77"/>
        <v>0</v>
      </c>
      <c r="T554">
        <f t="shared" si="75"/>
        <v>0</v>
      </c>
      <c r="Y554">
        <f t="shared" si="71"/>
        <v>0</v>
      </c>
      <c r="Z554">
        <f t="shared" si="72"/>
        <v>0</v>
      </c>
    </row>
    <row r="555" spans="2:26">
      <c r="B555" t="str">
        <f t="shared" si="78"/>
        <v>BLUE</v>
      </c>
      <c r="C555" s="6">
        <f t="shared" si="73"/>
        <v>171</v>
      </c>
      <c r="I555">
        <f t="shared" si="74"/>
        <v>0</v>
      </c>
      <c r="N555" s="59">
        <f t="shared" si="76"/>
        <v>0</v>
      </c>
      <c r="O555" s="59">
        <f t="shared" si="77"/>
        <v>0</v>
      </c>
      <c r="T555">
        <f t="shared" si="75"/>
        <v>0</v>
      </c>
      <c r="Y555">
        <f t="shared" si="71"/>
        <v>0</v>
      </c>
      <c r="Z555">
        <f t="shared" si="72"/>
        <v>0</v>
      </c>
    </row>
    <row r="556" spans="2:26">
      <c r="B556" t="str">
        <f t="shared" si="78"/>
        <v>BLUE</v>
      </c>
      <c r="C556" s="6">
        <f t="shared" si="73"/>
        <v>172</v>
      </c>
      <c r="I556">
        <f t="shared" si="74"/>
        <v>0</v>
      </c>
      <c r="N556" s="59">
        <f t="shared" si="76"/>
        <v>0</v>
      </c>
      <c r="O556" s="59">
        <f t="shared" si="77"/>
        <v>0</v>
      </c>
      <c r="T556">
        <f t="shared" si="75"/>
        <v>0</v>
      </c>
      <c r="Y556">
        <f t="shared" si="71"/>
        <v>0</v>
      </c>
      <c r="Z556">
        <f t="shared" si="72"/>
        <v>0</v>
      </c>
    </row>
    <row r="557" spans="2:26">
      <c r="B557" t="str">
        <f t="shared" si="78"/>
        <v>BLUE</v>
      </c>
      <c r="C557" s="6">
        <f t="shared" si="73"/>
        <v>173</v>
      </c>
      <c r="I557">
        <f t="shared" si="74"/>
        <v>0</v>
      </c>
      <c r="N557" s="59">
        <f t="shared" si="76"/>
        <v>0</v>
      </c>
      <c r="O557" s="59">
        <f t="shared" si="77"/>
        <v>0</v>
      </c>
      <c r="T557">
        <f t="shared" si="75"/>
        <v>0</v>
      </c>
      <c r="Y557">
        <f t="shared" si="71"/>
        <v>0</v>
      </c>
      <c r="Z557">
        <f t="shared" si="72"/>
        <v>0</v>
      </c>
    </row>
    <row r="558" spans="2:26">
      <c r="B558" t="str">
        <f t="shared" si="78"/>
        <v>BLUE</v>
      </c>
      <c r="C558" s="6">
        <f t="shared" si="73"/>
        <v>174</v>
      </c>
      <c r="I558">
        <f t="shared" si="74"/>
        <v>0</v>
      </c>
      <c r="N558" s="59">
        <f t="shared" si="76"/>
        <v>0</v>
      </c>
      <c r="O558" s="59">
        <f t="shared" si="77"/>
        <v>0</v>
      </c>
      <c r="T558">
        <f t="shared" si="75"/>
        <v>0</v>
      </c>
      <c r="Y558">
        <f t="shared" ref="Y558:Y621" si="79">SUM($U558:$X558)</f>
        <v>0</v>
      </c>
      <c r="Z558">
        <f t="shared" ref="Z558:Z621" si="80">SUM($T558,$Y558)</f>
        <v>0</v>
      </c>
    </row>
    <row r="559" spans="2:26">
      <c r="B559" t="str">
        <f t="shared" si="78"/>
        <v>BLUE</v>
      </c>
      <c r="C559" s="6">
        <f t="shared" si="73"/>
        <v>175</v>
      </c>
      <c r="I559">
        <f t="shared" si="74"/>
        <v>0</v>
      </c>
      <c r="N559" s="59">
        <f t="shared" si="76"/>
        <v>0</v>
      </c>
      <c r="O559" s="59">
        <f t="shared" si="77"/>
        <v>0</v>
      </c>
      <c r="T559">
        <f t="shared" si="75"/>
        <v>0</v>
      </c>
      <c r="Y559">
        <f t="shared" si="79"/>
        <v>0</v>
      </c>
      <c r="Z559">
        <f t="shared" si="80"/>
        <v>0</v>
      </c>
    </row>
    <row r="560" spans="2:26">
      <c r="B560" t="str">
        <f t="shared" si="78"/>
        <v>BLUE</v>
      </c>
      <c r="C560" s="6">
        <f t="shared" si="73"/>
        <v>176</v>
      </c>
      <c r="I560">
        <f t="shared" si="74"/>
        <v>0</v>
      </c>
      <c r="N560" s="59">
        <f t="shared" si="76"/>
        <v>0</v>
      </c>
      <c r="O560" s="59">
        <f t="shared" si="77"/>
        <v>0</v>
      </c>
      <c r="T560">
        <f t="shared" si="75"/>
        <v>0</v>
      </c>
      <c r="Y560">
        <f t="shared" si="79"/>
        <v>0</v>
      </c>
      <c r="Z560">
        <f t="shared" si="80"/>
        <v>0</v>
      </c>
    </row>
    <row r="561" spans="2:26">
      <c r="B561" t="str">
        <f t="shared" si="78"/>
        <v>BLUE</v>
      </c>
      <c r="C561" s="6">
        <f t="shared" si="73"/>
        <v>177</v>
      </c>
      <c r="I561">
        <f t="shared" si="74"/>
        <v>0</v>
      </c>
      <c r="N561" s="59">
        <f t="shared" si="76"/>
        <v>0</v>
      </c>
      <c r="O561" s="59">
        <f t="shared" si="77"/>
        <v>0</v>
      </c>
      <c r="T561">
        <f t="shared" si="75"/>
        <v>0</v>
      </c>
      <c r="Y561">
        <f t="shared" si="79"/>
        <v>0</v>
      </c>
      <c r="Z561">
        <f t="shared" si="80"/>
        <v>0</v>
      </c>
    </row>
    <row r="562" spans="2:26">
      <c r="B562" t="str">
        <f t="shared" si="78"/>
        <v>BLUE</v>
      </c>
      <c r="C562" s="6">
        <f t="shared" si="73"/>
        <v>178</v>
      </c>
      <c r="I562">
        <f t="shared" si="74"/>
        <v>0</v>
      </c>
      <c r="N562" s="59">
        <f t="shared" si="76"/>
        <v>0</v>
      </c>
      <c r="O562" s="59">
        <f t="shared" si="77"/>
        <v>0</v>
      </c>
      <c r="T562">
        <f t="shared" si="75"/>
        <v>0</v>
      </c>
      <c r="Y562">
        <f t="shared" si="79"/>
        <v>0</v>
      </c>
      <c r="Z562">
        <f t="shared" si="80"/>
        <v>0</v>
      </c>
    </row>
    <row r="563" spans="2:26">
      <c r="B563" t="str">
        <f t="shared" si="78"/>
        <v>BLUE</v>
      </c>
      <c r="C563" s="6">
        <f t="shared" si="73"/>
        <v>179</v>
      </c>
      <c r="I563">
        <f t="shared" si="74"/>
        <v>0</v>
      </c>
      <c r="N563" s="59">
        <f t="shared" si="76"/>
        <v>0</v>
      </c>
      <c r="O563" s="59">
        <f t="shared" si="77"/>
        <v>0</v>
      </c>
      <c r="T563">
        <f t="shared" si="75"/>
        <v>0</v>
      </c>
      <c r="Y563">
        <f t="shared" si="79"/>
        <v>0</v>
      </c>
      <c r="Z563">
        <f t="shared" si="80"/>
        <v>0</v>
      </c>
    </row>
    <row r="564" spans="2:26">
      <c r="B564" t="str">
        <f t="shared" si="78"/>
        <v>BLUE</v>
      </c>
      <c r="C564" s="6">
        <f t="shared" si="73"/>
        <v>180</v>
      </c>
      <c r="I564">
        <f t="shared" si="74"/>
        <v>0</v>
      </c>
      <c r="N564" s="59">
        <f t="shared" si="76"/>
        <v>0</v>
      </c>
      <c r="O564" s="59">
        <f t="shared" si="77"/>
        <v>0</v>
      </c>
      <c r="T564">
        <f t="shared" si="75"/>
        <v>0</v>
      </c>
      <c r="Y564">
        <f t="shared" si="79"/>
        <v>0</v>
      </c>
      <c r="Z564">
        <f t="shared" si="80"/>
        <v>0</v>
      </c>
    </row>
    <row r="565" spans="2:26">
      <c r="B565" t="str">
        <f t="shared" si="78"/>
        <v>BLUE</v>
      </c>
      <c r="C565" s="6">
        <f t="shared" ref="C565:C628" si="81">C564+1</f>
        <v>181</v>
      </c>
      <c r="I565">
        <f t="shared" si="74"/>
        <v>0</v>
      </c>
      <c r="N565" s="59">
        <f t="shared" si="76"/>
        <v>0</v>
      </c>
      <c r="O565" s="59">
        <f t="shared" si="77"/>
        <v>0</v>
      </c>
      <c r="T565">
        <f t="shared" si="75"/>
        <v>0</v>
      </c>
      <c r="Y565">
        <f t="shared" si="79"/>
        <v>0</v>
      </c>
      <c r="Z565">
        <f t="shared" si="80"/>
        <v>0</v>
      </c>
    </row>
    <row r="566" spans="2:26">
      <c r="B566" t="str">
        <f t="shared" si="78"/>
        <v>BLUE</v>
      </c>
      <c r="C566" s="6">
        <f t="shared" si="81"/>
        <v>182</v>
      </c>
      <c r="I566">
        <f t="shared" si="74"/>
        <v>0</v>
      </c>
      <c r="N566" s="59">
        <f t="shared" si="76"/>
        <v>0</v>
      </c>
      <c r="O566" s="59">
        <f t="shared" si="77"/>
        <v>0</v>
      </c>
      <c r="T566">
        <f t="shared" si="75"/>
        <v>0</v>
      </c>
      <c r="Y566">
        <f t="shared" si="79"/>
        <v>0</v>
      </c>
      <c r="Z566">
        <f t="shared" si="80"/>
        <v>0</v>
      </c>
    </row>
    <row r="567" spans="2:26">
      <c r="B567" t="str">
        <f t="shared" si="78"/>
        <v>BLUE</v>
      </c>
      <c r="C567" s="6">
        <f t="shared" si="81"/>
        <v>183</v>
      </c>
      <c r="I567">
        <f t="shared" si="74"/>
        <v>0</v>
      </c>
      <c r="N567" s="59">
        <f t="shared" si="76"/>
        <v>0</v>
      </c>
      <c r="O567" s="59">
        <f t="shared" si="77"/>
        <v>0</v>
      </c>
      <c r="T567">
        <f t="shared" si="75"/>
        <v>0</v>
      </c>
      <c r="Y567">
        <f t="shared" si="79"/>
        <v>0</v>
      </c>
      <c r="Z567">
        <f t="shared" si="80"/>
        <v>0</v>
      </c>
    </row>
    <row r="568" spans="2:26">
      <c r="B568" t="str">
        <f t="shared" si="78"/>
        <v>BLUE</v>
      </c>
      <c r="C568" s="6">
        <f t="shared" si="81"/>
        <v>184</v>
      </c>
      <c r="I568">
        <f t="shared" si="74"/>
        <v>0</v>
      </c>
      <c r="N568" s="59">
        <f t="shared" si="76"/>
        <v>0</v>
      </c>
      <c r="O568" s="59">
        <f t="shared" si="77"/>
        <v>0</v>
      </c>
      <c r="T568">
        <f t="shared" si="75"/>
        <v>0</v>
      </c>
      <c r="Y568">
        <f t="shared" si="79"/>
        <v>0</v>
      </c>
      <c r="Z568">
        <f t="shared" si="80"/>
        <v>0</v>
      </c>
    </row>
    <row r="569" spans="2:26">
      <c r="B569" t="str">
        <f t="shared" si="78"/>
        <v>BLUE</v>
      </c>
      <c r="C569" s="6">
        <f t="shared" si="81"/>
        <v>185</v>
      </c>
      <c r="I569">
        <f t="shared" si="74"/>
        <v>0</v>
      </c>
      <c r="N569" s="59">
        <f t="shared" si="76"/>
        <v>0</v>
      </c>
      <c r="O569" s="59">
        <f t="shared" si="77"/>
        <v>0</v>
      </c>
      <c r="T569">
        <f t="shared" si="75"/>
        <v>0</v>
      </c>
      <c r="Y569">
        <f t="shared" si="79"/>
        <v>0</v>
      </c>
      <c r="Z569">
        <f t="shared" si="80"/>
        <v>0</v>
      </c>
    </row>
    <row r="570" spans="2:26">
      <c r="B570" t="str">
        <f t="shared" si="78"/>
        <v>BLUE</v>
      </c>
      <c r="C570" s="6">
        <f t="shared" si="81"/>
        <v>186</v>
      </c>
      <c r="I570">
        <f t="shared" si="74"/>
        <v>0</v>
      </c>
      <c r="N570" s="59">
        <f t="shared" si="76"/>
        <v>0</v>
      </c>
      <c r="O570" s="59">
        <f t="shared" si="77"/>
        <v>0</v>
      </c>
      <c r="T570">
        <f t="shared" si="75"/>
        <v>0</v>
      </c>
      <c r="Y570">
        <f t="shared" si="79"/>
        <v>0</v>
      </c>
      <c r="Z570">
        <f t="shared" si="80"/>
        <v>0</v>
      </c>
    </row>
    <row r="571" spans="2:26">
      <c r="B571" t="str">
        <f t="shared" si="78"/>
        <v>BLUE</v>
      </c>
      <c r="C571" s="6">
        <f t="shared" si="81"/>
        <v>187</v>
      </c>
      <c r="I571">
        <f t="shared" si="74"/>
        <v>0</v>
      </c>
      <c r="N571" s="59">
        <f t="shared" si="76"/>
        <v>0</v>
      </c>
      <c r="O571" s="59">
        <f t="shared" si="77"/>
        <v>0</v>
      </c>
      <c r="T571">
        <f t="shared" si="75"/>
        <v>0</v>
      </c>
      <c r="Y571">
        <f t="shared" si="79"/>
        <v>0</v>
      </c>
      <c r="Z571">
        <f t="shared" si="80"/>
        <v>0</v>
      </c>
    </row>
    <row r="572" spans="2:26">
      <c r="B572" t="str">
        <f t="shared" si="78"/>
        <v>BLUE</v>
      </c>
      <c r="C572" s="6">
        <f t="shared" si="81"/>
        <v>188</v>
      </c>
      <c r="I572">
        <f t="shared" si="74"/>
        <v>0</v>
      </c>
      <c r="N572" s="59">
        <f t="shared" si="76"/>
        <v>0</v>
      </c>
      <c r="O572" s="59">
        <f t="shared" si="77"/>
        <v>0</v>
      </c>
      <c r="T572">
        <f t="shared" si="75"/>
        <v>0</v>
      </c>
      <c r="Y572">
        <f t="shared" si="79"/>
        <v>0</v>
      </c>
      <c r="Z572">
        <f t="shared" si="80"/>
        <v>0</v>
      </c>
    </row>
    <row r="573" spans="2:26">
      <c r="B573" t="str">
        <f t="shared" si="78"/>
        <v>BLUE</v>
      </c>
      <c r="C573" s="6">
        <f t="shared" si="81"/>
        <v>189</v>
      </c>
      <c r="I573">
        <f t="shared" si="74"/>
        <v>0</v>
      </c>
      <c r="N573" s="59">
        <f t="shared" si="76"/>
        <v>0</v>
      </c>
      <c r="O573" s="59">
        <f t="shared" si="77"/>
        <v>0</v>
      </c>
      <c r="T573">
        <f t="shared" si="75"/>
        <v>0</v>
      </c>
      <c r="Y573">
        <f t="shared" si="79"/>
        <v>0</v>
      </c>
      <c r="Z573">
        <f t="shared" si="80"/>
        <v>0</v>
      </c>
    </row>
    <row r="574" spans="2:26">
      <c r="B574" t="str">
        <f t="shared" si="78"/>
        <v>BLUE</v>
      </c>
      <c r="C574" s="6">
        <f t="shared" si="81"/>
        <v>190</v>
      </c>
      <c r="I574">
        <f t="shared" ref="I574:I637" si="82">SUM($E574:$H574)</f>
        <v>0</v>
      </c>
      <c r="N574" s="59">
        <f t="shared" si="76"/>
        <v>0</v>
      </c>
      <c r="O574" s="59">
        <f t="shared" si="77"/>
        <v>0</v>
      </c>
      <c r="T574">
        <f t="shared" ref="T574:T637" si="83">SUM($P574:$S574)</f>
        <v>0</v>
      </c>
      <c r="Y574">
        <f t="shared" si="79"/>
        <v>0</v>
      </c>
      <c r="Z574">
        <f t="shared" si="80"/>
        <v>0</v>
      </c>
    </row>
    <row r="575" spans="2:26">
      <c r="B575" t="str">
        <f t="shared" si="78"/>
        <v>BLUE</v>
      </c>
      <c r="C575" s="6">
        <f t="shared" si="81"/>
        <v>191</v>
      </c>
      <c r="I575">
        <f t="shared" si="82"/>
        <v>0</v>
      </c>
      <c r="N575" s="59">
        <f t="shared" si="76"/>
        <v>0</v>
      </c>
      <c r="O575" s="59">
        <f t="shared" si="77"/>
        <v>0</v>
      </c>
      <c r="T575">
        <f t="shared" si="83"/>
        <v>0</v>
      </c>
      <c r="Y575">
        <f t="shared" si="79"/>
        <v>0</v>
      </c>
      <c r="Z575">
        <f t="shared" si="80"/>
        <v>0</v>
      </c>
    </row>
    <row r="576" spans="2:26">
      <c r="B576" t="str">
        <f t="shared" si="78"/>
        <v>BLUE</v>
      </c>
      <c r="C576" s="6">
        <f t="shared" si="81"/>
        <v>192</v>
      </c>
      <c r="I576">
        <f t="shared" si="82"/>
        <v>0</v>
      </c>
      <c r="N576" s="59">
        <f t="shared" si="76"/>
        <v>0</v>
      </c>
      <c r="O576" s="59">
        <f t="shared" si="77"/>
        <v>0</v>
      </c>
      <c r="T576">
        <f t="shared" si="83"/>
        <v>0</v>
      </c>
      <c r="Y576">
        <f t="shared" si="79"/>
        <v>0</v>
      </c>
      <c r="Z576">
        <f t="shared" si="80"/>
        <v>0</v>
      </c>
    </row>
    <row r="577" spans="2:26">
      <c r="B577" t="str">
        <f t="shared" si="78"/>
        <v>BLUE</v>
      </c>
      <c r="C577" s="6">
        <f t="shared" si="81"/>
        <v>193</v>
      </c>
      <c r="I577">
        <f t="shared" si="82"/>
        <v>0</v>
      </c>
      <c r="N577" s="59">
        <f t="shared" si="76"/>
        <v>0</v>
      </c>
      <c r="O577" s="59">
        <f t="shared" si="77"/>
        <v>0</v>
      </c>
      <c r="T577">
        <f t="shared" si="83"/>
        <v>0</v>
      </c>
      <c r="Y577">
        <f t="shared" si="79"/>
        <v>0</v>
      </c>
      <c r="Z577">
        <f t="shared" si="80"/>
        <v>0</v>
      </c>
    </row>
    <row r="578" spans="2:26">
      <c r="B578" t="str">
        <f t="shared" si="78"/>
        <v>BLUE</v>
      </c>
      <c r="C578" s="6">
        <f t="shared" si="81"/>
        <v>194</v>
      </c>
      <c r="I578">
        <f t="shared" si="82"/>
        <v>0</v>
      </c>
      <c r="N578" s="59">
        <f t="shared" si="76"/>
        <v>0</v>
      </c>
      <c r="O578" s="59">
        <f t="shared" si="77"/>
        <v>0</v>
      </c>
      <c r="T578">
        <f t="shared" si="83"/>
        <v>0</v>
      </c>
      <c r="Y578">
        <f t="shared" si="79"/>
        <v>0</v>
      </c>
      <c r="Z578">
        <f t="shared" si="80"/>
        <v>0</v>
      </c>
    </row>
    <row r="579" spans="2:26">
      <c r="B579" t="str">
        <f t="shared" si="78"/>
        <v>BLUE</v>
      </c>
      <c r="C579" s="6">
        <f t="shared" si="81"/>
        <v>195</v>
      </c>
      <c r="I579">
        <f t="shared" si="82"/>
        <v>0</v>
      </c>
      <c r="N579" s="59">
        <f t="shared" si="76"/>
        <v>0</v>
      </c>
      <c r="O579" s="59">
        <f t="shared" si="77"/>
        <v>0</v>
      </c>
      <c r="T579">
        <f t="shared" si="83"/>
        <v>0</v>
      </c>
      <c r="Y579">
        <f t="shared" si="79"/>
        <v>0</v>
      </c>
      <c r="Z579">
        <f t="shared" si="80"/>
        <v>0</v>
      </c>
    </row>
    <row r="580" spans="2:26">
      <c r="B580" t="str">
        <f t="shared" si="78"/>
        <v>BLUE</v>
      </c>
      <c r="C580" s="6">
        <f t="shared" si="81"/>
        <v>196</v>
      </c>
      <c r="I580">
        <f t="shared" si="82"/>
        <v>0</v>
      </c>
      <c r="N580" s="59">
        <f t="shared" si="76"/>
        <v>0</v>
      </c>
      <c r="O580" s="59">
        <f t="shared" si="77"/>
        <v>0</v>
      </c>
      <c r="T580">
        <f t="shared" si="83"/>
        <v>0</v>
      </c>
      <c r="Y580">
        <f t="shared" si="79"/>
        <v>0</v>
      </c>
      <c r="Z580">
        <f t="shared" si="80"/>
        <v>0</v>
      </c>
    </row>
    <row r="581" spans="2:26">
      <c r="B581" t="str">
        <f t="shared" si="78"/>
        <v>BLUE</v>
      </c>
      <c r="C581" s="6">
        <f t="shared" si="81"/>
        <v>197</v>
      </c>
      <c r="I581">
        <f t="shared" si="82"/>
        <v>0</v>
      </c>
      <c r="N581" s="59">
        <f t="shared" si="76"/>
        <v>0</v>
      </c>
      <c r="O581" s="59">
        <f t="shared" si="77"/>
        <v>0</v>
      </c>
      <c r="T581">
        <f t="shared" si="83"/>
        <v>0</v>
      </c>
      <c r="Y581">
        <f t="shared" si="79"/>
        <v>0</v>
      </c>
      <c r="Z581">
        <f t="shared" si="80"/>
        <v>0</v>
      </c>
    </row>
    <row r="582" spans="2:26">
      <c r="B582" t="str">
        <f t="shared" si="78"/>
        <v>BLUE</v>
      </c>
      <c r="C582" s="6">
        <f t="shared" si="81"/>
        <v>198</v>
      </c>
      <c r="I582">
        <f t="shared" si="82"/>
        <v>0</v>
      </c>
      <c r="N582" s="59">
        <f t="shared" si="76"/>
        <v>0</v>
      </c>
      <c r="O582" s="59">
        <f t="shared" si="77"/>
        <v>0</v>
      </c>
      <c r="T582">
        <f t="shared" si="83"/>
        <v>0</v>
      </c>
      <c r="Y582">
        <f t="shared" si="79"/>
        <v>0</v>
      </c>
      <c r="Z582">
        <f t="shared" si="80"/>
        <v>0</v>
      </c>
    </row>
    <row r="583" spans="2:26">
      <c r="B583" t="str">
        <f t="shared" si="78"/>
        <v>BLUE</v>
      </c>
      <c r="C583" s="6">
        <f t="shared" si="81"/>
        <v>199</v>
      </c>
      <c r="I583">
        <f t="shared" si="82"/>
        <v>0</v>
      </c>
      <c r="N583" s="59">
        <f t="shared" si="76"/>
        <v>0</v>
      </c>
      <c r="O583" s="59">
        <f t="shared" si="77"/>
        <v>0</v>
      </c>
      <c r="T583">
        <f t="shared" si="83"/>
        <v>0</v>
      </c>
      <c r="Y583">
        <f t="shared" si="79"/>
        <v>0</v>
      </c>
      <c r="Z583">
        <f t="shared" si="80"/>
        <v>0</v>
      </c>
    </row>
    <row r="584" spans="2:26">
      <c r="B584" t="str">
        <f t="shared" si="78"/>
        <v>BLUE</v>
      </c>
      <c r="C584" s="6">
        <f t="shared" si="81"/>
        <v>200</v>
      </c>
      <c r="I584">
        <f t="shared" si="82"/>
        <v>0</v>
      </c>
      <c r="N584" s="59">
        <f t="shared" si="76"/>
        <v>0</v>
      </c>
      <c r="O584" s="59">
        <f t="shared" si="77"/>
        <v>0</v>
      </c>
      <c r="T584">
        <f t="shared" si="83"/>
        <v>0</v>
      </c>
      <c r="Y584">
        <f t="shared" si="79"/>
        <v>0</v>
      </c>
      <c r="Z584">
        <f t="shared" si="80"/>
        <v>0</v>
      </c>
    </row>
    <row r="585" spans="2:26">
      <c r="B585" t="str">
        <f t="shared" si="78"/>
        <v>BLUE</v>
      </c>
      <c r="C585" s="6">
        <f t="shared" si="81"/>
        <v>201</v>
      </c>
      <c r="I585">
        <f t="shared" si="82"/>
        <v>0</v>
      </c>
      <c r="N585" s="59">
        <f t="shared" ref="N585:N648" si="84">SUM($J585:$M585)</f>
        <v>0</v>
      </c>
      <c r="O585" s="59">
        <f t="shared" ref="O585:O648" si="85">SUM($I585, $N585)</f>
        <v>0</v>
      </c>
      <c r="T585">
        <f t="shared" si="83"/>
        <v>0</v>
      </c>
      <c r="Y585">
        <f t="shared" si="79"/>
        <v>0</v>
      </c>
      <c r="Z585">
        <f t="shared" si="80"/>
        <v>0</v>
      </c>
    </row>
    <row r="586" spans="2:26">
      <c r="B586" t="str">
        <f t="shared" si="78"/>
        <v>BLUE</v>
      </c>
      <c r="C586" s="6">
        <f t="shared" si="81"/>
        <v>202</v>
      </c>
      <c r="I586">
        <f t="shared" si="82"/>
        <v>0</v>
      </c>
      <c r="N586" s="59">
        <f t="shared" si="84"/>
        <v>0</v>
      </c>
      <c r="O586" s="59">
        <f t="shared" si="85"/>
        <v>0</v>
      </c>
      <c r="T586">
        <f t="shared" si="83"/>
        <v>0</v>
      </c>
      <c r="Y586">
        <f t="shared" si="79"/>
        <v>0</v>
      </c>
      <c r="Z586">
        <f t="shared" si="80"/>
        <v>0</v>
      </c>
    </row>
    <row r="587" spans="2:26">
      <c r="B587" t="str">
        <f t="shared" si="78"/>
        <v>BLUE</v>
      </c>
      <c r="C587" s="6">
        <f t="shared" si="81"/>
        <v>203</v>
      </c>
      <c r="I587">
        <f t="shared" si="82"/>
        <v>0</v>
      </c>
      <c r="N587" s="59">
        <f t="shared" si="84"/>
        <v>0</v>
      </c>
      <c r="O587" s="59">
        <f t="shared" si="85"/>
        <v>0</v>
      </c>
      <c r="T587">
        <f t="shared" si="83"/>
        <v>0</v>
      </c>
      <c r="Y587">
        <f t="shared" si="79"/>
        <v>0</v>
      </c>
      <c r="Z587">
        <f t="shared" si="80"/>
        <v>0</v>
      </c>
    </row>
    <row r="588" spans="2:26">
      <c r="B588" t="str">
        <f t="shared" si="78"/>
        <v>BLUE</v>
      </c>
      <c r="C588" s="6">
        <f t="shared" si="81"/>
        <v>204</v>
      </c>
      <c r="I588">
        <f t="shared" si="82"/>
        <v>0</v>
      </c>
      <c r="N588" s="59">
        <f t="shared" si="84"/>
        <v>0</v>
      </c>
      <c r="O588" s="59">
        <f t="shared" si="85"/>
        <v>0</v>
      </c>
      <c r="T588">
        <f t="shared" si="83"/>
        <v>0</v>
      </c>
      <c r="Y588">
        <f t="shared" si="79"/>
        <v>0</v>
      </c>
      <c r="Z588">
        <f t="shared" si="80"/>
        <v>0</v>
      </c>
    </row>
    <row r="589" spans="2:26">
      <c r="B589" t="str">
        <f t="shared" si="78"/>
        <v>BLUE</v>
      </c>
      <c r="C589" s="6">
        <f t="shared" si="81"/>
        <v>205</v>
      </c>
      <c r="I589">
        <f t="shared" si="82"/>
        <v>0</v>
      </c>
      <c r="N589" s="59">
        <f t="shared" si="84"/>
        <v>0</v>
      </c>
      <c r="O589" s="59">
        <f t="shared" si="85"/>
        <v>0</v>
      </c>
      <c r="T589">
        <f t="shared" si="83"/>
        <v>0</v>
      </c>
      <c r="Y589">
        <f t="shared" si="79"/>
        <v>0</v>
      </c>
      <c r="Z589">
        <f t="shared" si="80"/>
        <v>0</v>
      </c>
    </row>
    <row r="590" spans="2:26">
      <c r="B590" t="str">
        <f t="shared" si="78"/>
        <v>BLUE</v>
      </c>
      <c r="C590" s="6">
        <f t="shared" si="81"/>
        <v>206</v>
      </c>
      <c r="I590">
        <f t="shared" si="82"/>
        <v>0</v>
      </c>
      <c r="N590" s="59">
        <f t="shared" si="84"/>
        <v>0</v>
      </c>
      <c r="O590" s="59">
        <f t="shared" si="85"/>
        <v>0</v>
      </c>
      <c r="T590">
        <f t="shared" si="83"/>
        <v>0</v>
      </c>
      <c r="Y590">
        <f t="shared" si="79"/>
        <v>0</v>
      </c>
      <c r="Z590">
        <f t="shared" si="80"/>
        <v>0</v>
      </c>
    </row>
    <row r="591" spans="2:26">
      <c r="B591" t="str">
        <f t="shared" si="78"/>
        <v>BLUE</v>
      </c>
      <c r="C591" s="6">
        <f t="shared" si="81"/>
        <v>207</v>
      </c>
      <c r="I591">
        <f t="shared" si="82"/>
        <v>0</v>
      </c>
      <c r="N591" s="59">
        <f t="shared" si="84"/>
        <v>0</v>
      </c>
      <c r="O591" s="59">
        <f t="shared" si="85"/>
        <v>0</v>
      </c>
      <c r="T591">
        <f t="shared" si="83"/>
        <v>0</v>
      </c>
      <c r="Y591">
        <f t="shared" si="79"/>
        <v>0</v>
      </c>
      <c r="Z591">
        <f t="shared" si="80"/>
        <v>0</v>
      </c>
    </row>
    <row r="592" spans="2:26">
      <c r="B592" t="str">
        <f t="shared" si="78"/>
        <v>BLUE</v>
      </c>
      <c r="C592" s="6">
        <f t="shared" si="81"/>
        <v>208</v>
      </c>
      <c r="I592">
        <f t="shared" si="82"/>
        <v>0</v>
      </c>
      <c r="N592" s="59">
        <f t="shared" si="84"/>
        <v>0</v>
      </c>
      <c r="O592" s="59">
        <f t="shared" si="85"/>
        <v>0</v>
      </c>
      <c r="T592">
        <f t="shared" si="83"/>
        <v>0</v>
      </c>
      <c r="Y592">
        <f t="shared" si="79"/>
        <v>0</v>
      </c>
      <c r="Z592">
        <f t="shared" si="80"/>
        <v>0</v>
      </c>
    </row>
    <row r="593" spans="2:26">
      <c r="B593" t="str">
        <f t="shared" si="78"/>
        <v>BLUE</v>
      </c>
      <c r="C593" s="6">
        <f t="shared" si="81"/>
        <v>209</v>
      </c>
      <c r="I593">
        <f t="shared" si="82"/>
        <v>0</v>
      </c>
      <c r="N593" s="59">
        <f t="shared" si="84"/>
        <v>0</v>
      </c>
      <c r="O593" s="59">
        <f t="shared" si="85"/>
        <v>0</v>
      </c>
      <c r="T593">
        <f t="shared" si="83"/>
        <v>0</v>
      </c>
      <c r="Y593">
        <f t="shared" si="79"/>
        <v>0</v>
      </c>
      <c r="Z593">
        <f t="shared" si="80"/>
        <v>0</v>
      </c>
    </row>
    <row r="594" spans="2:26">
      <c r="B594" t="str">
        <f t="shared" si="78"/>
        <v>BLUE</v>
      </c>
      <c r="C594" s="6">
        <f t="shared" si="81"/>
        <v>210</v>
      </c>
      <c r="I594">
        <f t="shared" si="82"/>
        <v>0</v>
      </c>
      <c r="N594" s="59">
        <f t="shared" si="84"/>
        <v>0</v>
      </c>
      <c r="O594" s="59">
        <f t="shared" si="85"/>
        <v>0</v>
      </c>
      <c r="T594">
        <f t="shared" si="83"/>
        <v>0</v>
      </c>
      <c r="Y594">
        <f t="shared" si="79"/>
        <v>0</v>
      </c>
      <c r="Z594">
        <f t="shared" si="80"/>
        <v>0</v>
      </c>
    </row>
    <row r="595" spans="2:26">
      <c r="B595" t="str">
        <f t="shared" ref="B595:B658" si="86">B594</f>
        <v>BLUE</v>
      </c>
      <c r="C595" s="6">
        <f t="shared" si="81"/>
        <v>211</v>
      </c>
      <c r="I595">
        <f t="shared" si="82"/>
        <v>0</v>
      </c>
      <c r="N595" s="59">
        <f t="shared" si="84"/>
        <v>0</v>
      </c>
      <c r="O595" s="59">
        <f t="shared" si="85"/>
        <v>0</v>
      </c>
      <c r="T595">
        <f t="shared" si="83"/>
        <v>0</v>
      </c>
      <c r="Y595">
        <f t="shared" si="79"/>
        <v>0</v>
      </c>
      <c r="Z595">
        <f t="shared" si="80"/>
        <v>0</v>
      </c>
    </row>
    <row r="596" spans="2:26">
      <c r="B596" t="str">
        <f t="shared" si="86"/>
        <v>BLUE</v>
      </c>
      <c r="C596" s="6">
        <f t="shared" si="81"/>
        <v>212</v>
      </c>
      <c r="I596">
        <f t="shared" si="82"/>
        <v>0</v>
      </c>
      <c r="N596" s="59">
        <f t="shared" si="84"/>
        <v>0</v>
      </c>
      <c r="O596" s="59">
        <f t="shared" si="85"/>
        <v>0</v>
      </c>
      <c r="T596">
        <f t="shared" si="83"/>
        <v>0</v>
      </c>
      <c r="Y596">
        <f t="shared" si="79"/>
        <v>0</v>
      </c>
      <c r="Z596">
        <f t="shared" si="80"/>
        <v>0</v>
      </c>
    </row>
    <row r="597" spans="2:26">
      <c r="B597" t="str">
        <f t="shared" si="86"/>
        <v>BLUE</v>
      </c>
      <c r="C597" s="6">
        <f t="shared" si="81"/>
        <v>213</v>
      </c>
      <c r="I597">
        <f t="shared" si="82"/>
        <v>0</v>
      </c>
      <c r="N597" s="59">
        <f t="shared" si="84"/>
        <v>0</v>
      </c>
      <c r="O597" s="59">
        <f t="shared" si="85"/>
        <v>0</v>
      </c>
      <c r="T597">
        <f t="shared" si="83"/>
        <v>0</v>
      </c>
      <c r="Y597">
        <f t="shared" si="79"/>
        <v>0</v>
      </c>
      <c r="Z597">
        <f t="shared" si="80"/>
        <v>0</v>
      </c>
    </row>
    <row r="598" spans="2:26">
      <c r="B598" t="str">
        <f t="shared" si="86"/>
        <v>BLUE</v>
      </c>
      <c r="C598" s="6">
        <f t="shared" si="81"/>
        <v>214</v>
      </c>
      <c r="I598">
        <f t="shared" si="82"/>
        <v>0</v>
      </c>
      <c r="N598" s="59">
        <f t="shared" si="84"/>
        <v>0</v>
      </c>
      <c r="O598" s="59">
        <f t="shared" si="85"/>
        <v>0</v>
      </c>
      <c r="T598">
        <f t="shared" si="83"/>
        <v>0</v>
      </c>
      <c r="Y598">
        <f t="shared" si="79"/>
        <v>0</v>
      </c>
      <c r="Z598">
        <f t="shared" si="80"/>
        <v>0</v>
      </c>
    </row>
    <row r="599" spans="2:26">
      <c r="B599" t="str">
        <f t="shared" si="86"/>
        <v>BLUE</v>
      </c>
      <c r="C599" s="6">
        <f t="shared" si="81"/>
        <v>215</v>
      </c>
      <c r="I599">
        <f t="shared" si="82"/>
        <v>0</v>
      </c>
      <c r="N599" s="59">
        <f t="shared" si="84"/>
        <v>0</v>
      </c>
      <c r="O599" s="59">
        <f t="shared" si="85"/>
        <v>0</v>
      </c>
      <c r="T599">
        <f t="shared" si="83"/>
        <v>0</v>
      </c>
      <c r="Y599">
        <f t="shared" si="79"/>
        <v>0</v>
      </c>
      <c r="Z599">
        <f t="shared" si="80"/>
        <v>0</v>
      </c>
    </row>
    <row r="600" spans="2:26">
      <c r="B600" t="str">
        <f t="shared" si="86"/>
        <v>BLUE</v>
      </c>
      <c r="C600" s="6">
        <f t="shared" si="81"/>
        <v>216</v>
      </c>
      <c r="I600">
        <f t="shared" si="82"/>
        <v>0</v>
      </c>
      <c r="N600" s="59">
        <f t="shared" si="84"/>
        <v>0</v>
      </c>
      <c r="O600" s="59">
        <f t="shared" si="85"/>
        <v>0</v>
      </c>
      <c r="T600">
        <f t="shared" si="83"/>
        <v>0</v>
      </c>
      <c r="Y600">
        <f t="shared" si="79"/>
        <v>0</v>
      </c>
      <c r="Z600">
        <f t="shared" si="80"/>
        <v>0</v>
      </c>
    </row>
    <row r="601" spans="2:26">
      <c r="B601" t="str">
        <f t="shared" si="86"/>
        <v>BLUE</v>
      </c>
      <c r="C601" s="6">
        <f t="shared" si="81"/>
        <v>217</v>
      </c>
      <c r="I601">
        <f t="shared" si="82"/>
        <v>0</v>
      </c>
      <c r="N601" s="59">
        <f t="shared" si="84"/>
        <v>0</v>
      </c>
      <c r="O601" s="59">
        <f t="shared" si="85"/>
        <v>0</v>
      </c>
      <c r="T601">
        <f t="shared" si="83"/>
        <v>0</v>
      </c>
      <c r="Y601">
        <f t="shared" si="79"/>
        <v>0</v>
      </c>
      <c r="Z601">
        <f t="shared" si="80"/>
        <v>0</v>
      </c>
    </row>
    <row r="602" spans="2:26">
      <c r="B602" t="str">
        <f t="shared" si="86"/>
        <v>BLUE</v>
      </c>
      <c r="C602" s="6">
        <f t="shared" si="81"/>
        <v>218</v>
      </c>
      <c r="I602">
        <f t="shared" si="82"/>
        <v>0</v>
      </c>
      <c r="N602" s="59">
        <f t="shared" si="84"/>
        <v>0</v>
      </c>
      <c r="O602" s="59">
        <f t="shared" si="85"/>
        <v>0</v>
      </c>
      <c r="T602">
        <f t="shared" si="83"/>
        <v>0</v>
      </c>
      <c r="Y602">
        <f t="shared" si="79"/>
        <v>0</v>
      </c>
      <c r="Z602">
        <f t="shared" si="80"/>
        <v>0</v>
      </c>
    </row>
    <row r="603" spans="2:26">
      <c r="B603" t="str">
        <f t="shared" si="86"/>
        <v>BLUE</v>
      </c>
      <c r="C603" s="6">
        <f t="shared" si="81"/>
        <v>219</v>
      </c>
      <c r="I603">
        <f t="shared" si="82"/>
        <v>0</v>
      </c>
      <c r="N603" s="59">
        <f t="shared" si="84"/>
        <v>0</v>
      </c>
      <c r="O603" s="59">
        <f t="shared" si="85"/>
        <v>0</v>
      </c>
      <c r="T603">
        <f t="shared" si="83"/>
        <v>0</v>
      </c>
      <c r="Y603">
        <f t="shared" si="79"/>
        <v>0</v>
      </c>
      <c r="Z603">
        <f t="shared" si="80"/>
        <v>0</v>
      </c>
    </row>
    <row r="604" spans="2:26">
      <c r="B604" t="str">
        <f t="shared" si="86"/>
        <v>BLUE</v>
      </c>
      <c r="C604" s="6">
        <f t="shared" si="81"/>
        <v>220</v>
      </c>
      <c r="I604">
        <f t="shared" si="82"/>
        <v>0</v>
      </c>
      <c r="N604" s="59">
        <f t="shared" si="84"/>
        <v>0</v>
      </c>
      <c r="O604" s="59">
        <f t="shared" si="85"/>
        <v>0</v>
      </c>
      <c r="T604">
        <f t="shared" si="83"/>
        <v>0</v>
      </c>
      <c r="Y604">
        <f t="shared" si="79"/>
        <v>0</v>
      </c>
      <c r="Z604">
        <f t="shared" si="80"/>
        <v>0</v>
      </c>
    </row>
    <row r="605" spans="2:26">
      <c r="B605" t="str">
        <f t="shared" si="86"/>
        <v>BLUE</v>
      </c>
      <c r="C605" s="6">
        <f t="shared" si="81"/>
        <v>221</v>
      </c>
      <c r="I605">
        <f t="shared" si="82"/>
        <v>0</v>
      </c>
      <c r="N605" s="59">
        <f t="shared" si="84"/>
        <v>0</v>
      </c>
      <c r="O605" s="59">
        <f t="shared" si="85"/>
        <v>0</v>
      </c>
      <c r="T605">
        <f t="shared" si="83"/>
        <v>0</v>
      </c>
      <c r="Y605">
        <f t="shared" si="79"/>
        <v>0</v>
      </c>
      <c r="Z605">
        <f t="shared" si="80"/>
        <v>0</v>
      </c>
    </row>
    <row r="606" spans="2:26">
      <c r="B606" t="str">
        <f t="shared" si="86"/>
        <v>BLUE</v>
      </c>
      <c r="C606" s="6">
        <f t="shared" si="81"/>
        <v>222</v>
      </c>
      <c r="I606">
        <f t="shared" si="82"/>
        <v>0</v>
      </c>
      <c r="N606" s="59">
        <f t="shared" si="84"/>
        <v>0</v>
      </c>
      <c r="O606" s="59">
        <f t="shared" si="85"/>
        <v>0</v>
      </c>
      <c r="T606">
        <f t="shared" si="83"/>
        <v>0</v>
      </c>
      <c r="Y606">
        <f t="shared" si="79"/>
        <v>0</v>
      </c>
      <c r="Z606">
        <f t="shared" si="80"/>
        <v>0</v>
      </c>
    </row>
    <row r="607" spans="2:26">
      <c r="B607" t="str">
        <f t="shared" si="86"/>
        <v>BLUE</v>
      </c>
      <c r="C607" s="6">
        <f t="shared" si="81"/>
        <v>223</v>
      </c>
      <c r="I607">
        <f t="shared" si="82"/>
        <v>0</v>
      </c>
      <c r="N607" s="59">
        <f t="shared" si="84"/>
        <v>0</v>
      </c>
      <c r="O607" s="59">
        <f t="shared" si="85"/>
        <v>0</v>
      </c>
      <c r="T607">
        <f t="shared" si="83"/>
        <v>0</v>
      </c>
      <c r="Y607">
        <f t="shared" si="79"/>
        <v>0</v>
      </c>
      <c r="Z607">
        <f t="shared" si="80"/>
        <v>0</v>
      </c>
    </row>
    <row r="608" spans="2:26">
      <c r="B608" t="str">
        <f t="shared" si="86"/>
        <v>BLUE</v>
      </c>
      <c r="C608" s="6">
        <f t="shared" si="81"/>
        <v>224</v>
      </c>
      <c r="I608">
        <f t="shared" si="82"/>
        <v>0</v>
      </c>
      <c r="N608" s="59">
        <f t="shared" si="84"/>
        <v>0</v>
      </c>
      <c r="O608" s="59">
        <f t="shared" si="85"/>
        <v>0</v>
      </c>
      <c r="T608">
        <f t="shared" si="83"/>
        <v>0</v>
      </c>
      <c r="Y608">
        <f t="shared" si="79"/>
        <v>0</v>
      </c>
      <c r="Z608">
        <f t="shared" si="80"/>
        <v>0</v>
      </c>
    </row>
    <row r="609" spans="2:26">
      <c r="B609" t="str">
        <f t="shared" si="86"/>
        <v>BLUE</v>
      </c>
      <c r="C609" s="6">
        <f t="shared" si="81"/>
        <v>225</v>
      </c>
      <c r="I609">
        <f t="shared" si="82"/>
        <v>0</v>
      </c>
      <c r="N609" s="59">
        <f t="shared" si="84"/>
        <v>0</v>
      </c>
      <c r="O609" s="59">
        <f t="shared" si="85"/>
        <v>0</v>
      </c>
      <c r="T609">
        <f t="shared" si="83"/>
        <v>0</v>
      </c>
      <c r="Y609">
        <f t="shared" si="79"/>
        <v>0</v>
      </c>
      <c r="Z609">
        <f t="shared" si="80"/>
        <v>0</v>
      </c>
    </row>
    <row r="610" spans="2:26">
      <c r="B610" t="str">
        <f t="shared" si="86"/>
        <v>BLUE</v>
      </c>
      <c r="C610" s="6">
        <f t="shared" si="81"/>
        <v>226</v>
      </c>
      <c r="I610">
        <f t="shared" si="82"/>
        <v>0</v>
      </c>
      <c r="N610" s="59">
        <f t="shared" si="84"/>
        <v>0</v>
      </c>
      <c r="O610" s="59">
        <f t="shared" si="85"/>
        <v>0</v>
      </c>
      <c r="T610">
        <f t="shared" si="83"/>
        <v>0</v>
      </c>
      <c r="Y610">
        <f t="shared" si="79"/>
        <v>0</v>
      </c>
      <c r="Z610">
        <f t="shared" si="80"/>
        <v>0</v>
      </c>
    </row>
    <row r="611" spans="2:26">
      <c r="B611" t="str">
        <f t="shared" si="86"/>
        <v>BLUE</v>
      </c>
      <c r="C611" s="6">
        <f t="shared" si="81"/>
        <v>227</v>
      </c>
      <c r="I611">
        <f t="shared" si="82"/>
        <v>0</v>
      </c>
      <c r="N611" s="59">
        <f t="shared" si="84"/>
        <v>0</v>
      </c>
      <c r="O611" s="59">
        <f t="shared" si="85"/>
        <v>0</v>
      </c>
      <c r="T611">
        <f t="shared" si="83"/>
        <v>0</v>
      </c>
      <c r="Y611">
        <f t="shared" si="79"/>
        <v>0</v>
      </c>
      <c r="Z611">
        <f t="shared" si="80"/>
        <v>0</v>
      </c>
    </row>
    <row r="612" spans="2:26">
      <c r="B612" t="str">
        <f t="shared" si="86"/>
        <v>BLUE</v>
      </c>
      <c r="C612" s="6">
        <f t="shared" si="81"/>
        <v>228</v>
      </c>
      <c r="I612">
        <f t="shared" si="82"/>
        <v>0</v>
      </c>
      <c r="N612" s="59">
        <f t="shared" si="84"/>
        <v>0</v>
      </c>
      <c r="O612" s="59">
        <f t="shared" si="85"/>
        <v>0</v>
      </c>
      <c r="T612">
        <f t="shared" si="83"/>
        <v>0</v>
      </c>
      <c r="Y612">
        <f t="shared" si="79"/>
        <v>0</v>
      </c>
      <c r="Z612">
        <f t="shared" si="80"/>
        <v>0</v>
      </c>
    </row>
    <row r="613" spans="2:26">
      <c r="B613" t="str">
        <f t="shared" si="86"/>
        <v>BLUE</v>
      </c>
      <c r="C613" s="6">
        <f t="shared" si="81"/>
        <v>229</v>
      </c>
      <c r="I613">
        <f t="shared" si="82"/>
        <v>0</v>
      </c>
      <c r="N613" s="59">
        <f t="shared" si="84"/>
        <v>0</v>
      </c>
      <c r="O613" s="59">
        <f t="shared" si="85"/>
        <v>0</v>
      </c>
      <c r="T613">
        <f t="shared" si="83"/>
        <v>0</v>
      </c>
      <c r="Y613">
        <f t="shared" si="79"/>
        <v>0</v>
      </c>
      <c r="Z613">
        <f t="shared" si="80"/>
        <v>0</v>
      </c>
    </row>
    <row r="614" spans="2:26">
      <c r="B614" t="str">
        <f t="shared" si="86"/>
        <v>BLUE</v>
      </c>
      <c r="C614" s="6">
        <f t="shared" si="81"/>
        <v>230</v>
      </c>
      <c r="I614">
        <f t="shared" si="82"/>
        <v>0</v>
      </c>
      <c r="N614" s="59">
        <f t="shared" si="84"/>
        <v>0</v>
      </c>
      <c r="O614" s="59">
        <f t="shared" si="85"/>
        <v>0</v>
      </c>
      <c r="T614">
        <f t="shared" si="83"/>
        <v>0</v>
      </c>
      <c r="Y614">
        <f t="shared" si="79"/>
        <v>0</v>
      </c>
      <c r="Z614">
        <f t="shared" si="80"/>
        <v>0</v>
      </c>
    </row>
    <row r="615" spans="2:26">
      <c r="B615" t="str">
        <f t="shared" si="86"/>
        <v>BLUE</v>
      </c>
      <c r="C615" s="6">
        <f t="shared" si="81"/>
        <v>231</v>
      </c>
      <c r="I615">
        <f t="shared" si="82"/>
        <v>0</v>
      </c>
      <c r="N615" s="59">
        <f t="shared" si="84"/>
        <v>0</v>
      </c>
      <c r="O615" s="59">
        <f t="shared" si="85"/>
        <v>0</v>
      </c>
      <c r="T615">
        <f t="shared" si="83"/>
        <v>0</v>
      </c>
      <c r="Y615">
        <f t="shared" si="79"/>
        <v>0</v>
      </c>
      <c r="Z615">
        <f t="shared" si="80"/>
        <v>0</v>
      </c>
    </row>
    <row r="616" spans="2:26">
      <c r="B616" t="str">
        <f t="shared" si="86"/>
        <v>BLUE</v>
      </c>
      <c r="C616" s="6">
        <f t="shared" si="81"/>
        <v>232</v>
      </c>
      <c r="I616">
        <f t="shared" si="82"/>
        <v>0</v>
      </c>
      <c r="N616" s="59">
        <f t="shared" si="84"/>
        <v>0</v>
      </c>
      <c r="O616" s="59">
        <f t="shared" si="85"/>
        <v>0</v>
      </c>
      <c r="T616">
        <f t="shared" si="83"/>
        <v>0</v>
      </c>
      <c r="Y616">
        <f t="shared" si="79"/>
        <v>0</v>
      </c>
      <c r="Z616">
        <f t="shared" si="80"/>
        <v>0</v>
      </c>
    </row>
    <row r="617" spans="2:26">
      <c r="B617" t="str">
        <f t="shared" si="86"/>
        <v>BLUE</v>
      </c>
      <c r="C617" s="6">
        <f t="shared" si="81"/>
        <v>233</v>
      </c>
      <c r="I617">
        <f t="shared" si="82"/>
        <v>0</v>
      </c>
      <c r="N617" s="59">
        <f t="shared" si="84"/>
        <v>0</v>
      </c>
      <c r="O617" s="59">
        <f t="shared" si="85"/>
        <v>0</v>
      </c>
      <c r="T617">
        <f t="shared" si="83"/>
        <v>0</v>
      </c>
      <c r="Y617">
        <f t="shared" si="79"/>
        <v>0</v>
      </c>
      <c r="Z617">
        <f t="shared" si="80"/>
        <v>0</v>
      </c>
    </row>
    <row r="618" spans="2:26">
      <c r="B618" t="str">
        <f t="shared" si="86"/>
        <v>BLUE</v>
      </c>
      <c r="C618" s="6">
        <f t="shared" si="81"/>
        <v>234</v>
      </c>
      <c r="I618">
        <f t="shared" si="82"/>
        <v>0</v>
      </c>
      <c r="N618" s="59">
        <f t="shared" si="84"/>
        <v>0</v>
      </c>
      <c r="O618" s="59">
        <f t="shared" si="85"/>
        <v>0</v>
      </c>
      <c r="T618">
        <f t="shared" si="83"/>
        <v>0</v>
      </c>
      <c r="Y618">
        <f t="shared" si="79"/>
        <v>0</v>
      </c>
      <c r="Z618">
        <f t="shared" si="80"/>
        <v>0</v>
      </c>
    </row>
    <row r="619" spans="2:26">
      <c r="B619" t="str">
        <f t="shared" si="86"/>
        <v>BLUE</v>
      </c>
      <c r="C619" s="6">
        <f t="shared" si="81"/>
        <v>235</v>
      </c>
      <c r="I619">
        <f t="shared" si="82"/>
        <v>0</v>
      </c>
      <c r="N619" s="59">
        <f t="shared" si="84"/>
        <v>0</v>
      </c>
      <c r="O619" s="59">
        <f t="shared" si="85"/>
        <v>0</v>
      </c>
      <c r="T619">
        <f t="shared" si="83"/>
        <v>0</v>
      </c>
      <c r="Y619">
        <f t="shared" si="79"/>
        <v>0</v>
      </c>
      <c r="Z619">
        <f t="shared" si="80"/>
        <v>0</v>
      </c>
    </row>
    <row r="620" spans="2:26">
      <c r="B620" t="str">
        <f t="shared" si="86"/>
        <v>BLUE</v>
      </c>
      <c r="C620" s="6">
        <f t="shared" si="81"/>
        <v>236</v>
      </c>
      <c r="I620">
        <f t="shared" si="82"/>
        <v>0</v>
      </c>
      <c r="N620" s="59">
        <f t="shared" si="84"/>
        <v>0</v>
      </c>
      <c r="O620" s="59">
        <f t="shared" si="85"/>
        <v>0</v>
      </c>
      <c r="T620">
        <f t="shared" si="83"/>
        <v>0</v>
      </c>
      <c r="Y620">
        <f t="shared" si="79"/>
        <v>0</v>
      </c>
      <c r="Z620">
        <f t="shared" si="80"/>
        <v>0</v>
      </c>
    </row>
    <row r="621" spans="2:26">
      <c r="B621" t="str">
        <f t="shared" si="86"/>
        <v>BLUE</v>
      </c>
      <c r="C621" s="6">
        <f t="shared" si="81"/>
        <v>237</v>
      </c>
      <c r="I621">
        <f t="shared" si="82"/>
        <v>0</v>
      </c>
      <c r="N621" s="59">
        <f t="shared" si="84"/>
        <v>0</v>
      </c>
      <c r="O621" s="59">
        <f t="shared" si="85"/>
        <v>0</v>
      </c>
      <c r="T621">
        <f t="shared" si="83"/>
        <v>0</v>
      </c>
      <c r="Y621">
        <f t="shared" si="79"/>
        <v>0</v>
      </c>
      <c r="Z621">
        <f t="shared" si="80"/>
        <v>0</v>
      </c>
    </row>
    <row r="622" spans="2:26">
      <c r="B622" t="str">
        <f t="shared" si="86"/>
        <v>BLUE</v>
      </c>
      <c r="C622" s="6">
        <f t="shared" si="81"/>
        <v>238</v>
      </c>
      <c r="I622">
        <f t="shared" si="82"/>
        <v>0</v>
      </c>
      <c r="N622" s="59">
        <f t="shared" si="84"/>
        <v>0</v>
      </c>
      <c r="O622" s="59">
        <f t="shared" si="85"/>
        <v>0</v>
      </c>
      <c r="T622">
        <f t="shared" si="83"/>
        <v>0</v>
      </c>
      <c r="Y622">
        <f t="shared" ref="Y622:Y685" si="87">SUM($U622:$X622)</f>
        <v>0</v>
      </c>
      <c r="Z622">
        <f t="shared" ref="Z622:Z685" si="88">SUM($T622,$Y622)</f>
        <v>0</v>
      </c>
    </row>
    <row r="623" spans="2:26">
      <c r="B623" t="str">
        <f t="shared" si="86"/>
        <v>BLUE</v>
      </c>
      <c r="C623" s="6">
        <f t="shared" si="81"/>
        <v>239</v>
      </c>
      <c r="I623">
        <f t="shared" si="82"/>
        <v>0</v>
      </c>
      <c r="N623" s="59">
        <f t="shared" si="84"/>
        <v>0</v>
      </c>
      <c r="O623" s="59">
        <f t="shared" si="85"/>
        <v>0</v>
      </c>
      <c r="T623">
        <f t="shared" si="83"/>
        <v>0</v>
      </c>
      <c r="Y623">
        <f t="shared" si="87"/>
        <v>0</v>
      </c>
      <c r="Z623">
        <f t="shared" si="88"/>
        <v>0</v>
      </c>
    </row>
    <row r="624" spans="2:26">
      <c r="B624" t="str">
        <f t="shared" si="86"/>
        <v>BLUE</v>
      </c>
      <c r="C624" s="6">
        <f t="shared" si="81"/>
        <v>240</v>
      </c>
      <c r="I624">
        <f t="shared" si="82"/>
        <v>0</v>
      </c>
      <c r="N624" s="59">
        <f t="shared" si="84"/>
        <v>0</v>
      </c>
      <c r="O624" s="59">
        <f t="shared" si="85"/>
        <v>0</v>
      </c>
      <c r="T624">
        <f t="shared" si="83"/>
        <v>0</v>
      </c>
      <c r="Y624">
        <f t="shared" si="87"/>
        <v>0</v>
      </c>
      <c r="Z624">
        <f t="shared" si="88"/>
        <v>0</v>
      </c>
    </row>
    <row r="625" spans="2:26">
      <c r="B625" t="str">
        <f t="shared" si="86"/>
        <v>BLUE</v>
      </c>
      <c r="C625" s="6">
        <f t="shared" si="81"/>
        <v>241</v>
      </c>
      <c r="I625">
        <f t="shared" si="82"/>
        <v>0</v>
      </c>
      <c r="N625" s="59">
        <f t="shared" si="84"/>
        <v>0</v>
      </c>
      <c r="O625" s="59">
        <f t="shared" si="85"/>
        <v>0</v>
      </c>
      <c r="T625">
        <f t="shared" si="83"/>
        <v>0</v>
      </c>
      <c r="Y625">
        <f t="shared" si="87"/>
        <v>0</v>
      </c>
      <c r="Z625">
        <f t="shared" si="88"/>
        <v>0</v>
      </c>
    </row>
    <row r="626" spans="2:26">
      <c r="B626" t="str">
        <f t="shared" si="86"/>
        <v>BLUE</v>
      </c>
      <c r="C626" s="6">
        <f t="shared" si="81"/>
        <v>242</v>
      </c>
      <c r="I626">
        <f t="shared" si="82"/>
        <v>0</v>
      </c>
      <c r="N626" s="59">
        <f t="shared" si="84"/>
        <v>0</v>
      </c>
      <c r="O626" s="59">
        <f t="shared" si="85"/>
        <v>0</v>
      </c>
      <c r="T626">
        <f t="shared" si="83"/>
        <v>0</v>
      </c>
      <c r="Y626">
        <f t="shared" si="87"/>
        <v>0</v>
      </c>
      <c r="Z626">
        <f t="shared" si="88"/>
        <v>0</v>
      </c>
    </row>
    <row r="627" spans="2:26">
      <c r="B627" t="str">
        <f t="shared" si="86"/>
        <v>BLUE</v>
      </c>
      <c r="C627" s="6">
        <f t="shared" si="81"/>
        <v>243</v>
      </c>
      <c r="I627">
        <f t="shared" si="82"/>
        <v>0</v>
      </c>
      <c r="N627" s="59">
        <f t="shared" si="84"/>
        <v>0</v>
      </c>
      <c r="O627" s="59">
        <f t="shared" si="85"/>
        <v>0</v>
      </c>
      <c r="T627">
        <f t="shared" si="83"/>
        <v>0</v>
      </c>
      <c r="Y627">
        <f t="shared" si="87"/>
        <v>0</v>
      </c>
      <c r="Z627">
        <f t="shared" si="88"/>
        <v>0</v>
      </c>
    </row>
    <row r="628" spans="2:26">
      <c r="B628" t="str">
        <f t="shared" si="86"/>
        <v>BLUE</v>
      </c>
      <c r="C628" s="6">
        <f t="shared" si="81"/>
        <v>244</v>
      </c>
      <c r="I628">
        <f t="shared" si="82"/>
        <v>0</v>
      </c>
      <c r="N628" s="59">
        <f t="shared" si="84"/>
        <v>0</v>
      </c>
      <c r="O628" s="59">
        <f t="shared" si="85"/>
        <v>0</v>
      </c>
      <c r="T628">
        <f t="shared" si="83"/>
        <v>0</v>
      </c>
      <c r="Y628">
        <f t="shared" si="87"/>
        <v>0</v>
      </c>
      <c r="Z628">
        <f t="shared" si="88"/>
        <v>0</v>
      </c>
    </row>
    <row r="629" spans="2:26">
      <c r="B629" t="str">
        <f t="shared" si="86"/>
        <v>BLUE</v>
      </c>
      <c r="C629" s="6">
        <f t="shared" ref="C629:C692" si="89">C628+1</f>
        <v>245</v>
      </c>
      <c r="I629">
        <f t="shared" si="82"/>
        <v>0</v>
      </c>
      <c r="N629" s="59">
        <f t="shared" si="84"/>
        <v>0</v>
      </c>
      <c r="O629" s="59">
        <f t="shared" si="85"/>
        <v>0</v>
      </c>
      <c r="T629">
        <f t="shared" si="83"/>
        <v>0</v>
      </c>
      <c r="Y629">
        <f t="shared" si="87"/>
        <v>0</v>
      </c>
      <c r="Z629">
        <f t="shared" si="88"/>
        <v>0</v>
      </c>
    </row>
    <row r="630" spans="2:26">
      <c r="B630" t="str">
        <f t="shared" si="86"/>
        <v>BLUE</v>
      </c>
      <c r="C630" s="6">
        <f t="shared" si="89"/>
        <v>246</v>
      </c>
      <c r="I630">
        <f t="shared" si="82"/>
        <v>0</v>
      </c>
      <c r="N630" s="59">
        <f t="shared" si="84"/>
        <v>0</v>
      </c>
      <c r="O630" s="59">
        <f t="shared" si="85"/>
        <v>0</v>
      </c>
      <c r="T630">
        <f t="shared" si="83"/>
        <v>0</v>
      </c>
      <c r="Y630">
        <f t="shared" si="87"/>
        <v>0</v>
      </c>
      <c r="Z630">
        <f t="shared" si="88"/>
        <v>0</v>
      </c>
    </row>
    <row r="631" spans="2:26">
      <c r="B631" t="str">
        <f t="shared" si="86"/>
        <v>BLUE</v>
      </c>
      <c r="C631" s="6">
        <f t="shared" si="89"/>
        <v>247</v>
      </c>
      <c r="I631">
        <f t="shared" si="82"/>
        <v>0</v>
      </c>
      <c r="N631" s="59">
        <f t="shared" si="84"/>
        <v>0</v>
      </c>
      <c r="O631" s="59">
        <f t="shared" si="85"/>
        <v>0</v>
      </c>
      <c r="T631">
        <f t="shared" si="83"/>
        <v>0</v>
      </c>
      <c r="Y631">
        <f t="shared" si="87"/>
        <v>0</v>
      </c>
      <c r="Z631">
        <f t="shared" si="88"/>
        <v>0</v>
      </c>
    </row>
    <row r="632" spans="2:26">
      <c r="B632" t="str">
        <f t="shared" si="86"/>
        <v>BLUE</v>
      </c>
      <c r="C632" s="6">
        <f t="shared" si="89"/>
        <v>248</v>
      </c>
      <c r="I632">
        <f t="shared" si="82"/>
        <v>0</v>
      </c>
      <c r="N632" s="59">
        <f t="shared" si="84"/>
        <v>0</v>
      </c>
      <c r="O632" s="59">
        <f t="shared" si="85"/>
        <v>0</v>
      </c>
      <c r="T632">
        <f t="shared" si="83"/>
        <v>0</v>
      </c>
      <c r="Y632">
        <f t="shared" si="87"/>
        <v>0</v>
      </c>
      <c r="Z632">
        <f t="shared" si="88"/>
        <v>0</v>
      </c>
    </row>
    <row r="633" spans="2:26">
      <c r="B633" t="str">
        <f t="shared" si="86"/>
        <v>BLUE</v>
      </c>
      <c r="C633" s="6">
        <f t="shared" si="89"/>
        <v>249</v>
      </c>
      <c r="I633">
        <f t="shared" si="82"/>
        <v>0</v>
      </c>
      <c r="N633" s="59">
        <f t="shared" si="84"/>
        <v>0</v>
      </c>
      <c r="O633" s="59">
        <f t="shared" si="85"/>
        <v>0</v>
      </c>
      <c r="T633">
        <f t="shared" si="83"/>
        <v>0</v>
      </c>
      <c r="Y633">
        <f t="shared" si="87"/>
        <v>0</v>
      </c>
      <c r="Z633">
        <f t="shared" si="88"/>
        <v>0</v>
      </c>
    </row>
    <row r="634" spans="2:26">
      <c r="B634" t="str">
        <f t="shared" si="86"/>
        <v>BLUE</v>
      </c>
      <c r="C634" s="6">
        <f t="shared" si="89"/>
        <v>250</v>
      </c>
      <c r="I634">
        <f t="shared" si="82"/>
        <v>0</v>
      </c>
      <c r="N634" s="59">
        <f t="shared" si="84"/>
        <v>0</v>
      </c>
      <c r="O634" s="59">
        <f t="shared" si="85"/>
        <v>0</v>
      </c>
      <c r="T634">
        <f t="shared" si="83"/>
        <v>0</v>
      </c>
      <c r="Y634">
        <f t="shared" si="87"/>
        <v>0</v>
      </c>
      <c r="Z634">
        <f t="shared" si="88"/>
        <v>0</v>
      </c>
    </row>
    <row r="635" spans="2:26">
      <c r="B635" t="str">
        <f t="shared" si="86"/>
        <v>BLUE</v>
      </c>
      <c r="C635" s="6">
        <f t="shared" si="89"/>
        <v>251</v>
      </c>
      <c r="I635">
        <f t="shared" si="82"/>
        <v>0</v>
      </c>
      <c r="N635" s="59">
        <f t="shared" si="84"/>
        <v>0</v>
      </c>
      <c r="O635" s="59">
        <f t="shared" si="85"/>
        <v>0</v>
      </c>
      <c r="T635">
        <f t="shared" si="83"/>
        <v>0</v>
      </c>
      <c r="Y635">
        <f t="shared" si="87"/>
        <v>0</v>
      </c>
      <c r="Z635">
        <f t="shared" si="88"/>
        <v>0</v>
      </c>
    </row>
    <row r="636" spans="2:26">
      <c r="B636" t="str">
        <f t="shared" si="86"/>
        <v>BLUE</v>
      </c>
      <c r="C636" s="6">
        <f t="shared" si="89"/>
        <v>252</v>
      </c>
      <c r="I636">
        <f t="shared" si="82"/>
        <v>0</v>
      </c>
      <c r="N636" s="59">
        <f t="shared" si="84"/>
        <v>0</v>
      </c>
      <c r="O636" s="59">
        <f t="shared" si="85"/>
        <v>0</v>
      </c>
      <c r="T636">
        <f t="shared" si="83"/>
        <v>0</v>
      </c>
      <c r="Y636">
        <f t="shared" si="87"/>
        <v>0</v>
      </c>
      <c r="Z636">
        <f t="shared" si="88"/>
        <v>0</v>
      </c>
    </row>
    <row r="637" spans="2:26">
      <c r="B637" t="str">
        <f t="shared" si="86"/>
        <v>BLUE</v>
      </c>
      <c r="C637" s="6">
        <f t="shared" si="89"/>
        <v>253</v>
      </c>
      <c r="I637">
        <f t="shared" si="82"/>
        <v>0</v>
      </c>
      <c r="N637" s="59">
        <f t="shared" si="84"/>
        <v>0</v>
      </c>
      <c r="O637" s="59">
        <f t="shared" si="85"/>
        <v>0</v>
      </c>
      <c r="T637">
        <f t="shared" si="83"/>
        <v>0</v>
      </c>
      <c r="Y637">
        <f t="shared" si="87"/>
        <v>0</v>
      </c>
      <c r="Z637">
        <f t="shared" si="88"/>
        <v>0</v>
      </c>
    </row>
    <row r="638" spans="2:26">
      <c r="B638" t="str">
        <f t="shared" si="86"/>
        <v>BLUE</v>
      </c>
      <c r="C638" s="6">
        <f t="shared" si="89"/>
        <v>254</v>
      </c>
      <c r="I638">
        <f t="shared" ref="I638:I701" si="90">SUM($E638:$H638)</f>
        <v>0</v>
      </c>
      <c r="N638" s="59">
        <f t="shared" si="84"/>
        <v>0</v>
      </c>
      <c r="O638" s="59">
        <f t="shared" si="85"/>
        <v>0</v>
      </c>
      <c r="T638">
        <f t="shared" ref="T638:T701" si="91">SUM($P638:$S638)</f>
        <v>0</v>
      </c>
      <c r="Y638">
        <f t="shared" si="87"/>
        <v>0</v>
      </c>
      <c r="Z638">
        <f t="shared" si="88"/>
        <v>0</v>
      </c>
    </row>
    <row r="639" spans="2:26">
      <c r="B639" t="str">
        <f t="shared" si="86"/>
        <v>BLUE</v>
      </c>
      <c r="C639" s="6">
        <f t="shared" si="89"/>
        <v>255</v>
      </c>
      <c r="I639">
        <f t="shared" si="90"/>
        <v>0</v>
      </c>
      <c r="N639" s="59">
        <f t="shared" si="84"/>
        <v>0</v>
      </c>
      <c r="O639" s="59">
        <f t="shared" si="85"/>
        <v>0</v>
      </c>
      <c r="T639">
        <f t="shared" si="91"/>
        <v>0</v>
      </c>
      <c r="Y639">
        <f t="shared" si="87"/>
        <v>0</v>
      </c>
      <c r="Z639">
        <f t="shared" si="88"/>
        <v>0</v>
      </c>
    </row>
    <row r="640" spans="2:26">
      <c r="B640" t="str">
        <f t="shared" si="86"/>
        <v>BLUE</v>
      </c>
      <c r="C640" s="6">
        <f t="shared" si="89"/>
        <v>256</v>
      </c>
      <c r="I640">
        <f t="shared" si="90"/>
        <v>0</v>
      </c>
      <c r="N640" s="59">
        <f t="shared" si="84"/>
        <v>0</v>
      </c>
      <c r="O640" s="59">
        <f t="shared" si="85"/>
        <v>0</v>
      </c>
      <c r="T640">
        <f t="shared" si="91"/>
        <v>0</v>
      </c>
      <c r="Y640">
        <f t="shared" si="87"/>
        <v>0</v>
      </c>
      <c r="Z640">
        <f t="shared" si="88"/>
        <v>0</v>
      </c>
    </row>
    <row r="641" spans="2:26">
      <c r="B641" t="str">
        <f t="shared" si="86"/>
        <v>BLUE</v>
      </c>
      <c r="C641" s="6">
        <f t="shared" si="89"/>
        <v>257</v>
      </c>
      <c r="I641">
        <f t="shared" si="90"/>
        <v>0</v>
      </c>
      <c r="N641" s="59">
        <f t="shared" si="84"/>
        <v>0</v>
      </c>
      <c r="O641" s="59">
        <f t="shared" si="85"/>
        <v>0</v>
      </c>
      <c r="T641">
        <f t="shared" si="91"/>
        <v>0</v>
      </c>
      <c r="Y641">
        <f t="shared" si="87"/>
        <v>0</v>
      </c>
      <c r="Z641">
        <f t="shared" si="88"/>
        <v>0</v>
      </c>
    </row>
    <row r="642" spans="2:26">
      <c r="B642" t="str">
        <f t="shared" si="86"/>
        <v>BLUE</v>
      </c>
      <c r="C642" s="6">
        <f t="shared" si="89"/>
        <v>258</v>
      </c>
      <c r="I642">
        <f t="shared" si="90"/>
        <v>0</v>
      </c>
      <c r="N642" s="59">
        <f t="shared" si="84"/>
        <v>0</v>
      </c>
      <c r="O642" s="59">
        <f t="shared" si="85"/>
        <v>0</v>
      </c>
      <c r="T642">
        <f t="shared" si="91"/>
        <v>0</v>
      </c>
      <c r="Y642">
        <f t="shared" si="87"/>
        <v>0</v>
      </c>
      <c r="Z642">
        <f t="shared" si="88"/>
        <v>0</v>
      </c>
    </row>
    <row r="643" spans="2:26">
      <c r="B643" t="str">
        <f t="shared" si="86"/>
        <v>BLUE</v>
      </c>
      <c r="C643" s="6">
        <f t="shared" si="89"/>
        <v>259</v>
      </c>
      <c r="I643">
        <f t="shared" si="90"/>
        <v>0</v>
      </c>
      <c r="N643" s="59">
        <f t="shared" si="84"/>
        <v>0</v>
      </c>
      <c r="O643" s="59">
        <f t="shared" si="85"/>
        <v>0</v>
      </c>
      <c r="T643">
        <f t="shared" si="91"/>
        <v>0</v>
      </c>
      <c r="Y643">
        <f t="shared" si="87"/>
        <v>0</v>
      </c>
      <c r="Z643">
        <f t="shared" si="88"/>
        <v>0</v>
      </c>
    </row>
    <row r="644" spans="2:26">
      <c r="B644" t="str">
        <f t="shared" si="86"/>
        <v>BLUE</v>
      </c>
      <c r="C644" s="6">
        <f t="shared" si="89"/>
        <v>260</v>
      </c>
      <c r="I644">
        <f t="shared" si="90"/>
        <v>0</v>
      </c>
      <c r="N644" s="59">
        <f t="shared" si="84"/>
        <v>0</v>
      </c>
      <c r="O644" s="59">
        <f t="shared" si="85"/>
        <v>0</v>
      </c>
      <c r="T644">
        <f t="shared" si="91"/>
        <v>0</v>
      </c>
      <c r="Y644">
        <f t="shared" si="87"/>
        <v>0</v>
      </c>
      <c r="Z644">
        <f t="shared" si="88"/>
        <v>0</v>
      </c>
    </row>
    <row r="645" spans="2:26">
      <c r="B645" t="str">
        <f t="shared" si="86"/>
        <v>BLUE</v>
      </c>
      <c r="C645" s="6">
        <f t="shared" si="89"/>
        <v>261</v>
      </c>
      <c r="I645">
        <f t="shared" si="90"/>
        <v>0</v>
      </c>
      <c r="N645" s="59">
        <f t="shared" si="84"/>
        <v>0</v>
      </c>
      <c r="O645" s="59">
        <f t="shared" si="85"/>
        <v>0</v>
      </c>
      <c r="T645">
        <f t="shared" si="91"/>
        <v>0</v>
      </c>
      <c r="Y645">
        <f t="shared" si="87"/>
        <v>0</v>
      </c>
      <c r="Z645">
        <f t="shared" si="88"/>
        <v>0</v>
      </c>
    </row>
    <row r="646" spans="2:26">
      <c r="B646" t="str">
        <f t="shared" si="86"/>
        <v>BLUE</v>
      </c>
      <c r="C646" s="6">
        <f t="shared" si="89"/>
        <v>262</v>
      </c>
      <c r="I646">
        <f t="shared" si="90"/>
        <v>0</v>
      </c>
      <c r="N646" s="59">
        <f t="shared" si="84"/>
        <v>0</v>
      </c>
      <c r="O646" s="59">
        <f t="shared" si="85"/>
        <v>0</v>
      </c>
      <c r="T646">
        <f t="shared" si="91"/>
        <v>0</v>
      </c>
      <c r="Y646">
        <f t="shared" si="87"/>
        <v>0</v>
      </c>
      <c r="Z646">
        <f t="shared" si="88"/>
        <v>0</v>
      </c>
    </row>
    <row r="647" spans="2:26">
      <c r="B647" t="str">
        <f t="shared" si="86"/>
        <v>BLUE</v>
      </c>
      <c r="C647" s="6">
        <f t="shared" si="89"/>
        <v>263</v>
      </c>
      <c r="I647">
        <f t="shared" si="90"/>
        <v>0</v>
      </c>
      <c r="N647" s="59">
        <f t="shared" si="84"/>
        <v>0</v>
      </c>
      <c r="O647" s="59">
        <f t="shared" si="85"/>
        <v>0</v>
      </c>
      <c r="T647">
        <f t="shared" si="91"/>
        <v>0</v>
      </c>
      <c r="Y647">
        <f t="shared" si="87"/>
        <v>0</v>
      </c>
      <c r="Z647">
        <f t="shared" si="88"/>
        <v>0</v>
      </c>
    </row>
    <row r="648" spans="2:26">
      <c r="B648" t="str">
        <f t="shared" si="86"/>
        <v>BLUE</v>
      </c>
      <c r="C648" s="6">
        <f t="shared" si="89"/>
        <v>264</v>
      </c>
      <c r="I648">
        <f t="shared" si="90"/>
        <v>0</v>
      </c>
      <c r="N648" s="59">
        <f t="shared" si="84"/>
        <v>0</v>
      </c>
      <c r="O648" s="59">
        <f t="shared" si="85"/>
        <v>0</v>
      </c>
      <c r="T648">
        <f t="shared" si="91"/>
        <v>0</v>
      </c>
      <c r="Y648">
        <f t="shared" si="87"/>
        <v>0</v>
      </c>
      <c r="Z648">
        <f t="shared" si="88"/>
        <v>0</v>
      </c>
    </row>
    <row r="649" spans="2:26">
      <c r="B649" t="str">
        <f t="shared" si="86"/>
        <v>BLUE</v>
      </c>
      <c r="C649" s="6">
        <f t="shared" si="89"/>
        <v>265</v>
      </c>
      <c r="I649">
        <f t="shared" si="90"/>
        <v>0</v>
      </c>
      <c r="N649" s="59">
        <f t="shared" ref="N649:N712" si="92">SUM($J649:$M649)</f>
        <v>0</v>
      </c>
      <c r="O649" s="59">
        <f t="shared" ref="O649:O712" si="93">SUM($I649, $N649)</f>
        <v>0</v>
      </c>
      <c r="T649">
        <f t="shared" si="91"/>
        <v>0</v>
      </c>
      <c r="Y649">
        <f t="shared" si="87"/>
        <v>0</v>
      </c>
      <c r="Z649">
        <f t="shared" si="88"/>
        <v>0</v>
      </c>
    </row>
    <row r="650" spans="2:26">
      <c r="B650" t="str">
        <f t="shared" si="86"/>
        <v>BLUE</v>
      </c>
      <c r="C650" s="6">
        <f t="shared" si="89"/>
        <v>266</v>
      </c>
      <c r="I650">
        <f t="shared" si="90"/>
        <v>0</v>
      </c>
      <c r="N650" s="59">
        <f t="shared" si="92"/>
        <v>0</v>
      </c>
      <c r="O650" s="59">
        <f t="shared" si="93"/>
        <v>0</v>
      </c>
      <c r="T650">
        <f t="shared" si="91"/>
        <v>0</v>
      </c>
      <c r="Y650">
        <f t="shared" si="87"/>
        <v>0</v>
      </c>
      <c r="Z650">
        <f t="shared" si="88"/>
        <v>0</v>
      </c>
    </row>
    <row r="651" spans="2:26">
      <c r="B651" t="str">
        <f t="shared" si="86"/>
        <v>BLUE</v>
      </c>
      <c r="C651" s="6">
        <f t="shared" si="89"/>
        <v>267</v>
      </c>
      <c r="I651">
        <f t="shared" si="90"/>
        <v>0</v>
      </c>
      <c r="N651" s="59">
        <f t="shared" si="92"/>
        <v>0</v>
      </c>
      <c r="O651" s="59">
        <f t="shared" si="93"/>
        <v>0</v>
      </c>
      <c r="T651">
        <f t="shared" si="91"/>
        <v>0</v>
      </c>
      <c r="Y651">
        <f t="shared" si="87"/>
        <v>0</v>
      </c>
      <c r="Z651">
        <f t="shared" si="88"/>
        <v>0</v>
      </c>
    </row>
    <row r="652" spans="2:26">
      <c r="B652" t="str">
        <f t="shared" si="86"/>
        <v>BLUE</v>
      </c>
      <c r="C652" s="6">
        <f t="shared" si="89"/>
        <v>268</v>
      </c>
      <c r="I652">
        <f t="shared" si="90"/>
        <v>0</v>
      </c>
      <c r="N652" s="59">
        <f t="shared" si="92"/>
        <v>0</v>
      </c>
      <c r="O652" s="59">
        <f t="shared" si="93"/>
        <v>0</v>
      </c>
      <c r="T652">
        <f t="shared" si="91"/>
        <v>0</v>
      </c>
      <c r="Y652">
        <f t="shared" si="87"/>
        <v>0</v>
      </c>
      <c r="Z652">
        <f t="shared" si="88"/>
        <v>0</v>
      </c>
    </row>
    <row r="653" spans="2:26">
      <c r="B653" t="str">
        <f t="shared" si="86"/>
        <v>BLUE</v>
      </c>
      <c r="C653" s="6">
        <f t="shared" si="89"/>
        <v>269</v>
      </c>
      <c r="I653">
        <f t="shared" si="90"/>
        <v>0</v>
      </c>
      <c r="N653" s="59">
        <f t="shared" si="92"/>
        <v>0</v>
      </c>
      <c r="O653" s="59">
        <f t="shared" si="93"/>
        <v>0</v>
      </c>
      <c r="T653">
        <f t="shared" si="91"/>
        <v>0</v>
      </c>
      <c r="Y653">
        <f t="shared" si="87"/>
        <v>0</v>
      </c>
      <c r="Z653">
        <f t="shared" si="88"/>
        <v>0</v>
      </c>
    </row>
    <row r="654" spans="2:26">
      <c r="B654" t="str">
        <f t="shared" si="86"/>
        <v>BLUE</v>
      </c>
      <c r="C654" s="6">
        <f t="shared" si="89"/>
        <v>270</v>
      </c>
      <c r="I654">
        <f t="shared" si="90"/>
        <v>0</v>
      </c>
      <c r="N654" s="59">
        <f t="shared" si="92"/>
        <v>0</v>
      </c>
      <c r="O654" s="59">
        <f t="shared" si="93"/>
        <v>0</v>
      </c>
      <c r="T654">
        <f t="shared" si="91"/>
        <v>0</v>
      </c>
      <c r="Y654">
        <f t="shared" si="87"/>
        <v>0</v>
      </c>
      <c r="Z654">
        <f t="shared" si="88"/>
        <v>0</v>
      </c>
    </row>
    <row r="655" spans="2:26">
      <c r="B655" t="str">
        <f t="shared" si="86"/>
        <v>BLUE</v>
      </c>
      <c r="C655" s="6">
        <f t="shared" si="89"/>
        <v>271</v>
      </c>
      <c r="I655">
        <f t="shared" si="90"/>
        <v>0</v>
      </c>
      <c r="N655" s="59">
        <f t="shared" si="92"/>
        <v>0</v>
      </c>
      <c r="O655" s="59">
        <f t="shared" si="93"/>
        <v>0</v>
      </c>
      <c r="T655">
        <f t="shared" si="91"/>
        <v>0</v>
      </c>
      <c r="Y655">
        <f t="shared" si="87"/>
        <v>0</v>
      </c>
      <c r="Z655">
        <f t="shared" si="88"/>
        <v>0</v>
      </c>
    </row>
    <row r="656" spans="2:26">
      <c r="B656" t="str">
        <f t="shared" si="86"/>
        <v>BLUE</v>
      </c>
      <c r="C656" s="6">
        <f t="shared" si="89"/>
        <v>272</v>
      </c>
      <c r="I656">
        <f t="shared" si="90"/>
        <v>0</v>
      </c>
      <c r="N656" s="59">
        <f t="shared" si="92"/>
        <v>0</v>
      </c>
      <c r="O656" s="59">
        <f t="shared" si="93"/>
        <v>0</v>
      </c>
      <c r="T656">
        <f t="shared" si="91"/>
        <v>0</v>
      </c>
      <c r="Y656">
        <f t="shared" si="87"/>
        <v>0</v>
      </c>
      <c r="Z656">
        <f t="shared" si="88"/>
        <v>0</v>
      </c>
    </row>
    <row r="657" spans="2:26">
      <c r="B657" t="str">
        <f t="shared" si="86"/>
        <v>BLUE</v>
      </c>
      <c r="C657" s="6">
        <f t="shared" si="89"/>
        <v>273</v>
      </c>
      <c r="I657">
        <f t="shared" si="90"/>
        <v>0</v>
      </c>
      <c r="N657" s="59">
        <f t="shared" si="92"/>
        <v>0</v>
      </c>
      <c r="O657" s="59">
        <f t="shared" si="93"/>
        <v>0</v>
      </c>
      <c r="T657">
        <f t="shared" si="91"/>
        <v>0</v>
      </c>
      <c r="Y657">
        <f t="shared" si="87"/>
        <v>0</v>
      </c>
      <c r="Z657">
        <f t="shared" si="88"/>
        <v>0</v>
      </c>
    </row>
    <row r="658" spans="2:26">
      <c r="B658" t="str">
        <f t="shared" si="86"/>
        <v>BLUE</v>
      </c>
      <c r="C658" s="6">
        <f t="shared" si="89"/>
        <v>274</v>
      </c>
      <c r="I658">
        <f t="shared" si="90"/>
        <v>0</v>
      </c>
      <c r="N658" s="59">
        <f t="shared" si="92"/>
        <v>0</v>
      </c>
      <c r="O658" s="59">
        <f t="shared" si="93"/>
        <v>0</v>
      </c>
      <c r="T658">
        <f t="shared" si="91"/>
        <v>0</v>
      </c>
      <c r="Y658">
        <f t="shared" si="87"/>
        <v>0</v>
      </c>
      <c r="Z658">
        <f t="shared" si="88"/>
        <v>0</v>
      </c>
    </row>
    <row r="659" spans="2:26">
      <c r="B659" t="str">
        <f t="shared" ref="B659:B722" si="94">B658</f>
        <v>BLUE</v>
      </c>
      <c r="C659" s="6">
        <f t="shared" si="89"/>
        <v>275</v>
      </c>
      <c r="I659">
        <f t="shared" si="90"/>
        <v>0</v>
      </c>
      <c r="N659" s="59">
        <f t="shared" si="92"/>
        <v>0</v>
      </c>
      <c r="O659" s="59">
        <f t="shared" si="93"/>
        <v>0</v>
      </c>
      <c r="T659">
        <f t="shared" si="91"/>
        <v>0</v>
      </c>
      <c r="Y659">
        <f t="shared" si="87"/>
        <v>0</v>
      </c>
      <c r="Z659">
        <f t="shared" si="88"/>
        <v>0</v>
      </c>
    </row>
    <row r="660" spans="2:26">
      <c r="B660" t="str">
        <f t="shared" si="94"/>
        <v>BLUE</v>
      </c>
      <c r="C660" s="6">
        <f t="shared" si="89"/>
        <v>276</v>
      </c>
      <c r="I660">
        <f t="shared" si="90"/>
        <v>0</v>
      </c>
      <c r="N660" s="59">
        <f t="shared" si="92"/>
        <v>0</v>
      </c>
      <c r="O660" s="59">
        <f t="shared" si="93"/>
        <v>0</v>
      </c>
      <c r="T660">
        <f t="shared" si="91"/>
        <v>0</v>
      </c>
      <c r="Y660">
        <f t="shared" si="87"/>
        <v>0</v>
      </c>
      <c r="Z660">
        <f t="shared" si="88"/>
        <v>0</v>
      </c>
    </row>
    <row r="661" spans="2:26">
      <c r="B661" t="str">
        <f t="shared" si="94"/>
        <v>BLUE</v>
      </c>
      <c r="C661" s="6">
        <f t="shared" si="89"/>
        <v>277</v>
      </c>
      <c r="I661">
        <f t="shared" si="90"/>
        <v>0</v>
      </c>
      <c r="N661" s="59">
        <f t="shared" si="92"/>
        <v>0</v>
      </c>
      <c r="O661" s="59">
        <f t="shared" si="93"/>
        <v>0</v>
      </c>
      <c r="T661">
        <f t="shared" si="91"/>
        <v>0</v>
      </c>
      <c r="Y661">
        <f t="shared" si="87"/>
        <v>0</v>
      </c>
      <c r="Z661">
        <f t="shared" si="88"/>
        <v>0</v>
      </c>
    </row>
    <row r="662" spans="2:26">
      <c r="B662" t="str">
        <f t="shared" si="94"/>
        <v>BLUE</v>
      </c>
      <c r="C662" s="6">
        <f t="shared" si="89"/>
        <v>278</v>
      </c>
      <c r="I662">
        <f t="shared" si="90"/>
        <v>0</v>
      </c>
      <c r="N662" s="59">
        <f t="shared" si="92"/>
        <v>0</v>
      </c>
      <c r="O662" s="59">
        <f t="shared" si="93"/>
        <v>0</v>
      </c>
      <c r="T662">
        <f t="shared" si="91"/>
        <v>0</v>
      </c>
      <c r="Y662">
        <f t="shared" si="87"/>
        <v>0</v>
      </c>
      <c r="Z662">
        <f t="shared" si="88"/>
        <v>0</v>
      </c>
    </row>
    <row r="663" spans="2:26">
      <c r="B663" t="str">
        <f t="shared" si="94"/>
        <v>BLUE</v>
      </c>
      <c r="C663" s="6">
        <f t="shared" si="89"/>
        <v>279</v>
      </c>
      <c r="I663">
        <f t="shared" si="90"/>
        <v>0</v>
      </c>
      <c r="N663" s="59">
        <f t="shared" si="92"/>
        <v>0</v>
      </c>
      <c r="O663" s="59">
        <f t="shared" si="93"/>
        <v>0</v>
      </c>
      <c r="T663">
        <f t="shared" si="91"/>
        <v>0</v>
      </c>
      <c r="Y663">
        <f t="shared" si="87"/>
        <v>0</v>
      </c>
      <c r="Z663">
        <f t="shared" si="88"/>
        <v>0</v>
      </c>
    </row>
    <row r="664" spans="2:26">
      <c r="B664" t="str">
        <f t="shared" si="94"/>
        <v>BLUE</v>
      </c>
      <c r="C664" s="6">
        <f t="shared" si="89"/>
        <v>280</v>
      </c>
      <c r="I664">
        <f t="shared" si="90"/>
        <v>0</v>
      </c>
      <c r="N664" s="59">
        <f t="shared" si="92"/>
        <v>0</v>
      </c>
      <c r="O664" s="59">
        <f t="shared" si="93"/>
        <v>0</v>
      </c>
      <c r="T664">
        <f t="shared" si="91"/>
        <v>0</v>
      </c>
      <c r="Y664">
        <f t="shared" si="87"/>
        <v>0</v>
      </c>
      <c r="Z664">
        <f t="shared" si="88"/>
        <v>0</v>
      </c>
    </row>
    <row r="665" spans="2:26">
      <c r="B665" t="str">
        <f t="shared" si="94"/>
        <v>BLUE</v>
      </c>
      <c r="C665" s="6">
        <f t="shared" si="89"/>
        <v>281</v>
      </c>
      <c r="I665">
        <f t="shared" si="90"/>
        <v>0</v>
      </c>
      <c r="N665" s="59">
        <f t="shared" si="92"/>
        <v>0</v>
      </c>
      <c r="O665" s="59">
        <f t="shared" si="93"/>
        <v>0</v>
      </c>
      <c r="T665">
        <f t="shared" si="91"/>
        <v>0</v>
      </c>
      <c r="Y665">
        <f t="shared" si="87"/>
        <v>0</v>
      </c>
      <c r="Z665">
        <f t="shared" si="88"/>
        <v>0</v>
      </c>
    </row>
    <row r="666" spans="2:26">
      <c r="B666" t="str">
        <f t="shared" si="94"/>
        <v>BLUE</v>
      </c>
      <c r="C666" s="6">
        <f t="shared" si="89"/>
        <v>282</v>
      </c>
      <c r="I666">
        <f t="shared" si="90"/>
        <v>0</v>
      </c>
      <c r="N666" s="59">
        <f t="shared" si="92"/>
        <v>0</v>
      </c>
      <c r="O666" s="59">
        <f t="shared" si="93"/>
        <v>0</v>
      </c>
      <c r="T666">
        <f t="shared" si="91"/>
        <v>0</v>
      </c>
      <c r="Y666">
        <f t="shared" si="87"/>
        <v>0</v>
      </c>
      <c r="Z666">
        <f t="shared" si="88"/>
        <v>0</v>
      </c>
    </row>
    <row r="667" spans="2:26">
      <c r="B667" t="str">
        <f t="shared" si="94"/>
        <v>BLUE</v>
      </c>
      <c r="C667" s="6">
        <f t="shared" si="89"/>
        <v>283</v>
      </c>
      <c r="I667">
        <f t="shared" si="90"/>
        <v>0</v>
      </c>
      <c r="N667" s="59">
        <f t="shared" si="92"/>
        <v>0</v>
      </c>
      <c r="O667" s="59">
        <f t="shared" si="93"/>
        <v>0</v>
      </c>
      <c r="T667">
        <f t="shared" si="91"/>
        <v>0</v>
      </c>
      <c r="Y667">
        <f t="shared" si="87"/>
        <v>0</v>
      </c>
      <c r="Z667">
        <f t="shared" si="88"/>
        <v>0</v>
      </c>
    </row>
    <row r="668" spans="2:26">
      <c r="B668" t="str">
        <f t="shared" si="94"/>
        <v>BLUE</v>
      </c>
      <c r="C668" s="6">
        <f t="shared" si="89"/>
        <v>284</v>
      </c>
      <c r="I668">
        <f t="shared" si="90"/>
        <v>0</v>
      </c>
      <c r="N668" s="59">
        <f t="shared" si="92"/>
        <v>0</v>
      </c>
      <c r="O668" s="59">
        <f t="shared" si="93"/>
        <v>0</v>
      </c>
      <c r="T668">
        <f t="shared" si="91"/>
        <v>0</v>
      </c>
      <c r="Y668">
        <f t="shared" si="87"/>
        <v>0</v>
      </c>
      <c r="Z668">
        <f t="shared" si="88"/>
        <v>0</v>
      </c>
    </row>
    <row r="669" spans="2:26">
      <c r="B669" t="str">
        <f t="shared" si="94"/>
        <v>BLUE</v>
      </c>
      <c r="C669" s="6">
        <f t="shared" si="89"/>
        <v>285</v>
      </c>
      <c r="I669">
        <f t="shared" si="90"/>
        <v>0</v>
      </c>
      <c r="N669" s="59">
        <f t="shared" si="92"/>
        <v>0</v>
      </c>
      <c r="O669" s="59">
        <f t="shared" si="93"/>
        <v>0</v>
      </c>
      <c r="T669">
        <f t="shared" si="91"/>
        <v>0</v>
      </c>
      <c r="Y669">
        <f t="shared" si="87"/>
        <v>0</v>
      </c>
      <c r="Z669">
        <f t="shared" si="88"/>
        <v>0</v>
      </c>
    </row>
    <row r="670" spans="2:26">
      <c r="B670" t="str">
        <f t="shared" si="94"/>
        <v>BLUE</v>
      </c>
      <c r="C670" s="6">
        <f t="shared" si="89"/>
        <v>286</v>
      </c>
      <c r="I670">
        <f t="shared" si="90"/>
        <v>0</v>
      </c>
      <c r="N670" s="59">
        <f t="shared" si="92"/>
        <v>0</v>
      </c>
      <c r="O670" s="59">
        <f t="shared" si="93"/>
        <v>0</v>
      </c>
      <c r="T670">
        <f t="shared" si="91"/>
        <v>0</v>
      </c>
      <c r="Y670">
        <f t="shared" si="87"/>
        <v>0</v>
      </c>
      <c r="Z670">
        <f t="shared" si="88"/>
        <v>0</v>
      </c>
    </row>
    <row r="671" spans="2:26">
      <c r="B671" t="str">
        <f t="shared" si="94"/>
        <v>BLUE</v>
      </c>
      <c r="C671" s="6">
        <f t="shared" si="89"/>
        <v>287</v>
      </c>
      <c r="I671">
        <f t="shared" si="90"/>
        <v>0</v>
      </c>
      <c r="N671" s="59">
        <f t="shared" si="92"/>
        <v>0</v>
      </c>
      <c r="O671" s="59">
        <f t="shared" si="93"/>
        <v>0</v>
      </c>
      <c r="T671">
        <f t="shared" si="91"/>
        <v>0</v>
      </c>
      <c r="Y671">
        <f t="shared" si="87"/>
        <v>0</v>
      </c>
      <c r="Z671">
        <f t="shared" si="88"/>
        <v>0</v>
      </c>
    </row>
    <row r="672" spans="2:26">
      <c r="B672" t="str">
        <f t="shared" si="94"/>
        <v>BLUE</v>
      </c>
      <c r="C672" s="6">
        <f t="shared" si="89"/>
        <v>288</v>
      </c>
      <c r="I672">
        <f t="shared" si="90"/>
        <v>0</v>
      </c>
      <c r="N672" s="59">
        <f t="shared" si="92"/>
        <v>0</v>
      </c>
      <c r="O672" s="59">
        <f t="shared" si="93"/>
        <v>0</v>
      </c>
      <c r="T672">
        <f t="shared" si="91"/>
        <v>0</v>
      </c>
      <c r="Y672">
        <f t="shared" si="87"/>
        <v>0</v>
      </c>
      <c r="Z672">
        <f t="shared" si="88"/>
        <v>0</v>
      </c>
    </row>
    <row r="673" spans="2:26">
      <c r="B673" t="str">
        <f t="shared" si="94"/>
        <v>BLUE</v>
      </c>
      <c r="C673" s="6">
        <f t="shared" si="89"/>
        <v>289</v>
      </c>
      <c r="I673">
        <f t="shared" si="90"/>
        <v>0</v>
      </c>
      <c r="N673" s="59">
        <f t="shared" si="92"/>
        <v>0</v>
      </c>
      <c r="O673" s="59">
        <f t="shared" si="93"/>
        <v>0</v>
      </c>
      <c r="T673">
        <f t="shared" si="91"/>
        <v>0</v>
      </c>
      <c r="Y673">
        <f t="shared" si="87"/>
        <v>0</v>
      </c>
      <c r="Z673">
        <f t="shared" si="88"/>
        <v>0</v>
      </c>
    </row>
    <row r="674" spans="2:26">
      <c r="B674" t="str">
        <f t="shared" si="94"/>
        <v>BLUE</v>
      </c>
      <c r="C674" s="6">
        <f t="shared" si="89"/>
        <v>290</v>
      </c>
      <c r="I674">
        <f t="shared" si="90"/>
        <v>0</v>
      </c>
      <c r="N674" s="59">
        <f t="shared" si="92"/>
        <v>0</v>
      </c>
      <c r="O674" s="59">
        <f t="shared" si="93"/>
        <v>0</v>
      </c>
      <c r="T674">
        <f t="shared" si="91"/>
        <v>0</v>
      </c>
      <c r="Y674">
        <f t="shared" si="87"/>
        <v>0</v>
      </c>
      <c r="Z674">
        <f t="shared" si="88"/>
        <v>0</v>
      </c>
    </row>
    <row r="675" spans="2:26">
      <c r="B675" t="str">
        <f t="shared" si="94"/>
        <v>BLUE</v>
      </c>
      <c r="C675" s="6">
        <f t="shared" si="89"/>
        <v>291</v>
      </c>
      <c r="I675">
        <f t="shared" si="90"/>
        <v>0</v>
      </c>
      <c r="N675" s="59">
        <f t="shared" si="92"/>
        <v>0</v>
      </c>
      <c r="O675" s="59">
        <f t="shared" si="93"/>
        <v>0</v>
      </c>
      <c r="T675">
        <f t="shared" si="91"/>
        <v>0</v>
      </c>
      <c r="Y675">
        <f t="shared" si="87"/>
        <v>0</v>
      </c>
      <c r="Z675">
        <f t="shared" si="88"/>
        <v>0</v>
      </c>
    </row>
    <row r="676" spans="2:26">
      <c r="B676" t="str">
        <f t="shared" si="94"/>
        <v>BLUE</v>
      </c>
      <c r="C676" s="6">
        <f t="shared" si="89"/>
        <v>292</v>
      </c>
      <c r="I676">
        <f t="shared" si="90"/>
        <v>0</v>
      </c>
      <c r="N676" s="59">
        <f t="shared" si="92"/>
        <v>0</v>
      </c>
      <c r="O676" s="59">
        <f t="shared" si="93"/>
        <v>0</v>
      </c>
      <c r="T676">
        <f t="shared" si="91"/>
        <v>0</v>
      </c>
      <c r="Y676">
        <f t="shared" si="87"/>
        <v>0</v>
      </c>
      <c r="Z676">
        <f t="shared" si="88"/>
        <v>0</v>
      </c>
    </row>
    <row r="677" spans="2:26">
      <c r="B677" t="str">
        <f t="shared" si="94"/>
        <v>BLUE</v>
      </c>
      <c r="C677" s="6">
        <f t="shared" si="89"/>
        <v>293</v>
      </c>
      <c r="I677">
        <f t="shared" si="90"/>
        <v>0</v>
      </c>
      <c r="N677" s="59">
        <f t="shared" si="92"/>
        <v>0</v>
      </c>
      <c r="O677" s="59">
        <f t="shared" si="93"/>
        <v>0</v>
      </c>
      <c r="T677">
        <f t="shared" si="91"/>
        <v>0</v>
      </c>
      <c r="Y677">
        <f t="shared" si="87"/>
        <v>0</v>
      </c>
      <c r="Z677">
        <f t="shared" si="88"/>
        <v>0</v>
      </c>
    </row>
    <row r="678" spans="2:26">
      <c r="B678" t="str">
        <f t="shared" si="94"/>
        <v>BLUE</v>
      </c>
      <c r="C678" s="6">
        <f t="shared" si="89"/>
        <v>294</v>
      </c>
      <c r="I678">
        <f t="shared" si="90"/>
        <v>0</v>
      </c>
      <c r="N678" s="59">
        <f t="shared" si="92"/>
        <v>0</v>
      </c>
      <c r="O678" s="59">
        <f t="shared" si="93"/>
        <v>0</v>
      </c>
      <c r="T678">
        <f t="shared" si="91"/>
        <v>0</v>
      </c>
      <c r="Y678">
        <f t="shared" si="87"/>
        <v>0</v>
      </c>
      <c r="Z678">
        <f t="shared" si="88"/>
        <v>0</v>
      </c>
    </row>
    <row r="679" spans="2:26">
      <c r="B679" t="str">
        <f t="shared" si="94"/>
        <v>BLUE</v>
      </c>
      <c r="C679" s="6">
        <f t="shared" si="89"/>
        <v>295</v>
      </c>
      <c r="I679">
        <f t="shared" si="90"/>
        <v>0</v>
      </c>
      <c r="N679" s="59">
        <f t="shared" si="92"/>
        <v>0</v>
      </c>
      <c r="O679" s="59">
        <f t="shared" si="93"/>
        <v>0</v>
      </c>
      <c r="T679">
        <f t="shared" si="91"/>
        <v>0</v>
      </c>
      <c r="Y679">
        <f t="shared" si="87"/>
        <v>0</v>
      </c>
      <c r="Z679">
        <f t="shared" si="88"/>
        <v>0</v>
      </c>
    </row>
    <row r="680" spans="2:26">
      <c r="B680" t="str">
        <f t="shared" si="94"/>
        <v>BLUE</v>
      </c>
      <c r="C680" s="6">
        <f t="shared" si="89"/>
        <v>296</v>
      </c>
      <c r="I680">
        <f t="shared" si="90"/>
        <v>0</v>
      </c>
      <c r="N680" s="59">
        <f t="shared" si="92"/>
        <v>0</v>
      </c>
      <c r="O680" s="59">
        <f t="shared" si="93"/>
        <v>0</v>
      </c>
      <c r="T680">
        <f t="shared" si="91"/>
        <v>0</v>
      </c>
      <c r="Y680">
        <f t="shared" si="87"/>
        <v>0</v>
      </c>
      <c r="Z680">
        <f t="shared" si="88"/>
        <v>0</v>
      </c>
    </row>
    <row r="681" spans="2:26">
      <c r="B681" t="str">
        <f t="shared" si="94"/>
        <v>BLUE</v>
      </c>
      <c r="C681" s="6">
        <f t="shared" si="89"/>
        <v>297</v>
      </c>
      <c r="I681">
        <f t="shared" si="90"/>
        <v>0</v>
      </c>
      <c r="N681" s="59">
        <f t="shared" si="92"/>
        <v>0</v>
      </c>
      <c r="O681" s="59">
        <f t="shared" si="93"/>
        <v>0</v>
      </c>
      <c r="T681">
        <f t="shared" si="91"/>
        <v>0</v>
      </c>
      <c r="Y681">
        <f t="shared" si="87"/>
        <v>0</v>
      </c>
      <c r="Z681">
        <f t="shared" si="88"/>
        <v>0</v>
      </c>
    </row>
    <row r="682" spans="2:26">
      <c r="B682" t="str">
        <f t="shared" si="94"/>
        <v>BLUE</v>
      </c>
      <c r="C682" s="6">
        <f t="shared" si="89"/>
        <v>298</v>
      </c>
      <c r="I682">
        <f t="shared" si="90"/>
        <v>0</v>
      </c>
      <c r="N682" s="59">
        <f t="shared" si="92"/>
        <v>0</v>
      </c>
      <c r="O682" s="59">
        <f t="shared" si="93"/>
        <v>0</v>
      </c>
      <c r="T682">
        <f t="shared" si="91"/>
        <v>0</v>
      </c>
      <c r="Y682">
        <f t="shared" si="87"/>
        <v>0</v>
      </c>
      <c r="Z682">
        <f t="shared" si="88"/>
        <v>0</v>
      </c>
    </row>
    <row r="683" spans="2:26">
      <c r="B683" t="str">
        <f t="shared" si="94"/>
        <v>BLUE</v>
      </c>
      <c r="C683" s="6">
        <f t="shared" si="89"/>
        <v>299</v>
      </c>
      <c r="I683">
        <f t="shared" si="90"/>
        <v>0</v>
      </c>
      <c r="N683" s="59">
        <f t="shared" si="92"/>
        <v>0</v>
      </c>
      <c r="O683" s="59">
        <f t="shared" si="93"/>
        <v>0</v>
      </c>
      <c r="T683">
        <f t="shared" si="91"/>
        <v>0</v>
      </c>
      <c r="Y683">
        <f t="shared" si="87"/>
        <v>0</v>
      </c>
      <c r="Z683">
        <f t="shared" si="88"/>
        <v>0</v>
      </c>
    </row>
    <row r="684" spans="2:26">
      <c r="B684" t="str">
        <f t="shared" si="94"/>
        <v>BLUE</v>
      </c>
      <c r="C684" s="6">
        <f t="shared" si="89"/>
        <v>300</v>
      </c>
      <c r="I684">
        <f t="shared" si="90"/>
        <v>0</v>
      </c>
      <c r="N684" s="59">
        <f t="shared" si="92"/>
        <v>0</v>
      </c>
      <c r="O684" s="59">
        <f t="shared" si="93"/>
        <v>0</v>
      </c>
      <c r="T684">
        <f t="shared" si="91"/>
        <v>0</v>
      </c>
      <c r="Y684">
        <f t="shared" si="87"/>
        <v>0</v>
      </c>
      <c r="Z684">
        <f t="shared" si="88"/>
        <v>0</v>
      </c>
    </row>
    <row r="685" spans="2:26">
      <c r="B685" t="str">
        <f t="shared" si="94"/>
        <v>BLUE</v>
      </c>
      <c r="C685" s="6">
        <f t="shared" si="89"/>
        <v>301</v>
      </c>
      <c r="I685">
        <f t="shared" si="90"/>
        <v>0</v>
      </c>
      <c r="N685" s="59">
        <f t="shared" si="92"/>
        <v>0</v>
      </c>
      <c r="O685" s="59">
        <f t="shared" si="93"/>
        <v>0</v>
      </c>
      <c r="T685">
        <f t="shared" si="91"/>
        <v>0</v>
      </c>
      <c r="Y685">
        <f t="shared" si="87"/>
        <v>0</v>
      </c>
      <c r="Z685">
        <f t="shared" si="88"/>
        <v>0</v>
      </c>
    </row>
    <row r="686" spans="2:26">
      <c r="B686" t="str">
        <f t="shared" si="94"/>
        <v>BLUE</v>
      </c>
      <c r="C686" s="6">
        <f t="shared" si="89"/>
        <v>302</v>
      </c>
      <c r="I686">
        <f t="shared" si="90"/>
        <v>0</v>
      </c>
      <c r="N686" s="59">
        <f t="shared" si="92"/>
        <v>0</v>
      </c>
      <c r="O686" s="59">
        <f t="shared" si="93"/>
        <v>0</v>
      </c>
      <c r="T686">
        <f t="shared" si="91"/>
        <v>0</v>
      </c>
      <c r="Y686">
        <f t="shared" ref="Y686:Y749" si="95">SUM($U686:$X686)</f>
        <v>0</v>
      </c>
      <c r="Z686">
        <f t="shared" ref="Z686:Z749" si="96">SUM($T686,$Y686)</f>
        <v>0</v>
      </c>
    </row>
    <row r="687" spans="2:26">
      <c r="B687" t="str">
        <f t="shared" si="94"/>
        <v>BLUE</v>
      </c>
      <c r="C687" s="6">
        <f t="shared" si="89"/>
        <v>303</v>
      </c>
      <c r="I687">
        <f t="shared" si="90"/>
        <v>0</v>
      </c>
      <c r="N687" s="59">
        <f t="shared" si="92"/>
        <v>0</v>
      </c>
      <c r="O687" s="59">
        <f t="shared" si="93"/>
        <v>0</v>
      </c>
      <c r="T687">
        <f t="shared" si="91"/>
        <v>0</v>
      </c>
      <c r="Y687">
        <f t="shared" si="95"/>
        <v>0</v>
      </c>
      <c r="Z687">
        <f t="shared" si="96"/>
        <v>0</v>
      </c>
    </row>
    <row r="688" spans="2:26">
      <c r="B688" t="str">
        <f t="shared" si="94"/>
        <v>BLUE</v>
      </c>
      <c r="C688" s="6">
        <f t="shared" si="89"/>
        <v>304</v>
      </c>
      <c r="I688">
        <f t="shared" si="90"/>
        <v>0</v>
      </c>
      <c r="N688" s="59">
        <f t="shared" si="92"/>
        <v>0</v>
      </c>
      <c r="O688" s="59">
        <f t="shared" si="93"/>
        <v>0</v>
      </c>
      <c r="T688">
        <f t="shared" si="91"/>
        <v>0</v>
      </c>
      <c r="Y688">
        <f t="shared" si="95"/>
        <v>0</v>
      </c>
      <c r="Z688">
        <f t="shared" si="96"/>
        <v>0</v>
      </c>
    </row>
    <row r="689" spans="2:26">
      <c r="B689" t="str">
        <f t="shared" si="94"/>
        <v>BLUE</v>
      </c>
      <c r="C689" s="6">
        <f t="shared" si="89"/>
        <v>305</v>
      </c>
      <c r="I689">
        <f t="shared" si="90"/>
        <v>0</v>
      </c>
      <c r="N689" s="59">
        <f t="shared" si="92"/>
        <v>0</v>
      </c>
      <c r="O689" s="59">
        <f t="shared" si="93"/>
        <v>0</v>
      </c>
      <c r="T689">
        <f t="shared" si="91"/>
        <v>0</v>
      </c>
      <c r="Y689">
        <f t="shared" si="95"/>
        <v>0</v>
      </c>
      <c r="Z689">
        <f t="shared" si="96"/>
        <v>0</v>
      </c>
    </row>
    <row r="690" spans="2:26">
      <c r="B690" t="str">
        <f t="shared" si="94"/>
        <v>BLUE</v>
      </c>
      <c r="C690" s="6">
        <f t="shared" si="89"/>
        <v>306</v>
      </c>
      <c r="I690">
        <f t="shared" si="90"/>
        <v>0</v>
      </c>
      <c r="N690" s="59">
        <f t="shared" si="92"/>
        <v>0</v>
      </c>
      <c r="O690" s="59">
        <f t="shared" si="93"/>
        <v>0</v>
      </c>
      <c r="T690">
        <f t="shared" si="91"/>
        <v>0</v>
      </c>
      <c r="Y690">
        <f t="shared" si="95"/>
        <v>0</v>
      </c>
      <c r="Z690">
        <f t="shared" si="96"/>
        <v>0</v>
      </c>
    </row>
    <row r="691" spans="2:26">
      <c r="B691" t="str">
        <f t="shared" si="94"/>
        <v>BLUE</v>
      </c>
      <c r="C691" s="6">
        <f t="shared" si="89"/>
        <v>307</v>
      </c>
      <c r="I691">
        <f t="shared" si="90"/>
        <v>0</v>
      </c>
      <c r="N691" s="59">
        <f t="shared" si="92"/>
        <v>0</v>
      </c>
      <c r="O691" s="59">
        <f t="shared" si="93"/>
        <v>0</v>
      </c>
      <c r="T691">
        <f t="shared" si="91"/>
        <v>0</v>
      </c>
      <c r="Y691">
        <f t="shared" si="95"/>
        <v>0</v>
      </c>
      <c r="Z691">
        <f t="shared" si="96"/>
        <v>0</v>
      </c>
    </row>
    <row r="692" spans="2:26">
      <c r="B692" t="str">
        <f t="shared" si="94"/>
        <v>BLUE</v>
      </c>
      <c r="C692" s="6">
        <f t="shared" si="89"/>
        <v>308</v>
      </c>
      <c r="I692">
        <f t="shared" si="90"/>
        <v>0</v>
      </c>
      <c r="N692" s="59">
        <f t="shared" si="92"/>
        <v>0</v>
      </c>
      <c r="O692" s="59">
        <f t="shared" si="93"/>
        <v>0</v>
      </c>
      <c r="T692">
        <f t="shared" si="91"/>
        <v>0</v>
      </c>
      <c r="Y692">
        <f t="shared" si="95"/>
        <v>0</v>
      </c>
      <c r="Z692">
        <f t="shared" si="96"/>
        <v>0</v>
      </c>
    </row>
    <row r="693" spans="2:26">
      <c r="B693" t="str">
        <f t="shared" si="94"/>
        <v>BLUE</v>
      </c>
      <c r="C693" s="6">
        <f t="shared" ref="C693:C756" si="97">C692+1</f>
        <v>309</v>
      </c>
      <c r="I693">
        <f t="shared" si="90"/>
        <v>0</v>
      </c>
      <c r="N693" s="59">
        <f t="shared" si="92"/>
        <v>0</v>
      </c>
      <c r="O693" s="59">
        <f t="shared" si="93"/>
        <v>0</v>
      </c>
      <c r="T693">
        <f t="shared" si="91"/>
        <v>0</v>
      </c>
      <c r="Y693">
        <f t="shared" si="95"/>
        <v>0</v>
      </c>
      <c r="Z693">
        <f t="shared" si="96"/>
        <v>0</v>
      </c>
    </row>
    <row r="694" spans="2:26">
      <c r="B694" t="str">
        <f t="shared" si="94"/>
        <v>BLUE</v>
      </c>
      <c r="C694" s="6">
        <f t="shared" si="97"/>
        <v>310</v>
      </c>
      <c r="I694">
        <f t="shared" si="90"/>
        <v>0</v>
      </c>
      <c r="N694" s="59">
        <f t="shared" si="92"/>
        <v>0</v>
      </c>
      <c r="O694" s="59">
        <f t="shared" si="93"/>
        <v>0</v>
      </c>
      <c r="T694">
        <f t="shared" si="91"/>
        <v>0</v>
      </c>
      <c r="Y694">
        <f t="shared" si="95"/>
        <v>0</v>
      </c>
      <c r="Z694">
        <f t="shared" si="96"/>
        <v>0</v>
      </c>
    </row>
    <row r="695" spans="2:26">
      <c r="B695" t="str">
        <f t="shared" si="94"/>
        <v>BLUE</v>
      </c>
      <c r="C695" s="6">
        <f t="shared" si="97"/>
        <v>311</v>
      </c>
      <c r="I695">
        <f t="shared" si="90"/>
        <v>0</v>
      </c>
      <c r="N695" s="59">
        <f t="shared" si="92"/>
        <v>0</v>
      </c>
      <c r="O695" s="59">
        <f t="shared" si="93"/>
        <v>0</v>
      </c>
      <c r="T695">
        <f t="shared" si="91"/>
        <v>0</v>
      </c>
      <c r="Y695">
        <f t="shared" si="95"/>
        <v>0</v>
      </c>
      <c r="Z695">
        <f t="shared" si="96"/>
        <v>0</v>
      </c>
    </row>
    <row r="696" spans="2:26">
      <c r="B696" t="str">
        <f t="shared" si="94"/>
        <v>BLUE</v>
      </c>
      <c r="C696" s="6">
        <f t="shared" si="97"/>
        <v>312</v>
      </c>
      <c r="I696">
        <f t="shared" si="90"/>
        <v>0</v>
      </c>
      <c r="N696" s="59">
        <f t="shared" si="92"/>
        <v>0</v>
      </c>
      <c r="O696" s="59">
        <f t="shared" si="93"/>
        <v>0</v>
      </c>
      <c r="T696">
        <f t="shared" si="91"/>
        <v>0</v>
      </c>
      <c r="Y696">
        <f t="shared" si="95"/>
        <v>0</v>
      </c>
      <c r="Z696">
        <f t="shared" si="96"/>
        <v>0</v>
      </c>
    </row>
    <row r="697" spans="2:26">
      <c r="B697" t="str">
        <f t="shared" si="94"/>
        <v>BLUE</v>
      </c>
      <c r="C697" s="6">
        <f t="shared" si="97"/>
        <v>313</v>
      </c>
      <c r="I697">
        <f t="shared" si="90"/>
        <v>0</v>
      </c>
      <c r="N697" s="59">
        <f t="shared" si="92"/>
        <v>0</v>
      </c>
      <c r="O697" s="59">
        <f t="shared" si="93"/>
        <v>0</v>
      </c>
      <c r="T697">
        <f t="shared" si="91"/>
        <v>0</v>
      </c>
      <c r="Y697">
        <f t="shared" si="95"/>
        <v>0</v>
      </c>
      <c r="Z697">
        <f t="shared" si="96"/>
        <v>0</v>
      </c>
    </row>
    <row r="698" spans="2:26">
      <c r="B698" t="str">
        <f t="shared" si="94"/>
        <v>BLUE</v>
      </c>
      <c r="C698" s="6">
        <f t="shared" si="97"/>
        <v>314</v>
      </c>
      <c r="I698">
        <f t="shared" si="90"/>
        <v>0</v>
      </c>
      <c r="N698" s="59">
        <f t="shared" si="92"/>
        <v>0</v>
      </c>
      <c r="O698" s="59">
        <f t="shared" si="93"/>
        <v>0</v>
      </c>
      <c r="T698">
        <f t="shared" si="91"/>
        <v>0</v>
      </c>
      <c r="Y698">
        <f t="shared" si="95"/>
        <v>0</v>
      </c>
      <c r="Z698">
        <f t="shared" si="96"/>
        <v>0</v>
      </c>
    </row>
    <row r="699" spans="2:26">
      <c r="B699" t="str">
        <f t="shared" si="94"/>
        <v>BLUE</v>
      </c>
      <c r="C699" s="6">
        <f t="shared" si="97"/>
        <v>315</v>
      </c>
      <c r="I699">
        <f t="shared" si="90"/>
        <v>0</v>
      </c>
      <c r="N699" s="59">
        <f t="shared" si="92"/>
        <v>0</v>
      </c>
      <c r="O699" s="59">
        <f t="shared" si="93"/>
        <v>0</v>
      </c>
      <c r="T699">
        <f t="shared" si="91"/>
        <v>0</v>
      </c>
      <c r="Y699">
        <f t="shared" si="95"/>
        <v>0</v>
      </c>
      <c r="Z699">
        <f t="shared" si="96"/>
        <v>0</v>
      </c>
    </row>
    <row r="700" spans="2:26">
      <c r="B700" t="str">
        <f t="shared" si="94"/>
        <v>BLUE</v>
      </c>
      <c r="C700" s="6">
        <f t="shared" si="97"/>
        <v>316</v>
      </c>
      <c r="I700">
        <f t="shared" si="90"/>
        <v>0</v>
      </c>
      <c r="N700" s="59">
        <f t="shared" si="92"/>
        <v>0</v>
      </c>
      <c r="O700" s="59">
        <f t="shared" si="93"/>
        <v>0</v>
      </c>
      <c r="T700">
        <f t="shared" si="91"/>
        <v>0</v>
      </c>
      <c r="Y700">
        <f t="shared" si="95"/>
        <v>0</v>
      </c>
      <c r="Z700">
        <f t="shared" si="96"/>
        <v>0</v>
      </c>
    </row>
    <row r="701" spans="2:26">
      <c r="B701" t="str">
        <f t="shared" si="94"/>
        <v>BLUE</v>
      </c>
      <c r="C701" s="6">
        <f t="shared" si="97"/>
        <v>317</v>
      </c>
      <c r="I701">
        <f t="shared" si="90"/>
        <v>0</v>
      </c>
      <c r="N701" s="59">
        <f t="shared" si="92"/>
        <v>0</v>
      </c>
      <c r="O701" s="59">
        <f t="shared" si="93"/>
        <v>0</v>
      </c>
      <c r="T701">
        <f t="shared" si="91"/>
        <v>0</v>
      </c>
      <c r="Y701">
        <f t="shared" si="95"/>
        <v>0</v>
      </c>
      <c r="Z701">
        <f t="shared" si="96"/>
        <v>0</v>
      </c>
    </row>
    <row r="702" spans="2:26">
      <c r="B702" t="str">
        <f t="shared" si="94"/>
        <v>BLUE</v>
      </c>
      <c r="C702" s="6">
        <f t="shared" si="97"/>
        <v>318</v>
      </c>
      <c r="I702">
        <f t="shared" ref="I702:I765" si="98">SUM($E702:$H702)</f>
        <v>0</v>
      </c>
      <c r="N702" s="59">
        <f t="shared" si="92"/>
        <v>0</v>
      </c>
      <c r="O702" s="59">
        <f t="shared" si="93"/>
        <v>0</v>
      </c>
      <c r="T702">
        <f t="shared" ref="T702:T765" si="99">SUM($P702:$S702)</f>
        <v>0</v>
      </c>
      <c r="Y702">
        <f t="shared" si="95"/>
        <v>0</v>
      </c>
      <c r="Z702">
        <f t="shared" si="96"/>
        <v>0</v>
      </c>
    </row>
    <row r="703" spans="2:26">
      <c r="B703" t="str">
        <f t="shared" si="94"/>
        <v>BLUE</v>
      </c>
      <c r="C703" s="6">
        <f t="shared" si="97"/>
        <v>319</v>
      </c>
      <c r="I703">
        <f t="shared" si="98"/>
        <v>0</v>
      </c>
      <c r="N703" s="59">
        <f t="shared" si="92"/>
        <v>0</v>
      </c>
      <c r="O703" s="59">
        <f t="shared" si="93"/>
        <v>0</v>
      </c>
      <c r="T703">
        <f t="shared" si="99"/>
        <v>0</v>
      </c>
      <c r="Y703">
        <f t="shared" si="95"/>
        <v>0</v>
      </c>
      <c r="Z703">
        <f t="shared" si="96"/>
        <v>0</v>
      </c>
    </row>
    <row r="704" spans="2:26">
      <c r="B704" t="str">
        <f t="shared" si="94"/>
        <v>BLUE</v>
      </c>
      <c r="C704" s="6">
        <f t="shared" si="97"/>
        <v>320</v>
      </c>
      <c r="I704">
        <f t="shared" si="98"/>
        <v>0</v>
      </c>
      <c r="N704" s="59">
        <f t="shared" si="92"/>
        <v>0</v>
      </c>
      <c r="O704" s="59">
        <f t="shared" si="93"/>
        <v>0</v>
      </c>
      <c r="T704">
        <f t="shared" si="99"/>
        <v>0</v>
      </c>
      <c r="Y704">
        <f t="shared" si="95"/>
        <v>0</v>
      </c>
      <c r="Z704">
        <f t="shared" si="96"/>
        <v>0</v>
      </c>
    </row>
    <row r="705" spans="2:26">
      <c r="B705" t="str">
        <f t="shared" si="94"/>
        <v>BLUE</v>
      </c>
      <c r="C705" s="6">
        <f t="shared" si="97"/>
        <v>321</v>
      </c>
      <c r="I705">
        <f t="shared" si="98"/>
        <v>0</v>
      </c>
      <c r="N705" s="59">
        <f t="shared" si="92"/>
        <v>0</v>
      </c>
      <c r="O705" s="59">
        <f t="shared" si="93"/>
        <v>0</v>
      </c>
      <c r="T705">
        <f t="shared" si="99"/>
        <v>0</v>
      </c>
      <c r="Y705">
        <f t="shared" si="95"/>
        <v>0</v>
      </c>
      <c r="Z705">
        <f t="shared" si="96"/>
        <v>0</v>
      </c>
    </row>
    <row r="706" spans="2:26">
      <c r="B706" t="str">
        <f t="shared" si="94"/>
        <v>BLUE</v>
      </c>
      <c r="C706" s="6">
        <f t="shared" si="97"/>
        <v>322</v>
      </c>
      <c r="I706">
        <f t="shared" si="98"/>
        <v>0</v>
      </c>
      <c r="N706" s="59">
        <f t="shared" si="92"/>
        <v>0</v>
      </c>
      <c r="O706" s="59">
        <f t="shared" si="93"/>
        <v>0</v>
      </c>
      <c r="T706">
        <f t="shared" si="99"/>
        <v>0</v>
      </c>
      <c r="Y706">
        <f t="shared" si="95"/>
        <v>0</v>
      </c>
      <c r="Z706">
        <f t="shared" si="96"/>
        <v>0</v>
      </c>
    </row>
    <row r="707" spans="2:26">
      <c r="B707" t="str">
        <f t="shared" si="94"/>
        <v>BLUE</v>
      </c>
      <c r="C707" s="6">
        <f t="shared" si="97"/>
        <v>323</v>
      </c>
      <c r="I707">
        <f t="shared" si="98"/>
        <v>0</v>
      </c>
      <c r="N707" s="59">
        <f t="shared" si="92"/>
        <v>0</v>
      </c>
      <c r="O707" s="59">
        <f t="shared" si="93"/>
        <v>0</v>
      </c>
      <c r="T707">
        <f t="shared" si="99"/>
        <v>0</v>
      </c>
      <c r="Y707">
        <f t="shared" si="95"/>
        <v>0</v>
      </c>
      <c r="Z707">
        <f t="shared" si="96"/>
        <v>0</v>
      </c>
    </row>
    <row r="708" spans="2:26">
      <c r="B708" t="str">
        <f t="shared" si="94"/>
        <v>BLUE</v>
      </c>
      <c r="C708" s="6">
        <f t="shared" si="97"/>
        <v>324</v>
      </c>
      <c r="I708">
        <f t="shared" si="98"/>
        <v>0</v>
      </c>
      <c r="N708" s="59">
        <f t="shared" si="92"/>
        <v>0</v>
      </c>
      <c r="O708" s="59">
        <f t="shared" si="93"/>
        <v>0</v>
      </c>
      <c r="T708">
        <f t="shared" si="99"/>
        <v>0</v>
      </c>
      <c r="Y708">
        <f t="shared" si="95"/>
        <v>0</v>
      </c>
      <c r="Z708">
        <f t="shared" si="96"/>
        <v>0</v>
      </c>
    </row>
    <row r="709" spans="2:26">
      <c r="B709" t="str">
        <f t="shared" si="94"/>
        <v>BLUE</v>
      </c>
      <c r="C709" s="6">
        <f t="shared" si="97"/>
        <v>325</v>
      </c>
      <c r="I709">
        <f t="shared" si="98"/>
        <v>0</v>
      </c>
      <c r="N709" s="59">
        <f t="shared" si="92"/>
        <v>0</v>
      </c>
      <c r="O709" s="59">
        <f t="shared" si="93"/>
        <v>0</v>
      </c>
      <c r="T709">
        <f t="shared" si="99"/>
        <v>0</v>
      </c>
      <c r="Y709">
        <f t="shared" si="95"/>
        <v>0</v>
      </c>
      <c r="Z709">
        <f t="shared" si="96"/>
        <v>0</v>
      </c>
    </row>
    <row r="710" spans="2:26">
      <c r="B710" t="str">
        <f t="shared" si="94"/>
        <v>BLUE</v>
      </c>
      <c r="C710" s="6">
        <f t="shared" si="97"/>
        <v>326</v>
      </c>
      <c r="I710">
        <f t="shared" si="98"/>
        <v>0</v>
      </c>
      <c r="N710" s="59">
        <f t="shared" si="92"/>
        <v>0</v>
      </c>
      <c r="O710" s="59">
        <f t="shared" si="93"/>
        <v>0</v>
      </c>
      <c r="T710">
        <f t="shared" si="99"/>
        <v>0</v>
      </c>
      <c r="Y710">
        <f t="shared" si="95"/>
        <v>0</v>
      </c>
      <c r="Z710">
        <f t="shared" si="96"/>
        <v>0</v>
      </c>
    </row>
    <row r="711" spans="2:26">
      <c r="B711" t="str">
        <f t="shared" si="94"/>
        <v>BLUE</v>
      </c>
      <c r="C711" s="6">
        <f t="shared" si="97"/>
        <v>327</v>
      </c>
      <c r="I711">
        <f t="shared" si="98"/>
        <v>0</v>
      </c>
      <c r="N711" s="59">
        <f t="shared" si="92"/>
        <v>0</v>
      </c>
      <c r="O711" s="59">
        <f t="shared" si="93"/>
        <v>0</v>
      </c>
      <c r="T711">
        <f t="shared" si="99"/>
        <v>0</v>
      </c>
      <c r="Y711">
        <f t="shared" si="95"/>
        <v>0</v>
      </c>
      <c r="Z711">
        <f t="shared" si="96"/>
        <v>0</v>
      </c>
    </row>
    <row r="712" spans="2:26">
      <c r="B712" t="str">
        <f t="shared" si="94"/>
        <v>BLUE</v>
      </c>
      <c r="C712" s="6">
        <f t="shared" si="97"/>
        <v>328</v>
      </c>
      <c r="I712">
        <f t="shared" si="98"/>
        <v>0</v>
      </c>
      <c r="N712" s="59">
        <f t="shared" si="92"/>
        <v>0</v>
      </c>
      <c r="O712" s="59">
        <f t="shared" si="93"/>
        <v>0</v>
      </c>
      <c r="T712">
        <f t="shared" si="99"/>
        <v>0</v>
      </c>
      <c r="Y712">
        <f t="shared" si="95"/>
        <v>0</v>
      </c>
      <c r="Z712">
        <f t="shared" si="96"/>
        <v>0</v>
      </c>
    </row>
    <row r="713" spans="2:26">
      <c r="B713" t="str">
        <f t="shared" si="94"/>
        <v>BLUE</v>
      </c>
      <c r="C713" s="6">
        <f t="shared" si="97"/>
        <v>329</v>
      </c>
      <c r="I713">
        <f t="shared" si="98"/>
        <v>0</v>
      </c>
      <c r="N713" s="59">
        <f t="shared" ref="N713:N776" si="100">SUM($J713:$M713)</f>
        <v>0</v>
      </c>
      <c r="O713" s="59">
        <f t="shared" ref="O713:O776" si="101">SUM($I713, $N713)</f>
        <v>0</v>
      </c>
      <c r="T713">
        <f t="shared" si="99"/>
        <v>0</v>
      </c>
      <c r="Y713">
        <f t="shared" si="95"/>
        <v>0</v>
      </c>
      <c r="Z713">
        <f t="shared" si="96"/>
        <v>0</v>
      </c>
    </row>
    <row r="714" spans="2:26">
      <c r="B714" t="str">
        <f t="shared" si="94"/>
        <v>BLUE</v>
      </c>
      <c r="C714" s="6">
        <f t="shared" si="97"/>
        <v>330</v>
      </c>
      <c r="I714">
        <f t="shared" si="98"/>
        <v>0</v>
      </c>
      <c r="N714" s="59">
        <f t="shared" si="100"/>
        <v>0</v>
      </c>
      <c r="O714" s="59">
        <f t="shared" si="101"/>
        <v>0</v>
      </c>
      <c r="T714">
        <f t="shared" si="99"/>
        <v>0</v>
      </c>
      <c r="Y714">
        <f t="shared" si="95"/>
        <v>0</v>
      </c>
      <c r="Z714">
        <f t="shared" si="96"/>
        <v>0</v>
      </c>
    </row>
    <row r="715" spans="2:26">
      <c r="B715" t="str">
        <f t="shared" si="94"/>
        <v>BLUE</v>
      </c>
      <c r="C715" s="6">
        <f t="shared" si="97"/>
        <v>331</v>
      </c>
      <c r="I715">
        <f t="shared" si="98"/>
        <v>0</v>
      </c>
      <c r="N715" s="59">
        <f t="shared" si="100"/>
        <v>0</v>
      </c>
      <c r="O715" s="59">
        <f t="shared" si="101"/>
        <v>0</v>
      </c>
      <c r="T715">
        <f t="shared" si="99"/>
        <v>0</v>
      </c>
      <c r="Y715">
        <f t="shared" si="95"/>
        <v>0</v>
      </c>
      <c r="Z715">
        <f t="shared" si="96"/>
        <v>0</v>
      </c>
    </row>
    <row r="716" spans="2:26">
      <c r="B716" t="str">
        <f t="shared" si="94"/>
        <v>BLUE</v>
      </c>
      <c r="C716" s="6">
        <f t="shared" si="97"/>
        <v>332</v>
      </c>
      <c r="I716">
        <f t="shared" si="98"/>
        <v>0</v>
      </c>
      <c r="N716" s="59">
        <f t="shared" si="100"/>
        <v>0</v>
      </c>
      <c r="O716" s="59">
        <f t="shared" si="101"/>
        <v>0</v>
      </c>
      <c r="T716">
        <f t="shared" si="99"/>
        <v>0</v>
      </c>
      <c r="Y716">
        <f t="shared" si="95"/>
        <v>0</v>
      </c>
      <c r="Z716">
        <f t="shared" si="96"/>
        <v>0</v>
      </c>
    </row>
    <row r="717" spans="2:26">
      <c r="B717" t="str">
        <f t="shared" si="94"/>
        <v>BLUE</v>
      </c>
      <c r="C717" s="6">
        <f t="shared" si="97"/>
        <v>333</v>
      </c>
      <c r="I717">
        <f t="shared" si="98"/>
        <v>0</v>
      </c>
      <c r="N717" s="59">
        <f t="shared" si="100"/>
        <v>0</v>
      </c>
      <c r="O717" s="59">
        <f t="shared" si="101"/>
        <v>0</v>
      </c>
      <c r="T717">
        <f t="shared" si="99"/>
        <v>0</v>
      </c>
      <c r="Y717">
        <f t="shared" si="95"/>
        <v>0</v>
      </c>
      <c r="Z717">
        <f t="shared" si="96"/>
        <v>0</v>
      </c>
    </row>
    <row r="718" spans="2:26">
      <c r="B718" t="str">
        <f t="shared" si="94"/>
        <v>BLUE</v>
      </c>
      <c r="C718" s="6">
        <f t="shared" si="97"/>
        <v>334</v>
      </c>
      <c r="I718">
        <f t="shared" si="98"/>
        <v>0</v>
      </c>
      <c r="N718" s="59">
        <f t="shared" si="100"/>
        <v>0</v>
      </c>
      <c r="O718" s="59">
        <f t="shared" si="101"/>
        <v>0</v>
      </c>
      <c r="T718">
        <f t="shared" si="99"/>
        <v>0</v>
      </c>
      <c r="Y718">
        <f t="shared" si="95"/>
        <v>0</v>
      </c>
      <c r="Z718">
        <f t="shared" si="96"/>
        <v>0</v>
      </c>
    </row>
    <row r="719" spans="2:26">
      <c r="B719" t="str">
        <f t="shared" si="94"/>
        <v>BLUE</v>
      </c>
      <c r="C719" s="6">
        <f t="shared" si="97"/>
        <v>335</v>
      </c>
      <c r="I719">
        <f t="shared" si="98"/>
        <v>0</v>
      </c>
      <c r="N719" s="59">
        <f t="shared" si="100"/>
        <v>0</v>
      </c>
      <c r="O719" s="59">
        <f t="shared" si="101"/>
        <v>0</v>
      </c>
      <c r="T719">
        <f t="shared" si="99"/>
        <v>0</v>
      </c>
      <c r="Y719">
        <f t="shared" si="95"/>
        <v>0</v>
      </c>
      <c r="Z719">
        <f t="shared" si="96"/>
        <v>0</v>
      </c>
    </row>
    <row r="720" spans="2:26">
      <c r="B720" t="str">
        <f t="shared" si="94"/>
        <v>BLUE</v>
      </c>
      <c r="C720" s="6">
        <f t="shared" si="97"/>
        <v>336</v>
      </c>
      <c r="I720">
        <f t="shared" si="98"/>
        <v>0</v>
      </c>
      <c r="N720" s="59">
        <f t="shared" si="100"/>
        <v>0</v>
      </c>
      <c r="O720" s="59">
        <f t="shared" si="101"/>
        <v>0</v>
      </c>
      <c r="T720">
        <f t="shared" si="99"/>
        <v>0</v>
      </c>
      <c r="Y720">
        <f t="shared" si="95"/>
        <v>0</v>
      </c>
      <c r="Z720">
        <f t="shared" si="96"/>
        <v>0</v>
      </c>
    </row>
    <row r="721" spans="2:26">
      <c r="B721" t="str">
        <f t="shared" si="94"/>
        <v>BLUE</v>
      </c>
      <c r="C721" s="6">
        <f t="shared" si="97"/>
        <v>337</v>
      </c>
      <c r="I721">
        <f t="shared" si="98"/>
        <v>0</v>
      </c>
      <c r="N721" s="59">
        <f t="shared" si="100"/>
        <v>0</v>
      </c>
      <c r="O721" s="59">
        <f t="shared" si="101"/>
        <v>0</v>
      </c>
      <c r="T721">
        <f t="shared" si="99"/>
        <v>0</v>
      </c>
      <c r="Y721">
        <f t="shared" si="95"/>
        <v>0</v>
      </c>
      <c r="Z721">
        <f t="shared" si="96"/>
        <v>0</v>
      </c>
    </row>
    <row r="722" spans="2:26">
      <c r="B722" t="str">
        <f t="shared" si="94"/>
        <v>BLUE</v>
      </c>
      <c r="C722" s="6">
        <f t="shared" si="97"/>
        <v>338</v>
      </c>
      <c r="I722">
        <f t="shared" si="98"/>
        <v>0</v>
      </c>
      <c r="N722" s="59">
        <f t="shared" si="100"/>
        <v>0</v>
      </c>
      <c r="O722" s="59">
        <f t="shared" si="101"/>
        <v>0</v>
      </c>
      <c r="T722">
        <f t="shared" si="99"/>
        <v>0</v>
      </c>
      <c r="Y722">
        <f t="shared" si="95"/>
        <v>0</v>
      </c>
      <c r="Z722">
        <f t="shared" si="96"/>
        <v>0</v>
      </c>
    </row>
    <row r="723" spans="2:26">
      <c r="B723" t="str">
        <f t="shared" ref="B723:B786" si="102">B722</f>
        <v>BLUE</v>
      </c>
      <c r="C723" s="6">
        <f t="shared" si="97"/>
        <v>339</v>
      </c>
      <c r="I723">
        <f t="shared" si="98"/>
        <v>0</v>
      </c>
      <c r="N723" s="59">
        <f t="shared" si="100"/>
        <v>0</v>
      </c>
      <c r="O723" s="59">
        <f t="shared" si="101"/>
        <v>0</v>
      </c>
      <c r="T723">
        <f t="shared" si="99"/>
        <v>0</v>
      </c>
      <c r="Y723">
        <f t="shared" si="95"/>
        <v>0</v>
      </c>
      <c r="Z723">
        <f t="shared" si="96"/>
        <v>0</v>
      </c>
    </row>
    <row r="724" spans="2:26">
      <c r="B724" t="str">
        <f t="shared" si="102"/>
        <v>BLUE</v>
      </c>
      <c r="C724" s="6">
        <f t="shared" si="97"/>
        <v>340</v>
      </c>
      <c r="I724">
        <f t="shared" si="98"/>
        <v>0</v>
      </c>
      <c r="N724" s="59">
        <f t="shared" si="100"/>
        <v>0</v>
      </c>
      <c r="O724" s="59">
        <f t="shared" si="101"/>
        <v>0</v>
      </c>
      <c r="T724">
        <f t="shared" si="99"/>
        <v>0</v>
      </c>
      <c r="Y724">
        <f t="shared" si="95"/>
        <v>0</v>
      </c>
      <c r="Z724">
        <f t="shared" si="96"/>
        <v>0</v>
      </c>
    </row>
    <row r="725" spans="2:26">
      <c r="B725" t="str">
        <f t="shared" si="102"/>
        <v>BLUE</v>
      </c>
      <c r="C725" s="6">
        <f t="shared" si="97"/>
        <v>341</v>
      </c>
      <c r="I725">
        <f t="shared" si="98"/>
        <v>0</v>
      </c>
      <c r="N725" s="59">
        <f t="shared" si="100"/>
        <v>0</v>
      </c>
      <c r="O725" s="59">
        <f t="shared" si="101"/>
        <v>0</v>
      </c>
      <c r="T725">
        <f t="shared" si="99"/>
        <v>0</v>
      </c>
      <c r="Y725">
        <f t="shared" si="95"/>
        <v>0</v>
      </c>
      <c r="Z725">
        <f t="shared" si="96"/>
        <v>0</v>
      </c>
    </row>
    <row r="726" spans="2:26">
      <c r="B726" t="str">
        <f t="shared" si="102"/>
        <v>BLUE</v>
      </c>
      <c r="C726" s="6">
        <f t="shared" si="97"/>
        <v>342</v>
      </c>
      <c r="I726">
        <f t="shared" si="98"/>
        <v>0</v>
      </c>
      <c r="N726" s="59">
        <f t="shared" si="100"/>
        <v>0</v>
      </c>
      <c r="O726" s="59">
        <f t="shared" si="101"/>
        <v>0</v>
      </c>
      <c r="T726">
        <f t="shared" si="99"/>
        <v>0</v>
      </c>
      <c r="Y726">
        <f t="shared" si="95"/>
        <v>0</v>
      </c>
      <c r="Z726">
        <f t="shared" si="96"/>
        <v>0</v>
      </c>
    </row>
    <row r="727" spans="2:26">
      <c r="B727" t="str">
        <f t="shared" si="102"/>
        <v>BLUE</v>
      </c>
      <c r="C727" s="6">
        <f t="shared" si="97"/>
        <v>343</v>
      </c>
      <c r="I727">
        <f t="shared" si="98"/>
        <v>0</v>
      </c>
      <c r="N727" s="59">
        <f t="shared" si="100"/>
        <v>0</v>
      </c>
      <c r="O727" s="59">
        <f t="shared" si="101"/>
        <v>0</v>
      </c>
      <c r="T727">
        <f t="shared" si="99"/>
        <v>0</v>
      </c>
      <c r="Y727">
        <f t="shared" si="95"/>
        <v>0</v>
      </c>
      <c r="Z727">
        <f t="shared" si="96"/>
        <v>0</v>
      </c>
    </row>
    <row r="728" spans="2:26">
      <c r="B728" t="str">
        <f t="shared" si="102"/>
        <v>BLUE</v>
      </c>
      <c r="C728" s="6">
        <f t="shared" si="97"/>
        <v>344</v>
      </c>
      <c r="I728">
        <f t="shared" si="98"/>
        <v>0</v>
      </c>
      <c r="N728" s="59">
        <f t="shared" si="100"/>
        <v>0</v>
      </c>
      <c r="O728" s="59">
        <f t="shared" si="101"/>
        <v>0</v>
      </c>
      <c r="T728">
        <f t="shared" si="99"/>
        <v>0</v>
      </c>
      <c r="Y728">
        <f t="shared" si="95"/>
        <v>0</v>
      </c>
      <c r="Z728">
        <f t="shared" si="96"/>
        <v>0</v>
      </c>
    </row>
    <row r="729" spans="2:26">
      <c r="B729" t="str">
        <f t="shared" si="102"/>
        <v>BLUE</v>
      </c>
      <c r="C729" s="6">
        <f t="shared" si="97"/>
        <v>345</v>
      </c>
      <c r="I729">
        <f t="shared" si="98"/>
        <v>0</v>
      </c>
      <c r="N729" s="59">
        <f t="shared" si="100"/>
        <v>0</v>
      </c>
      <c r="O729" s="59">
        <f t="shared" si="101"/>
        <v>0</v>
      </c>
      <c r="T729">
        <f t="shared" si="99"/>
        <v>0</v>
      </c>
      <c r="Y729">
        <f t="shared" si="95"/>
        <v>0</v>
      </c>
      <c r="Z729">
        <f t="shared" si="96"/>
        <v>0</v>
      </c>
    </row>
    <row r="730" spans="2:26">
      <c r="B730" t="str">
        <f t="shared" si="102"/>
        <v>BLUE</v>
      </c>
      <c r="C730" s="6">
        <f t="shared" si="97"/>
        <v>346</v>
      </c>
      <c r="I730">
        <f t="shared" si="98"/>
        <v>0</v>
      </c>
      <c r="N730" s="59">
        <f t="shared" si="100"/>
        <v>0</v>
      </c>
      <c r="O730" s="59">
        <f t="shared" si="101"/>
        <v>0</v>
      </c>
      <c r="T730">
        <f t="shared" si="99"/>
        <v>0</v>
      </c>
      <c r="Y730">
        <f t="shared" si="95"/>
        <v>0</v>
      </c>
      <c r="Z730">
        <f t="shared" si="96"/>
        <v>0</v>
      </c>
    </row>
    <row r="731" spans="2:26">
      <c r="B731" t="str">
        <f t="shared" si="102"/>
        <v>BLUE</v>
      </c>
      <c r="C731" s="6">
        <f t="shared" si="97"/>
        <v>347</v>
      </c>
      <c r="I731">
        <f t="shared" si="98"/>
        <v>0</v>
      </c>
      <c r="N731" s="59">
        <f t="shared" si="100"/>
        <v>0</v>
      </c>
      <c r="O731" s="59">
        <f t="shared" si="101"/>
        <v>0</v>
      </c>
      <c r="T731">
        <f t="shared" si="99"/>
        <v>0</v>
      </c>
      <c r="Y731">
        <f t="shared" si="95"/>
        <v>0</v>
      </c>
      <c r="Z731">
        <f t="shared" si="96"/>
        <v>0</v>
      </c>
    </row>
    <row r="732" spans="2:26">
      <c r="B732" t="str">
        <f t="shared" si="102"/>
        <v>BLUE</v>
      </c>
      <c r="C732" s="6">
        <f t="shared" si="97"/>
        <v>348</v>
      </c>
      <c r="I732">
        <f t="shared" si="98"/>
        <v>0</v>
      </c>
      <c r="N732" s="59">
        <f t="shared" si="100"/>
        <v>0</v>
      </c>
      <c r="O732" s="59">
        <f t="shared" si="101"/>
        <v>0</v>
      </c>
      <c r="T732">
        <f t="shared" si="99"/>
        <v>0</v>
      </c>
      <c r="Y732">
        <f t="shared" si="95"/>
        <v>0</v>
      </c>
      <c r="Z732">
        <f t="shared" si="96"/>
        <v>0</v>
      </c>
    </row>
    <row r="733" spans="2:26">
      <c r="B733" t="str">
        <f t="shared" si="102"/>
        <v>BLUE</v>
      </c>
      <c r="C733" s="6">
        <f t="shared" si="97"/>
        <v>349</v>
      </c>
      <c r="I733">
        <f t="shared" si="98"/>
        <v>0</v>
      </c>
      <c r="N733" s="59">
        <f t="shared" si="100"/>
        <v>0</v>
      </c>
      <c r="O733" s="59">
        <f t="shared" si="101"/>
        <v>0</v>
      </c>
      <c r="T733">
        <f t="shared" si="99"/>
        <v>0</v>
      </c>
      <c r="Y733">
        <f t="shared" si="95"/>
        <v>0</v>
      </c>
      <c r="Z733">
        <f t="shared" si="96"/>
        <v>0</v>
      </c>
    </row>
    <row r="734" spans="2:26">
      <c r="B734" t="str">
        <f t="shared" si="102"/>
        <v>BLUE</v>
      </c>
      <c r="C734" s="6">
        <f t="shared" si="97"/>
        <v>350</v>
      </c>
      <c r="I734">
        <f t="shared" si="98"/>
        <v>0</v>
      </c>
      <c r="N734" s="59">
        <f t="shared" si="100"/>
        <v>0</v>
      </c>
      <c r="O734" s="59">
        <f t="shared" si="101"/>
        <v>0</v>
      </c>
      <c r="T734">
        <f t="shared" si="99"/>
        <v>0</v>
      </c>
      <c r="Y734">
        <f t="shared" si="95"/>
        <v>0</v>
      </c>
      <c r="Z734">
        <f t="shared" si="96"/>
        <v>0</v>
      </c>
    </row>
    <row r="735" spans="2:26">
      <c r="B735" t="str">
        <f t="shared" si="102"/>
        <v>BLUE</v>
      </c>
      <c r="C735" s="6">
        <f t="shared" si="97"/>
        <v>351</v>
      </c>
      <c r="I735">
        <f t="shared" si="98"/>
        <v>0</v>
      </c>
      <c r="N735" s="59">
        <f t="shared" si="100"/>
        <v>0</v>
      </c>
      <c r="O735" s="59">
        <f t="shared" si="101"/>
        <v>0</v>
      </c>
      <c r="T735">
        <f t="shared" si="99"/>
        <v>0</v>
      </c>
      <c r="Y735">
        <f t="shared" si="95"/>
        <v>0</v>
      </c>
      <c r="Z735">
        <f t="shared" si="96"/>
        <v>0</v>
      </c>
    </row>
    <row r="736" spans="2:26">
      <c r="B736" t="str">
        <f t="shared" si="102"/>
        <v>BLUE</v>
      </c>
      <c r="C736" s="6">
        <f t="shared" si="97"/>
        <v>352</v>
      </c>
      <c r="I736">
        <f t="shared" si="98"/>
        <v>0</v>
      </c>
      <c r="N736" s="59">
        <f t="shared" si="100"/>
        <v>0</v>
      </c>
      <c r="O736" s="59">
        <f t="shared" si="101"/>
        <v>0</v>
      </c>
      <c r="T736">
        <f t="shared" si="99"/>
        <v>0</v>
      </c>
      <c r="Y736">
        <f t="shared" si="95"/>
        <v>0</v>
      </c>
      <c r="Z736">
        <f t="shared" si="96"/>
        <v>0</v>
      </c>
    </row>
    <row r="737" spans="2:26">
      <c r="B737" t="str">
        <f t="shared" si="102"/>
        <v>BLUE</v>
      </c>
      <c r="C737" s="6">
        <f t="shared" si="97"/>
        <v>353</v>
      </c>
      <c r="I737">
        <f t="shared" si="98"/>
        <v>0</v>
      </c>
      <c r="N737" s="59">
        <f t="shared" si="100"/>
        <v>0</v>
      </c>
      <c r="O737" s="59">
        <f t="shared" si="101"/>
        <v>0</v>
      </c>
      <c r="T737">
        <f t="shared" si="99"/>
        <v>0</v>
      </c>
      <c r="Y737">
        <f t="shared" si="95"/>
        <v>0</v>
      </c>
      <c r="Z737">
        <f t="shared" si="96"/>
        <v>0</v>
      </c>
    </row>
    <row r="738" spans="2:26">
      <c r="B738" t="str">
        <f t="shared" si="102"/>
        <v>BLUE</v>
      </c>
      <c r="C738" s="6">
        <f t="shared" si="97"/>
        <v>354</v>
      </c>
      <c r="I738">
        <f t="shared" si="98"/>
        <v>0</v>
      </c>
      <c r="N738" s="59">
        <f t="shared" si="100"/>
        <v>0</v>
      </c>
      <c r="O738" s="59">
        <f t="shared" si="101"/>
        <v>0</v>
      </c>
      <c r="T738">
        <f t="shared" si="99"/>
        <v>0</v>
      </c>
      <c r="Y738">
        <f t="shared" si="95"/>
        <v>0</v>
      </c>
      <c r="Z738">
        <f t="shared" si="96"/>
        <v>0</v>
      </c>
    </row>
    <row r="739" spans="2:26">
      <c r="B739" t="str">
        <f t="shared" si="102"/>
        <v>BLUE</v>
      </c>
      <c r="C739" s="6">
        <f t="shared" si="97"/>
        <v>355</v>
      </c>
      <c r="I739">
        <f t="shared" si="98"/>
        <v>0</v>
      </c>
      <c r="N739" s="59">
        <f t="shared" si="100"/>
        <v>0</v>
      </c>
      <c r="O739" s="59">
        <f t="shared" si="101"/>
        <v>0</v>
      </c>
      <c r="T739">
        <f t="shared" si="99"/>
        <v>0</v>
      </c>
      <c r="Y739">
        <f t="shared" si="95"/>
        <v>0</v>
      </c>
      <c r="Z739">
        <f t="shared" si="96"/>
        <v>0</v>
      </c>
    </row>
    <row r="740" spans="2:26">
      <c r="B740" t="str">
        <f t="shared" si="102"/>
        <v>BLUE</v>
      </c>
      <c r="C740" s="6">
        <f t="shared" si="97"/>
        <v>356</v>
      </c>
      <c r="I740">
        <f t="shared" si="98"/>
        <v>0</v>
      </c>
      <c r="N740" s="59">
        <f t="shared" si="100"/>
        <v>0</v>
      </c>
      <c r="O740" s="59">
        <f t="shared" si="101"/>
        <v>0</v>
      </c>
      <c r="T740">
        <f t="shared" si="99"/>
        <v>0</v>
      </c>
      <c r="Y740">
        <f t="shared" si="95"/>
        <v>0</v>
      </c>
      <c r="Z740">
        <f t="shared" si="96"/>
        <v>0</v>
      </c>
    </row>
    <row r="741" spans="2:26">
      <c r="B741" t="str">
        <f t="shared" si="102"/>
        <v>BLUE</v>
      </c>
      <c r="C741" s="6">
        <f t="shared" si="97"/>
        <v>357</v>
      </c>
      <c r="I741">
        <f t="shared" si="98"/>
        <v>0</v>
      </c>
      <c r="N741" s="59">
        <f t="shared" si="100"/>
        <v>0</v>
      </c>
      <c r="O741" s="59">
        <f t="shared" si="101"/>
        <v>0</v>
      </c>
      <c r="T741">
        <f t="shared" si="99"/>
        <v>0</v>
      </c>
      <c r="Y741">
        <f t="shared" si="95"/>
        <v>0</v>
      </c>
      <c r="Z741">
        <f t="shared" si="96"/>
        <v>0</v>
      </c>
    </row>
    <row r="742" spans="2:26">
      <c r="B742" t="str">
        <f t="shared" si="102"/>
        <v>BLUE</v>
      </c>
      <c r="C742" s="6">
        <f t="shared" si="97"/>
        <v>358</v>
      </c>
      <c r="I742">
        <f t="shared" si="98"/>
        <v>0</v>
      </c>
      <c r="N742" s="59">
        <f t="shared" si="100"/>
        <v>0</v>
      </c>
      <c r="O742" s="59">
        <f t="shared" si="101"/>
        <v>0</v>
      </c>
      <c r="T742">
        <f t="shared" si="99"/>
        <v>0</v>
      </c>
      <c r="Y742">
        <f t="shared" si="95"/>
        <v>0</v>
      </c>
      <c r="Z742">
        <f t="shared" si="96"/>
        <v>0</v>
      </c>
    </row>
    <row r="743" spans="2:26">
      <c r="B743" t="str">
        <f t="shared" si="102"/>
        <v>BLUE</v>
      </c>
      <c r="C743" s="6">
        <f t="shared" si="97"/>
        <v>359</v>
      </c>
      <c r="I743">
        <f t="shared" si="98"/>
        <v>0</v>
      </c>
      <c r="N743" s="59">
        <f t="shared" si="100"/>
        <v>0</v>
      </c>
      <c r="O743" s="59">
        <f t="shared" si="101"/>
        <v>0</v>
      </c>
      <c r="T743">
        <f t="shared" si="99"/>
        <v>0</v>
      </c>
      <c r="Y743">
        <f t="shared" si="95"/>
        <v>0</v>
      </c>
      <c r="Z743">
        <f t="shared" si="96"/>
        <v>0</v>
      </c>
    </row>
    <row r="744" spans="2:26">
      <c r="B744" t="str">
        <f t="shared" si="102"/>
        <v>BLUE</v>
      </c>
      <c r="C744" s="6">
        <f t="shared" si="97"/>
        <v>360</v>
      </c>
      <c r="I744">
        <f t="shared" si="98"/>
        <v>0</v>
      </c>
      <c r="N744" s="59">
        <f t="shared" si="100"/>
        <v>0</v>
      </c>
      <c r="O744" s="59">
        <f t="shared" si="101"/>
        <v>0</v>
      </c>
      <c r="T744">
        <f t="shared" si="99"/>
        <v>0</v>
      </c>
      <c r="Y744">
        <f t="shared" si="95"/>
        <v>0</v>
      </c>
      <c r="Z744">
        <f t="shared" si="96"/>
        <v>0</v>
      </c>
    </row>
    <row r="745" spans="2:26">
      <c r="B745" t="str">
        <f t="shared" si="102"/>
        <v>BLUE</v>
      </c>
      <c r="C745" s="6">
        <f t="shared" si="97"/>
        <v>361</v>
      </c>
      <c r="I745">
        <f t="shared" si="98"/>
        <v>0</v>
      </c>
      <c r="N745" s="59">
        <f t="shared" si="100"/>
        <v>0</v>
      </c>
      <c r="O745" s="59">
        <f t="shared" si="101"/>
        <v>0</v>
      </c>
      <c r="T745">
        <f t="shared" si="99"/>
        <v>0</v>
      </c>
      <c r="Y745">
        <f t="shared" si="95"/>
        <v>0</v>
      </c>
      <c r="Z745">
        <f t="shared" si="96"/>
        <v>0</v>
      </c>
    </row>
    <row r="746" spans="2:26">
      <c r="B746" t="str">
        <f t="shared" si="102"/>
        <v>BLUE</v>
      </c>
      <c r="C746" s="6">
        <f t="shared" si="97"/>
        <v>362</v>
      </c>
      <c r="I746">
        <f t="shared" si="98"/>
        <v>0</v>
      </c>
      <c r="N746" s="59">
        <f t="shared" si="100"/>
        <v>0</v>
      </c>
      <c r="O746" s="59">
        <f t="shared" si="101"/>
        <v>0</v>
      </c>
      <c r="T746">
        <f t="shared" si="99"/>
        <v>0</v>
      </c>
      <c r="Y746">
        <f t="shared" si="95"/>
        <v>0</v>
      </c>
      <c r="Z746">
        <f t="shared" si="96"/>
        <v>0</v>
      </c>
    </row>
    <row r="747" spans="2:26">
      <c r="B747" t="str">
        <f t="shared" si="102"/>
        <v>BLUE</v>
      </c>
      <c r="C747" s="6">
        <f t="shared" si="97"/>
        <v>363</v>
      </c>
      <c r="I747">
        <f t="shared" si="98"/>
        <v>0</v>
      </c>
      <c r="N747" s="59">
        <f t="shared" si="100"/>
        <v>0</v>
      </c>
      <c r="O747" s="59">
        <f t="shared" si="101"/>
        <v>0</v>
      </c>
      <c r="T747">
        <f t="shared" si="99"/>
        <v>0</v>
      </c>
      <c r="Y747">
        <f t="shared" si="95"/>
        <v>0</v>
      </c>
      <c r="Z747">
        <f t="shared" si="96"/>
        <v>0</v>
      </c>
    </row>
    <row r="748" spans="2:26">
      <c r="B748" t="str">
        <f t="shared" si="102"/>
        <v>BLUE</v>
      </c>
      <c r="C748" s="6">
        <f t="shared" si="97"/>
        <v>364</v>
      </c>
      <c r="I748">
        <f t="shared" si="98"/>
        <v>0</v>
      </c>
      <c r="N748" s="59">
        <f t="shared" si="100"/>
        <v>0</v>
      </c>
      <c r="O748" s="59">
        <f t="shared" si="101"/>
        <v>0</v>
      </c>
      <c r="T748">
        <f t="shared" si="99"/>
        <v>0</v>
      </c>
      <c r="Y748">
        <f t="shared" si="95"/>
        <v>0</v>
      </c>
      <c r="Z748">
        <f t="shared" si="96"/>
        <v>0</v>
      </c>
    </row>
    <row r="749" spans="2:26">
      <c r="B749" t="str">
        <f t="shared" si="102"/>
        <v>BLUE</v>
      </c>
      <c r="C749" s="6">
        <f t="shared" si="97"/>
        <v>365</v>
      </c>
      <c r="I749">
        <f t="shared" si="98"/>
        <v>0</v>
      </c>
      <c r="N749" s="59">
        <f t="shared" si="100"/>
        <v>0</v>
      </c>
      <c r="O749" s="59">
        <f t="shared" si="101"/>
        <v>0</v>
      </c>
      <c r="T749">
        <f t="shared" si="99"/>
        <v>0</v>
      </c>
      <c r="Y749">
        <f t="shared" si="95"/>
        <v>0</v>
      </c>
      <c r="Z749">
        <f t="shared" si="96"/>
        <v>0</v>
      </c>
    </row>
    <row r="750" spans="2:26">
      <c r="B750" t="str">
        <f t="shared" si="102"/>
        <v>BLUE</v>
      </c>
      <c r="C750" s="6">
        <f t="shared" si="97"/>
        <v>366</v>
      </c>
      <c r="I750">
        <f t="shared" si="98"/>
        <v>0</v>
      </c>
      <c r="N750" s="59">
        <f t="shared" si="100"/>
        <v>0</v>
      </c>
      <c r="O750" s="59">
        <f t="shared" si="101"/>
        <v>0</v>
      </c>
      <c r="T750">
        <f t="shared" si="99"/>
        <v>0</v>
      </c>
      <c r="Y750">
        <f t="shared" ref="Y750:Y813" si="103">SUM($U750:$X750)</f>
        <v>0</v>
      </c>
      <c r="Z750">
        <f t="shared" ref="Z750:Z813" si="104">SUM($T750,$Y750)</f>
        <v>0</v>
      </c>
    </row>
    <row r="751" spans="2:26">
      <c r="B751" t="str">
        <f t="shared" si="102"/>
        <v>BLUE</v>
      </c>
      <c r="C751" s="6">
        <f t="shared" si="97"/>
        <v>367</v>
      </c>
      <c r="I751">
        <f t="shared" si="98"/>
        <v>0</v>
      </c>
      <c r="N751" s="59">
        <f t="shared" si="100"/>
        <v>0</v>
      </c>
      <c r="O751" s="59">
        <f t="shared" si="101"/>
        <v>0</v>
      </c>
      <c r="T751">
        <f t="shared" si="99"/>
        <v>0</v>
      </c>
      <c r="Y751">
        <f t="shared" si="103"/>
        <v>0</v>
      </c>
      <c r="Z751">
        <f t="shared" si="104"/>
        <v>0</v>
      </c>
    </row>
    <row r="752" spans="2:26">
      <c r="B752" t="str">
        <f t="shared" si="102"/>
        <v>BLUE</v>
      </c>
      <c r="C752" s="6">
        <f t="shared" si="97"/>
        <v>368</v>
      </c>
      <c r="I752">
        <f t="shared" si="98"/>
        <v>0</v>
      </c>
      <c r="N752" s="59">
        <f t="shared" si="100"/>
        <v>0</v>
      </c>
      <c r="O752" s="59">
        <f t="shared" si="101"/>
        <v>0</v>
      </c>
      <c r="T752">
        <f t="shared" si="99"/>
        <v>0</v>
      </c>
      <c r="Y752">
        <f t="shared" si="103"/>
        <v>0</v>
      </c>
      <c r="Z752">
        <f t="shared" si="104"/>
        <v>0</v>
      </c>
    </row>
    <row r="753" spans="2:26">
      <c r="B753" t="str">
        <f t="shared" si="102"/>
        <v>BLUE</v>
      </c>
      <c r="C753" s="6">
        <f t="shared" si="97"/>
        <v>369</v>
      </c>
      <c r="I753">
        <f t="shared" si="98"/>
        <v>0</v>
      </c>
      <c r="N753" s="59">
        <f t="shared" si="100"/>
        <v>0</v>
      </c>
      <c r="O753" s="59">
        <f t="shared" si="101"/>
        <v>0</v>
      </c>
      <c r="T753">
        <f t="shared" si="99"/>
        <v>0</v>
      </c>
      <c r="Y753">
        <f t="shared" si="103"/>
        <v>0</v>
      </c>
      <c r="Z753">
        <f t="shared" si="104"/>
        <v>0</v>
      </c>
    </row>
    <row r="754" spans="2:26">
      <c r="B754" t="str">
        <f t="shared" si="102"/>
        <v>BLUE</v>
      </c>
      <c r="C754" s="6">
        <f t="shared" si="97"/>
        <v>370</v>
      </c>
      <c r="I754">
        <f t="shared" si="98"/>
        <v>0</v>
      </c>
      <c r="N754" s="59">
        <f t="shared" si="100"/>
        <v>0</v>
      </c>
      <c r="O754" s="59">
        <f t="shared" si="101"/>
        <v>0</v>
      </c>
      <c r="T754">
        <f t="shared" si="99"/>
        <v>0</v>
      </c>
      <c r="Y754">
        <f t="shared" si="103"/>
        <v>0</v>
      </c>
      <c r="Z754">
        <f t="shared" si="104"/>
        <v>0</v>
      </c>
    </row>
    <row r="755" spans="2:26">
      <c r="B755" t="str">
        <f t="shared" si="102"/>
        <v>BLUE</v>
      </c>
      <c r="C755" s="6">
        <f t="shared" si="97"/>
        <v>371</v>
      </c>
      <c r="I755">
        <f t="shared" si="98"/>
        <v>0</v>
      </c>
      <c r="N755" s="59">
        <f t="shared" si="100"/>
        <v>0</v>
      </c>
      <c r="O755" s="59">
        <f t="shared" si="101"/>
        <v>0</v>
      </c>
      <c r="T755">
        <f t="shared" si="99"/>
        <v>0</v>
      </c>
      <c r="Y755">
        <f t="shared" si="103"/>
        <v>0</v>
      </c>
      <c r="Z755">
        <f t="shared" si="104"/>
        <v>0</v>
      </c>
    </row>
    <row r="756" spans="2:26">
      <c r="B756" t="str">
        <f t="shared" si="102"/>
        <v>BLUE</v>
      </c>
      <c r="C756" s="6">
        <f t="shared" si="97"/>
        <v>372</v>
      </c>
      <c r="I756">
        <f t="shared" si="98"/>
        <v>0</v>
      </c>
      <c r="N756" s="59">
        <f t="shared" si="100"/>
        <v>0</v>
      </c>
      <c r="O756" s="59">
        <f t="shared" si="101"/>
        <v>0</v>
      </c>
      <c r="T756">
        <f t="shared" si="99"/>
        <v>0</v>
      </c>
      <c r="Y756">
        <f t="shared" si="103"/>
        <v>0</v>
      </c>
      <c r="Z756">
        <f t="shared" si="104"/>
        <v>0</v>
      </c>
    </row>
    <row r="757" spans="2:26">
      <c r="B757" t="str">
        <f t="shared" si="102"/>
        <v>BLUE</v>
      </c>
      <c r="C757" s="6">
        <f t="shared" ref="C757:C820" si="105">C756+1</f>
        <v>373</v>
      </c>
      <c r="I757">
        <f t="shared" si="98"/>
        <v>0</v>
      </c>
      <c r="N757" s="59">
        <f t="shared" si="100"/>
        <v>0</v>
      </c>
      <c r="O757" s="59">
        <f t="shared" si="101"/>
        <v>0</v>
      </c>
      <c r="T757">
        <f t="shared" si="99"/>
        <v>0</v>
      </c>
      <c r="Y757">
        <f t="shared" si="103"/>
        <v>0</v>
      </c>
      <c r="Z757">
        <f t="shared" si="104"/>
        <v>0</v>
      </c>
    </row>
    <row r="758" spans="2:26">
      <c r="B758" t="str">
        <f t="shared" si="102"/>
        <v>BLUE</v>
      </c>
      <c r="C758" s="6">
        <f t="shared" si="105"/>
        <v>374</v>
      </c>
      <c r="I758">
        <f t="shared" si="98"/>
        <v>0</v>
      </c>
      <c r="N758" s="59">
        <f t="shared" si="100"/>
        <v>0</v>
      </c>
      <c r="O758" s="59">
        <f t="shared" si="101"/>
        <v>0</v>
      </c>
      <c r="T758">
        <f t="shared" si="99"/>
        <v>0</v>
      </c>
      <c r="Y758">
        <f t="shared" si="103"/>
        <v>0</v>
      </c>
      <c r="Z758">
        <f t="shared" si="104"/>
        <v>0</v>
      </c>
    </row>
    <row r="759" spans="2:26">
      <c r="B759" t="str">
        <f t="shared" si="102"/>
        <v>BLUE</v>
      </c>
      <c r="C759" s="6">
        <f t="shared" si="105"/>
        <v>375</v>
      </c>
      <c r="I759">
        <f t="shared" si="98"/>
        <v>0</v>
      </c>
      <c r="N759" s="59">
        <f t="shared" si="100"/>
        <v>0</v>
      </c>
      <c r="O759" s="59">
        <f t="shared" si="101"/>
        <v>0</v>
      </c>
      <c r="T759">
        <f t="shared" si="99"/>
        <v>0</v>
      </c>
      <c r="Y759">
        <f t="shared" si="103"/>
        <v>0</v>
      </c>
      <c r="Z759">
        <f t="shared" si="104"/>
        <v>0</v>
      </c>
    </row>
    <row r="760" spans="2:26">
      <c r="B760" t="str">
        <f t="shared" si="102"/>
        <v>BLUE</v>
      </c>
      <c r="C760" s="6">
        <f t="shared" si="105"/>
        <v>376</v>
      </c>
      <c r="I760">
        <f t="shared" si="98"/>
        <v>0</v>
      </c>
      <c r="N760" s="59">
        <f t="shared" si="100"/>
        <v>0</v>
      </c>
      <c r="O760" s="59">
        <f t="shared" si="101"/>
        <v>0</v>
      </c>
      <c r="T760">
        <f t="shared" si="99"/>
        <v>0</v>
      </c>
      <c r="Y760">
        <f t="shared" si="103"/>
        <v>0</v>
      </c>
      <c r="Z760">
        <f t="shared" si="104"/>
        <v>0</v>
      </c>
    </row>
    <row r="761" spans="2:26">
      <c r="B761" t="str">
        <f t="shared" si="102"/>
        <v>BLUE</v>
      </c>
      <c r="C761" s="6">
        <f t="shared" si="105"/>
        <v>377</v>
      </c>
      <c r="I761">
        <f t="shared" si="98"/>
        <v>0</v>
      </c>
      <c r="N761" s="59">
        <f t="shared" si="100"/>
        <v>0</v>
      </c>
      <c r="O761" s="59">
        <f t="shared" si="101"/>
        <v>0</v>
      </c>
      <c r="T761">
        <f t="shared" si="99"/>
        <v>0</v>
      </c>
      <c r="Y761">
        <f t="shared" si="103"/>
        <v>0</v>
      </c>
      <c r="Z761">
        <f t="shared" si="104"/>
        <v>0</v>
      </c>
    </row>
    <row r="762" spans="2:26">
      <c r="B762" t="str">
        <f t="shared" si="102"/>
        <v>BLUE</v>
      </c>
      <c r="C762" s="6">
        <f t="shared" si="105"/>
        <v>378</v>
      </c>
      <c r="I762">
        <f t="shared" si="98"/>
        <v>0</v>
      </c>
      <c r="N762" s="59">
        <f t="shared" si="100"/>
        <v>0</v>
      </c>
      <c r="O762" s="59">
        <f t="shared" si="101"/>
        <v>0</v>
      </c>
      <c r="T762">
        <f t="shared" si="99"/>
        <v>0</v>
      </c>
      <c r="Y762">
        <f t="shared" si="103"/>
        <v>0</v>
      </c>
      <c r="Z762">
        <f t="shared" si="104"/>
        <v>0</v>
      </c>
    </row>
    <row r="763" spans="2:26">
      <c r="B763" t="str">
        <f t="shared" si="102"/>
        <v>BLUE</v>
      </c>
      <c r="C763" s="6">
        <f t="shared" si="105"/>
        <v>379</v>
      </c>
      <c r="I763">
        <f t="shared" si="98"/>
        <v>0</v>
      </c>
      <c r="N763" s="59">
        <f t="shared" si="100"/>
        <v>0</v>
      </c>
      <c r="O763" s="59">
        <f t="shared" si="101"/>
        <v>0</v>
      </c>
      <c r="T763">
        <f t="shared" si="99"/>
        <v>0</v>
      </c>
      <c r="Y763">
        <f t="shared" si="103"/>
        <v>0</v>
      </c>
      <c r="Z763">
        <f t="shared" si="104"/>
        <v>0</v>
      </c>
    </row>
    <row r="764" spans="2:26">
      <c r="B764" t="str">
        <f t="shared" si="102"/>
        <v>BLUE</v>
      </c>
      <c r="C764" s="6">
        <f t="shared" si="105"/>
        <v>380</v>
      </c>
      <c r="I764">
        <f t="shared" si="98"/>
        <v>0</v>
      </c>
      <c r="N764" s="59">
        <f t="shared" si="100"/>
        <v>0</v>
      </c>
      <c r="O764" s="59">
        <f t="shared" si="101"/>
        <v>0</v>
      </c>
      <c r="T764">
        <f t="shared" si="99"/>
        <v>0</v>
      </c>
      <c r="Y764">
        <f t="shared" si="103"/>
        <v>0</v>
      </c>
      <c r="Z764">
        <f t="shared" si="104"/>
        <v>0</v>
      </c>
    </row>
    <row r="765" spans="2:26">
      <c r="B765" t="str">
        <f t="shared" si="102"/>
        <v>BLUE</v>
      </c>
      <c r="C765" s="6">
        <f t="shared" si="105"/>
        <v>381</v>
      </c>
      <c r="I765">
        <f t="shared" si="98"/>
        <v>0</v>
      </c>
      <c r="N765" s="59">
        <f t="shared" si="100"/>
        <v>0</v>
      </c>
      <c r="O765" s="59">
        <f t="shared" si="101"/>
        <v>0</v>
      </c>
      <c r="T765">
        <f t="shared" si="99"/>
        <v>0</v>
      </c>
      <c r="Y765">
        <f t="shared" si="103"/>
        <v>0</v>
      </c>
      <c r="Z765">
        <f t="shared" si="104"/>
        <v>0</v>
      </c>
    </row>
    <row r="766" spans="2:26">
      <c r="B766" t="str">
        <f t="shared" si="102"/>
        <v>BLUE</v>
      </c>
      <c r="C766" s="6">
        <f t="shared" si="105"/>
        <v>382</v>
      </c>
      <c r="I766">
        <f t="shared" ref="I766:I829" si="106">SUM($E766:$H766)</f>
        <v>0</v>
      </c>
      <c r="N766" s="59">
        <f t="shared" si="100"/>
        <v>0</v>
      </c>
      <c r="O766" s="59">
        <f t="shared" si="101"/>
        <v>0</v>
      </c>
      <c r="T766">
        <f t="shared" ref="T766:T829" si="107">SUM($P766:$S766)</f>
        <v>0</v>
      </c>
      <c r="Y766">
        <f t="shared" si="103"/>
        <v>0</v>
      </c>
      <c r="Z766">
        <f t="shared" si="104"/>
        <v>0</v>
      </c>
    </row>
    <row r="767" spans="2:26">
      <c r="B767" t="str">
        <f t="shared" si="102"/>
        <v>BLUE</v>
      </c>
      <c r="C767" s="6">
        <f t="shared" si="105"/>
        <v>383</v>
      </c>
      <c r="I767">
        <f t="shared" si="106"/>
        <v>0</v>
      </c>
      <c r="N767" s="59">
        <f t="shared" si="100"/>
        <v>0</v>
      </c>
      <c r="O767" s="59">
        <f t="shared" si="101"/>
        <v>0</v>
      </c>
      <c r="T767">
        <f t="shared" si="107"/>
        <v>0</v>
      </c>
      <c r="Y767">
        <f t="shared" si="103"/>
        <v>0</v>
      </c>
      <c r="Z767">
        <f t="shared" si="104"/>
        <v>0</v>
      </c>
    </row>
    <row r="768" spans="2:26">
      <c r="B768" t="str">
        <f t="shared" si="102"/>
        <v>BLUE</v>
      </c>
      <c r="C768" s="6">
        <f t="shared" si="105"/>
        <v>384</v>
      </c>
      <c r="I768">
        <f t="shared" si="106"/>
        <v>0</v>
      </c>
      <c r="N768" s="59">
        <f t="shared" si="100"/>
        <v>0</v>
      </c>
      <c r="O768" s="59">
        <f t="shared" si="101"/>
        <v>0</v>
      </c>
      <c r="T768">
        <f t="shared" si="107"/>
        <v>0</v>
      </c>
      <c r="Y768">
        <f t="shared" si="103"/>
        <v>0</v>
      </c>
      <c r="Z768">
        <f t="shared" si="104"/>
        <v>0</v>
      </c>
    </row>
    <row r="769" spans="2:26">
      <c r="B769" t="str">
        <f t="shared" si="102"/>
        <v>BLUE</v>
      </c>
      <c r="C769" s="6">
        <f t="shared" si="105"/>
        <v>385</v>
      </c>
      <c r="I769">
        <f t="shared" si="106"/>
        <v>0</v>
      </c>
      <c r="N769" s="59">
        <f t="shared" si="100"/>
        <v>0</v>
      </c>
      <c r="O769" s="59">
        <f t="shared" si="101"/>
        <v>0</v>
      </c>
      <c r="T769">
        <f t="shared" si="107"/>
        <v>0</v>
      </c>
      <c r="Y769">
        <f t="shared" si="103"/>
        <v>0</v>
      </c>
      <c r="Z769">
        <f t="shared" si="104"/>
        <v>0</v>
      </c>
    </row>
    <row r="770" spans="2:26">
      <c r="B770" t="str">
        <f t="shared" si="102"/>
        <v>BLUE</v>
      </c>
      <c r="C770" s="6">
        <f t="shared" si="105"/>
        <v>386</v>
      </c>
      <c r="I770">
        <f t="shared" si="106"/>
        <v>0</v>
      </c>
      <c r="N770" s="59">
        <f t="shared" si="100"/>
        <v>0</v>
      </c>
      <c r="O770" s="59">
        <f t="shared" si="101"/>
        <v>0</v>
      </c>
      <c r="T770">
        <f t="shared" si="107"/>
        <v>0</v>
      </c>
      <c r="Y770">
        <f t="shared" si="103"/>
        <v>0</v>
      </c>
      <c r="Z770">
        <f t="shared" si="104"/>
        <v>0</v>
      </c>
    </row>
    <row r="771" spans="2:26">
      <c r="B771" t="str">
        <f t="shared" si="102"/>
        <v>BLUE</v>
      </c>
      <c r="C771" s="6">
        <f t="shared" si="105"/>
        <v>387</v>
      </c>
      <c r="I771">
        <f t="shared" si="106"/>
        <v>0</v>
      </c>
      <c r="N771" s="59">
        <f t="shared" si="100"/>
        <v>0</v>
      </c>
      <c r="O771" s="59">
        <f t="shared" si="101"/>
        <v>0</v>
      </c>
      <c r="T771">
        <f t="shared" si="107"/>
        <v>0</v>
      </c>
      <c r="Y771">
        <f t="shared" si="103"/>
        <v>0</v>
      </c>
      <c r="Z771">
        <f t="shared" si="104"/>
        <v>0</v>
      </c>
    </row>
    <row r="772" spans="2:26">
      <c r="B772" t="str">
        <f t="shared" si="102"/>
        <v>BLUE</v>
      </c>
      <c r="C772" s="6">
        <f t="shared" si="105"/>
        <v>388</v>
      </c>
      <c r="I772">
        <f t="shared" si="106"/>
        <v>0</v>
      </c>
      <c r="N772" s="59">
        <f t="shared" si="100"/>
        <v>0</v>
      </c>
      <c r="O772" s="59">
        <f t="shared" si="101"/>
        <v>0</v>
      </c>
      <c r="T772">
        <f t="shared" si="107"/>
        <v>0</v>
      </c>
      <c r="Y772">
        <f t="shared" si="103"/>
        <v>0</v>
      </c>
      <c r="Z772">
        <f t="shared" si="104"/>
        <v>0</v>
      </c>
    </row>
    <row r="773" spans="2:26">
      <c r="B773" t="str">
        <f t="shared" si="102"/>
        <v>BLUE</v>
      </c>
      <c r="C773" s="6">
        <f t="shared" si="105"/>
        <v>389</v>
      </c>
      <c r="I773">
        <f t="shared" si="106"/>
        <v>0</v>
      </c>
      <c r="N773" s="59">
        <f t="shared" si="100"/>
        <v>0</v>
      </c>
      <c r="O773" s="59">
        <f t="shared" si="101"/>
        <v>0</v>
      </c>
      <c r="T773">
        <f t="shared" si="107"/>
        <v>0</v>
      </c>
      <c r="Y773">
        <f t="shared" si="103"/>
        <v>0</v>
      </c>
      <c r="Z773">
        <f t="shared" si="104"/>
        <v>0</v>
      </c>
    </row>
    <row r="774" spans="2:26">
      <c r="B774" t="str">
        <f t="shared" si="102"/>
        <v>BLUE</v>
      </c>
      <c r="C774" s="6">
        <f t="shared" si="105"/>
        <v>390</v>
      </c>
      <c r="I774">
        <f t="shared" si="106"/>
        <v>0</v>
      </c>
      <c r="N774" s="59">
        <f t="shared" si="100"/>
        <v>0</v>
      </c>
      <c r="O774" s="59">
        <f t="shared" si="101"/>
        <v>0</v>
      </c>
      <c r="T774">
        <f t="shared" si="107"/>
        <v>0</v>
      </c>
      <c r="Y774">
        <f t="shared" si="103"/>
        <v>0</v>
      </c>
      <c r="Z774">
        <f t="shared" si="104"/>
        <v>0</v>
      </c>
    </row>
    <row r="775" spans="2:26">
      <c r="B775" t="str">
        <f t="shared" si="102"/>
        <v>BLUE</v>
      </c>
      <c r="C775" s="6">
        <f t="shared" si="105"/>
        <v>391</v>
      </c>
      <c r="I775">
        <f t="shared" si="106"/>
        <v>0</v>
      </c>
      <c r="N775" s="59">
        <f t="shared" si="100"/>
        <v>0</v>
      </c>
      <c r="O775" s="59">
        <f t="shared" si="101"/>
        <v>0</v>
      </c>
      <c r="T775">
        <f t="shared" si="107"/>
        <v>0</v>
      </c>
      <c r="Y775">
        <f t="shared" si="103"/>
        <v>0</v>
      </c>
      <c r="Z775">
        <f t="shared" si="104"/>
        <v>0</v>
      </c>
    </row>
    <row r="776" spans="2:26">
      <c r="B776" t="str">
        <f t="shared" si="102"/>
        <v>BLUE</v>
      </c>
      <c r="C776" s="6">
        <f t="shared" si="105"/>
        <v>392</v>
      </c>
      <c r="I776">
        <f t="shared" si="106"/>
        <v>0</v>
      </c>
      <c r="N776" s="59">
        <f t="shared" si="100"/>
        <v>0</v>
      </c>
      <c r="O776" s="59">
        <f t="shared" si="101"/>
        <v>0</v>
      </c>
      <c r="T776">
        <f t="shared" si="107"/>
        <v>0</v>
      </c>
      <c r="Y776">
        <f t="shared" si="103"/>
        <v>0</v>
      </c>
      <c r="Z776">
        <f t="shared" si="104"/>
        <v>0</v>
      </c>
    </row>
    <row r="777" spans="2:26">
      <c r="B777" t="str">
        <f t="shared" si="102"/>
        <v>BLUE</v>
      </c>
      <c r="C777" s="6">
        <f t="shared" si="105"/>
        <v>393</v>
      </c>
      <c r="I777">
        <f t="shared" si="106"/>
        <v>0</v>
      </c>
      <c r="N777" s="59">
        <f t="shared" ref="N777:N840" si="108">SUM($J777:$M777)</f>
        <v>0</v>
      </c>
      <c r="O777" s="59">
        <f t="shared" ref="O777:O840" si="109">SUM($I777, $N777)</f>
        <v>0</v>
      </c>
      <c r="T777">
        <f t="shared" si="107"/>
        <v>0</v>
      </c>
      <c r="Y777">
        <f t="shared" si="103"/>
        <v>0</v>
      </c>
      <c r="Z777">
        <f t="shared" si="104"/>
        <v>0</v>
      </c>
    </row>
    <row r="778" spans="2:26">
      <c r="B778" t="str">
        <f t="shared" si="102"/>
        <v>BLUE</v>
      </c>
      <c r="C778" s="6">
        <f t="shared" si="105"/>
        <v>394</v>
      </c>
      <c r="I778">
        <f t="shared" si="106"/>
        <v>0</v>
      </c>
      <c r="N778" s="59">
        <f t="shared" si="108"/>
        <v>0</v>
      </c>
      <c r="O778" s="59">
        <f t="shared" si="109"/>
        <v>0</v>
      </c>
      <c r="T778">
        <f t="shared" si="107"/>
        <v>0</v>
      </c>
      <c r="Y778">
        <f t="shared" si="103"/>
        <v>0</v>
      </c>
      <c r="Z778">
        <f t="shared" si="104"/>
        <v>0</v>
      </c>
    </row>
    <row r="779" spans="2:26">
      <c r="B779" t="str">
        <f t="shared" si="102"/>
        <v>BLUE</v>
      </c>
      <c r="C779" s="6">
        <f t="shared" si="105"/>
        <v>395</v>
      </c>
      <c r="I779">
        <f t="shared" si="106"/>
        <v>0</v>
      </c>
      <c r="N779" s="59">
        <f t="shared" si="108"/>
        <v>0</v>
      </c>
      <c r="O779" s="59">
        <f t="shared" si="109"/>
        <v>0</v>
      </c>
      <c r="T779">
        <f t="shared" si="107"/>
        <v>0</v>
      </c>
      <c r="Y779">
        <f t="shared" si="103"/>
        <v>0</v>
      </c>
      <c r="Z779">
        <f t="shared" si="104"/>
        <v>0</v>
      </c>
    </row>
    <row r="780" spans="2:26">
      <c r="B780" t="str">
        <f t="shared" si="102"/>
        <v>BLUE</v>
      </c>
      <c r="C780" s="6">
        <f t="shared" si="105"/>
        <v>396</v>
      </c>
      <c r="I780">
        <f t="shared" si="106"/>
        <v>0</v>
      </c>
      <c r="N780" s="59">
        <f t="shared" si="108"/>
        <v>0</v>
      </c>
      <c r="O780" s="59">
        <f t="shared" si="109"/>
        <v>0</v>
      </c>
      <c r="T780">
        <f t="shared" si="107"/>
        <v>0</v>
      </c>
      <c r="Y780">
        <f t="shared" si="103"/>
        <v>0</v>
      </c>
      <c r="Z780">
        <f t="shared" si="104"/>
        <v>0</v>
      </c>
    </row>
    <row r="781" spans="2:26">
      <c r="B781" t="str">
        <f t="shared" si="102"/>
        <v>BLUE</v>
      </c>
      <c r="C781" s="6">
        <f t="shared" si="105"/>
        <v>397</v>
      </c>
      <c r="I781">
        <f t="shared" si="106"/>
        <v>0</v>
      </c>
      <c r="N781" s="59">
        <f t="shared" si="108"/>
        <v>0</v>
      </c>
      <c r="O781" s="59">
        <f t="shared" si="109"/>
        <v>0</v>
      </c>
      <c r="T781">
        <f t="shared" si="107"/>
        <v>0</v>
      </c>
      <c r="Y781">
        <f t="shared" si="103"/>
        <v>0</v>
      </c>
      <c r="Z781">
        <f t="shared" si="104"/>
        <v>0</v>
      </c>
    </row>
    <row r="782" spans="2:26">
      <c r="B782" t="str">
        <f t="shared" si="102"/>
        <v>BLUE</v>
      </c>
      <c r="C782" s="6">
        <f t="shared" si="105"/>
        <v>398</v>
      </c>
      <c r="I782">
        <f t="shared" si="106"/>
        <v>0</v>
      </c>
      <c r="N782" s="59">
        <f t="shared" si="108"/>
        <v>0</v>
      </c>
      <c r="O782" s="59">
        <f t="shared" si="109"/>
        <v>0</v>
      </c>
      <c r="T782">
        <f t="shared" si="107"/>
        <v>0</v>
      </c>
      <c r="Y782">
        <f t="shared" si="103"/>
        <v>0</v>
      </c>
      <c r="Z782">
        <f t="shared" si="104"/>
        <v>0</v>
      </c>
    </row>
    <row r="783" spans="2:26">
      <c r="B783" t="str">
        <f t="shared" si="102"/>
        <v>BLUE</v>
      </c>
      <c r="C783" s="6">
        <f t="shared" si="105"/>
        <v>399</v>
      </c>
      <c r="I783">
        <f t="shared" si="106"/>
        <v>0</v>
      </c>
      <c r="N783" s="59">
        <f t="shared" si="108"/>
        <v>0</v>
      </c>
      <c r="O783" s="59">
        <f t="shared" si="109"/>
        <v>0</v>
      </c>
      <c r="T783">
        <f t="shared" si="107"/>
        <v>0</v>
      </c>
      <c r="Y783">
        <f t="shared" si="103"/>
        <v>0</v>
      </c>
      <c r="Z783">
        <f t="shared" si="104"/>
        <v>0</v>
      </c>
    </row>
    <row r="784" spans="2:26">
      <c r="B784" t="str">
        <f t="shared" si="102"/>
        <v>BLUE</v>
      </c>
      <c r="C784" s="6">
        <f t="shared" si="105"/>
        <v>400</v>
      </c>
      <c r="I784">
        <f t="shared" si="106"/>
        <v>0</v>
      </c>
      <c r="N784" s="59">
        <f t="shared" si="108"/>
        <v>0</v>
      </c>
      <c r="O784" s="59">
        <f t="shared" si="109"/>
        <v>0</v>
      </c>
      <c r="T784">
        <f t="shared" si="107"/>
        <v>0</v>
      </c>
      <c r="Y784">
        <f t="shared" si="103"/>
        <v>0</v>
      </c>
      <c r="Z784">
        <f t="shared" si="104"/>
        <v>0</v>
      </c>
    </row>
    <row r="785" spans="2:26">
      <c r="B785" t="str">
        <f t="shared" si="102"/>
        <v>BLUE</v>
      </c>
      <c r="C785" s="6">
        <f t="shared" si="105"/>
        <v>401</v>
      </c>
      <c r="I785">
        <f t="shared" si="106"/>
        <v>0</v>
      </c>
      <c r="N785" s="59">
        <f t="shared" si="108"/>
        <v>0</v>
      </c>
      <c r="O785" s="59">
        <f t="shared" si="109"/>
        <v>0</v>
      </c>
      <c r="T785">
        <f t="shared" si="107"/>
        <v>0</v>
      </c>
      <c r="Y785">
        <f t="shared" si="103"/>
        <v>0</v>
      </c>
      <c r="Z785">
        <f t="shared" si="104"/>
        <v>0</v>
      </c>
    </row>
    <row r="786" spans="2:26">
      <c r="B786" t="str">
        <f t="shared" si="102"/>
        <v>BLUE</v>
      </c>
      <c r="C786" s="6">
        <f t="shared" si="105"/>
        <v>402</v>
      </c>
      <c r="I786">
        <f t="shared" si="106"/>
        <v>0</v>
      </c>
      <c r="N786" s="59">
        <f t="shared" si="108"/>
        <v>0</v>
      </c>
      <c r="O786" s="59">
        <f t="shared" si="109"/>
        <v>0</v>
      </c>
      <c r="T786">
        <f t="shared" si="107"/>
        <v>0</v>
      </c>
      <c r="Y786">
        <f t="shared" si="103"/>
        <v>0</v>
      </c>
      <c r="Z786">
        <f t="shared" si="104"/>
        <v>0</v>
      </c>
    </row>
    <row r="787" spans="2:26">
      <c r="B787" t="str">
        <f t="shared" ref="B787:B850" si="110">B786</f>
        <v>BLUE</v>
      </c>
      <c r="C787" s="6">
        <f t="shared" si="105"/>
        <v>403</v>
      </c>
      <c r="I787">
        <f t="shared" si="106"/>
        <v>0</v>
      </c>
      <c r="N787" s="59">
        <f t="shared" si="108"/>
        <v>0</v>
      </c>
      <c r="O787" s="59">
        <f t="shared" si="109"/>
        <v>0</v>
      </c>
      <c r="T787">
        <f t="shared" si="107"/>
        <v>0</v>
      </c>
      <c r="Y787">
        <f t="shared" si="103"/>
        <v>0</v>
      </c>
      <c r="Z787">
        <f t="shared" si="104"/>
        <v>0</v>
      </c>
    </row>
    <row r="788" spans="2:26">
      <c r="B788" t="str">
        <f t="shared" si="110"/>
        <v>BLUE</v>
      </c>
      <c r="C788" s="6">
        <f t="shared" si="105"/>
        <v>404</v>
      </c>
      <c r="I788">
        <f t="shared" si="106"/>
        <v>0</v>
      </c>
      <c r="N788" s="59">
        <f t="shared" si="108"/>
        <v>0</v>
      </c>
      <c r="O788" s="59">
        <f t="shared" si="109"/>
        <v>0</v>
      </c>
      <c r="T788">
        <f t="shared" si="107"/>
        <v>0</v>
      </c>
      <c r="Y788">
        <f t="shared" si="103"/>
        <v>0</v>
      </c>
      <c r="Z788">
        <f t="shared" si="104"/>
        <v>0</v>
      </c>
    </row>
    <row r="789" spans="2:26">
      <c r="B789" t="str">
        <f t="shared" si="110"/>
        <v>BLUE</v>
      </c>
      <c r="C789" s="6">
        <f t="shared" si="105"/>
        <v>405</v>
      </c>
      <c r="I789">
        <f t="shared" si="106"/>
        <v>0</v>
      </c>
      <c r="N789" s="59">
        <f t="shared" si="108"/>
        <v>0</v>
      </c>
      <c r="O789" s="59">
        <f t="shared" si="109"/>
        <v>0</v>
      </c>
      <c r="T789">
        <f t="shared" si="107"/>
        <v>0</v>
      </c>
      <c r="Y789">
        <f t="shared" si="103"/>
        <v>0</v>
      </c>
      <c r="Z789">
        <f t="shared" si="104"/>
        <v>0</v>
      </c>
    </row>
    <row r="790" spans="2:26">
      <c r="B790" t="str">
        <f t="shared" si="110"/>
        <v>BLUE</v>
      </c>
      <c r="C790" s="6">
        <f t="shared" si="105"/>
        <v>406</v>
      </c>
      <c r="I790">
        <f t="shared" si="106"/>
        <v>0</v>
      </c>
      <c r="N790" s="59">
        <f t="shared" si="108"/>
        <v>0</v>
      </c>
      <c r="O790" s="59">
        <f t="shared" si="109"/>
        <v>0</v>
      </c>
      <c r="T790">
        <f t="shared" si="107"/>
        <v>0</v>
      </c>
      <c r="Y790">
        <f t="shared" si="103"/>
        <v>0</v>
      </c>
      <c r="Z790">
        <f t="shared" si="104"/>
        <v>0</v>
      </c>
    </row>
    <row r="791" spans="2:26">
      <c r="B791" t="str">
        <f t="shared" si="110"/>
        <v>BLUE</v>
      </c>
      <c r="C791" s="6">
        <f t="shared" si="105"/>
        <v>407</v>
      </c>
      <c r="I791">
        <f t="shared" si="106"/>
        <v>0</v>
      </c>
      <c r="N791" s="59">
        <f t="shared" si="108"/>
        <v>0</v>
      </c>
      <c r="O791" s="59">
        <f t="shared" si="109"/>
        <v>0</v>
      </c>
      <c r="T791">
        <f t="shared" si="107"/>
        <v>0</v>
      </c>
      <c r="Y791">
        <f t="shared" si="103"/>
        <v>0</v>
      </c>
      <c r="Z791">
        <f t="shared" si="104"/>
        <v>0</v>
      </c>
    </row>
    <row r="792" spans="2:26">
      <c r="B792" t="str">
        <f t="shared" si="110"/>
        <v>BLUE</v>
      </c>
      <c r="C792" s="6">
        <f t="shared" si="105"/>
        <v>408</v>
      </c>
      <c r="I792">
        <f t="shared" si="106"/>
        <v>0</v>
      </c>
      <c r="N792" s="59">
        <f t="shared" si="108"/>
        <v>0</v>
      </c>
      <c r="O792" s="59">
        <f t="shared" si="109"/>
        <v>0</v>
      </c>
      <c r="T792">
        <f t="shared" si="107"/>
        <v>0</v>
      </c>
      <c r="Y792">
        <f t="shared" si="103"/>
        <v>0</v>
      </c>
      <c r="Z792">
        <f t="shared" si="104"/>
        <v>0</v>
      </c>
    </row>
    <row r="793" spans="2:26">
      <c r="B793" t="str">
        <f t="shared" si="110"/>
        <v>BLUE</v>
      </c>
      <c r="C793" s="6">
        <f t="shared" si="105"/>
        <v>409</v>
      </c>
      <c r="I793">
        <f t="shared" si="106"/>
        <v>0</v>
      </c>
      <c r="N793" s="59">
        <f t="shared" si="108"/>
        <v>0</v>
      </c>
      <c r="O793" s="59">
        <f t="shared" si="109"/>
        <v>0</v>
      </c>
      <c r="T793">
        <f t="shared" si="107"/>
        <v>0</v>
      </c>
      <c r="Y793">
        <f t="shared" si="103"/>
        <v>0</v>
      </c>
      <c r="Z793">
        <f t="shared" si="104"/>
        <v>0</v>
      </c>
    </row>
    <row r="794" spans="2:26">
      <c r="B794" t="str">
        <f t="shared" si="110"/>
        <v>BLUE</v>
      </c>
      <c r="C794" s="6">
        <f t="shared" si="105"/>
        <v>410</v>
      </c>
      <c r="I794">
        <f t="shared" si="106"/>
        <v>0</v>
      </c>
      <c r="N794" s="59">
        <f t="shared" si="108"/>
        <v>0</v>
      </c>
      <c r="O794" s="59">
        <f t="shared" si="109"/>
        <v>0</v>
      </c>
      <c r="T794">
        <f t="shared" si="107"/>
        <v>0</v>
      </c>
      <c r="Y794">
        <f t="shared" si="103"/>
        <v>0</v>
      </c>
      <c r="Z794">
        <f t="shared" si="104"/>
        <v>0</v>
      </c>
    </row>
    <row r="795" spans="2:26">
      <c r="B795" t="str">
        <f t="shared" si="110"/>
        <v>BLUE</v>
      </c>
      <c r="C795" s="6">
        <f t="shared" si="105"/>
        <v>411</v>
      </c>
      <c r="I795">
        <f t="shared" si="106"/>
        <v>0</v>
      </c>
      <c r="N795" s="59">
        <f t="shared" si="108"/>
        <v>0</v>
      </c>
      <c r="O795" s="59">
        <f t="shared" si="109"/>
        <v>0</v>
      </c>
      <c r="T795">
        <f t="shared" si="107"/>
        <v>0</v>
      </c>
      <c r="Y795">
        <f t="shared" si="103"/>
        <v>0</v>
      </c>
      <c r="Z795">
        <f t="shared" si="104"/>
        <v>0</v>
      </c>
    </row>
    <row r="796" spans="2:26">
      <c r="B796" t="str">
        <f t="shared" si="110"/>
        <v>BLUE</v>
      </c>
      <c r="C796" s="6">
        <f t="shared" si="105"/>
        <v>412</v>
      </c>
      <c r="I796">
        <f t="shared" si="106"/>
        <v>0</v>
      </c>
      <c r="N796" s="59">
        <f t="shared" si="108"/>
        <v>0</v>
      </c>
      <c r="O796" s="59">
        <f t="shared" si="109"/>
        <v>0</v>
      </c>
      <c r="T796">
        <f t="shared" si="107"/>
        <v>0</v>
      </c>
      <c r="Y796">
        <f t="shared" si="103"/>
        <v>0</v>
      </c>
      <c r="Z796">
        <f t="shared" si="104"/>
        <v>0</v>
      </c>
    </row>
    <row r="797" spans="2:26">
      <c r="B797" t="str">
        <f t="shared" si="110"/>
        <v>BLUE</v>
      </c>
      <c r="C797" s="6">
        <f t="shared" si="105"/>
        <v>413</v>
      </c>
      <c r="I797">
        <f t="shared" si="106"/>
        <v>0</v>
      </c>
      <c r="N797" s="59">
        <f t="shared" si="108"/>
        <v>0</v>
      </c>
      <c r="O797" s="59">
        <f t="shared" si="109"/>
        <v>0</v>
      </c>
      <c r="T797">
        <f t="shared" si="107"/>
        <v>0</v>
      </c>
      <c r="Y797">
        <f t="shared" si="103"/>
        <v>0</v>
      </c>
      <c r="Z797">
        <f t="shared" si="104"/>
        <v>0</v>
      </c>
    </row>
    <row r="798" spans="2:26">
      <c r="B798" t="str">
        <f t="shared" si="110"/>
        <v>BLUE</v>
      </c>
      <c r="C798" s="6">
        <f t="shared" si="105"/>
        <v>414</v>
      </c>
      <c r="I798">
        <f t="shared" si="106"/>
        <v>0</v>
      </c>
      <c r="N798" s="59">
        <f t="shared" si="108"/>
        <v>0</v>
      </c>
      <c r="O798" s="59">
        <f t="shared" si="109"/>
        <v>0</v>
      </c>
      <c r="T798">
        <f t="shared" si="107"/>
        <v>0</v>
      </c>
      <c r="Y798">
        <f t="shared" si="103"/>
        <v>0</v>
      </c>
      <c r="Z798">
        <f t="shared" si="104"/>
        <v>0</v>
      </c>
    </row>
    <row r="799" spans="2:26">
      <c r="B799" t="str">
        <f t="shared" si="110"/>
        <v>BLUE</v>
      </c>
      <c r="C799" s="6">
        <f t="shared" si="105"/>
        <v>415</v>
      </c>
      <c r="I799">
        <f t="shared" si="106"/>
        <v>0</v>
      </c>
      <c r="N799" s="59">
        <f t="shared" si="108"/>
        <v>0</v>
      </c>
      <c r="O799" s="59">
        <f t="shared" si="109"/>
        <v>0</v>
      </c>
      <c r="T799">
        <f t="shared" si="107"/>
        <v>0</v>
      </c>
      <c r="Y799">
        <f t="shared" si="103"/>
        <v>0</v>
      </c>
      <c r="Z799">
        <f t="shared" si="104"/>
        <v>0</v>
      </c>
    </row>
    <row r="800" spans="2:26">
      <c r="B800" t="str">
        <f t="shared" si="110"/>
        <v>BLUE</v>
      </c>
      <c r="C800" s="6">
        <f t="shared" si="105"/>
        <v>416</v>
      </c>
      <c r="I800">
        <f t="shared" si="106"/>
        <v>0</v>
      </c>
      <c r="N800" s="59">
        <f t="shared" si="108"/>
        <v>0</v>
      </c>
      <c r="O800" s="59">
        <f t="shared" si="109"/>
        <v>0</v>
      </c>
      <c r="T800">
        <f t="shared" si="107"/>
        <v>0</v>
      </c>
      <c r="Y800">
        <f t="shared" si="103"/>
        <v>0</v>
      </c>
      <c r="Z800">
        <f t="shared" si="104"/>
        <v>0</v>
      </c>
    </row>
    <row r="801" spans="2:26">
      <c r="B801" t="str">
        <f t="shared" si="110"/>
        <v>BLUE</v>
      </c>
      <c r="C801" s="6">
        <f t="shared" si="105"/>
        <v>417</v>
      </c>
      <c r="I801">
        <f t="shared" si="106"/>
        <v>0</v>
      </c>
      <c r="N801" s="59">
        <f t="shared" si="108"/>
        <v>0</v>
      </c>
      <c r="O801" s="59">
        <f t="shared" si="109"/>
        <v>0</v>
      </c>
      <c r="T801">
        <f t="shared" si="107"/>
        <v>0</v>
      </c>
      <c r="Y801">
        <f t="shared" si="103"/>
        <v>0</v>
      </c>
      <c r="Z801">
        <f t="shared" si="104"/>
        <v>0</v>
      </c>
    </row>
    <row r="802" spans="2:26">
      <c r="B802" t="str">
        <f t="shared" si="110"/>
        <v>BLUE</v>
      </c>
      <c r="C802" s="6">
        <f t="shared" si="105"/>
        <v>418</v>
      </c>
      <c r="I802">
        <f t="shared" si="106"/>
        <v>0</v>
      </c>
      <c r="N802" s="59">
        <f t="shared" si="108"/>
        <v>0</v>
      </c>
      <c r="O802" s="59">
        <f t="shared" si="109"/>
        <v>0</v>
      </c>
      <c r="T802">
        <f t="shared" si="107"/>
        <v>0</v>
      </c>
      <c r="Y802">
        <f t="shared" si="103"/>
        <v>0</v>
      </c>
      <c r="Z802">
        <f t="shared" si="104"/>
        <v>0</v>
      </c>
    </row>
    <row r="803" spans="2:26">
      <c r="B803" t="str">
        <f t="shared" si="110"/>
        <v>BLUE</v>
      </c>
      <c r="C803" s="6">
        <f t="shared" si="105"/>
        <v>419</v>
      </c>
      <c r="I803">
        <f t="shared" si="106"/>
        <v>0</v>
      </c>
      <c r="N803" s="59">
        <f t="shared" si="108"/>
        <v>0</v>
      </c>
      <c r="O803" s="59">
        <f t="shared" si="109"/>
        <v>0</v>
      </c>
      <c r="T803">
        <f t="shared" si="107"/>
        <v>0</v>
      </c>
      <c r="Y803">
        <f t="shared" si="103"/>
        <v>0</v>
      </c>
      <c r="Z803">
        <f t="shared" si="104"/>
        <v>0</v>
      </c>
    </row>
    <row r="804" spans="2:26">
      <c r="B804" t="str">
        <f t="shared" si="110"/>
        <v>BLUE</v>
      </c>
      <c r="C804" s="6">
        <f t="shared" si="105"/>
        <v>420</v>
      </c>
      <c r="I804">
        <f t="shared" si="106"/>
        <v>0</v>
      </c>
      <c r="N804" s="59">
        <f t="shared" si="108"/>
        <v>0</v>
      </c>
      <c r="O804" s="59">
        <f t="shared" si="109"/>
        <v>0</v>
      </c>
      <c r="T804">
        <f t="shared" si="107"/>
        <v>0</v>
      </c>
      <c r="Y804">
        <f t="shared" si="103"/>
        <v>0</v>
      </c>
      <c r="Z804">
        <f t="shared" si="104"/>
        <v>0</v>
      </c>
    </row>
    <row r="805" spans="2:26">
      <c r="B805" t="str">
        <f t="shared" si="110"/>
        <v>BLUE</v>
      </c>
      <c r="C805" s="6">
        <f t="shared" si="105"/>
        <v>421</v>
      </c>
      <c r="I805">
        <f t="shared" si="106"/>
        <v>0</v>
      </c>
      <c r="N805" s="59">
        <f t="shared" si="108"/>
        <v>0</v>
      </c>
      <c r="O805" s="59">
        <f t="shared" si="109"/>
        <v>0</v>
      </c>
      <c r="T805">
        <f t="shared" si="107"/>
        <v>0</v>
      </c>
      <c r="Y805">
        <f t="shared" si="103"/>
        <v>0</v>
      </c>
      <c r="Z805">
        <f t="shared" si="104"/>
        <v>0</v>
      </c>
    </row>
    <row r="806" spans="2:26">
      <c r="B806" t="str">
        <f t="shared" si="110"/>
        <v>BLUE</v>
      </c>
      <c r="C806" s="6">
        <f t="shared" si="105"/>
        <v>422</v>
      </c>
      <c r="I806">
        <f t="shared" si="106"/>
        <v>0</v>
      </c>
      <c r="N806" s="59">
        <f t="shared" si="108"/>
        <v>0</v>
      </c>
      <c r="O806" s="59">
        <f t="shared" si="109"/>
        <v>0</v>
      </c>
      <c r="T806">
        <f t="shared" si="107"/>
        <v>0</v>
      </c>
      <c r="Y806">
        <f t="shared" si="103"/>
        <v>0</v>
      </c>
      <c r="Z806">
        <f t="shared" si="104"/>
        <v>0</v>
      </c>
    </row>
    <row r="807" spans="2:26">
      <c r="B807" t="str">
        <f t="shared" si="110"/>
        <v>BLUE</v>
      </c>
      <c r="C807" s="6">
        <f t="shared" si="105"/>
        <v>423</v>
      </c>
      <c r="I807">
        <f t="shared" si="106"/>
        <v>0</v>
      </c>
      <c r="N807" s="59">
        <f t="shared" si="108"/>
        <v>0</v>
      </c>
      <c r="O807" s="59">
        <f t="shared" si="109"/>
        <v>0</v>
      </c>
      <c r="T807">
        <f t="shared" si="107"/>
        <v>0</v>
      </c>
      <c r="Y807">
        <f t="shared" si="103"/>
        <v>0</v>
      </c>
      <c r="Z807">
        <f t="shared" si="104"/>
        <v>0</v>
      </c>
    </row>
    <row r="808" spans="2:26">
      <c r="B808" t="str">
        <f t="shared" si="110"/>
        <v>BLUE</v>
      </c>
      <c r="C808" s="6">
        <f t="shared" si="105"/>
        <v>424</v>
      </c>
      <c r="I808">
        <f t="shared" si="106"/>
        <v>0</v>
      </c>
      <c r="N808" s="59">
        <f t="shared" si="108"/>
        <v>0</v>
      </c>
      <c r="O808" s="59">
        <f t="shared" si="109"/>
        <v>0</v>
      </c>
      <c r="T808">
        <f t="shared" si="107"/>
        <v>0</v>
      </c>
      <c r="Y808">
        <f t="shared" si="103"/>
        <v>0</v>
      </c>
      <c r="Z808">
        <f t="shared" si="104"/>
        <v>0</v>
      </c>
    </row>
    <row r="809" spans="2:26">
      <c r="B809" t="str">
        <f t="shared" si="110"/>
        <v>BLUE</v>
      </c>
      <c r="C809" s="6">
        <f t="shared" si="105"/>
        <v>425</v>
      </c>
      <c r="I809">
        <f t="shared" si="106"/>
        <v>0</v>
      </c>
      <c r="N809" s="59">
        <f t="shared" si="108"/>
        <v>0</v>
      </c>
      <c r="O809" s="59">
        <f t="shared" si="109"/>
        <v>0</v>
      </c>
      <c r="T809">
        <f t="shared" si="107"/>
        <v>0</v>
      </c>
      <c r="Y809">
        <f t="shared" si="103"/>
        <v>0</v>
      </c>
      <c r="Z809">
        <f t="shared" si="104"/>
        <v>0</v>
      </c>
    </row>
    <row r="810" spans="2:26">
      <c r="B810" t="str">
        <f t="shared" si="110"/>
        <v>BLUE</v>
      </c>
      <c r="C810" s="6">
        <f t="shared" si="105"/>
        <v>426</v>
      </c>
      <c r="I810">
        <f t="shared" si="106"/>
        <v>0</v>
      </c>
      <c r="N810" s="59">
        <f t="shared" si="108"/>
        <v>0</v>
      </c>
      <c r="O810" s="59">
        <f t="shared" si="109"/>
        <v>0</v>
      </c>
      <c r="T810">
        <f t="shared" si="107"/>
        <v>0</v>
      </c>
      <c r="Y810">
        <f t="shared" si="103"/>
        <v>0</v>
      </c>
      <c r="Z810">
        <f t="shared" si="104"/>
        <v>0</v>
      </c>
    </row>
    <row r="811" spans="2:26">
      <c r="B811" t="str">
        <f t="shared" si="110"/>
        <v>BLUE</v>
      </c>
      <c r="C811" s="6">
        <f t="shared" si="105"/>
        <v>427</v>
      </c>
      <c r="I811">
        <f t="shared" si="106"/>
        <v>0</v>
      </c>
      <c r="N811" s="59">
        <f t="shared" si="108"/>
        <v>0</v>
      </c>
      <c r="O811" s="59">
        <f t="shared" si="109"/>
        <v>0</v>
      </c>
      <c r="T811">
        <f t="shared" si="107"/>
        <v>0</v>
      </c>
      <c r="Y811">
        <f t="shared" si="103"/>
        <v>0</v>
      </c>
      <c r="Z811">
        <f t="shared" si="104"/>
        <v>0</v>
      </c>
    </row>
    <row r="812" spans="2:26">
      <c r="B812" t="str">
        <f t="shared" si="110"/>
        <v>BLUE</v>
      </c>
      <c r="C812" s="6">
        <f t="shared" si="105"/>
        <v>428</v>
      </c>
      <c r="I812">
        <f t="shared" si="106"/>
        <v>0</v>
      </c>
      <c r="N812" s="59">
        <f t="shared" si="108"/>
        <v>0</v>
      </c>
      <c r="O812" s="59">
        <f t="shared" si="109"/>
        <v>0</v>
      </c>
      <c r="T812">
        <f t="shared" si="107"/>
        <v>0</v>
      </c>
      <c r="Y812">
        <f t="shared" si="103"/>
        <v>0</v>
      </c>
      <c r="Z812">
        <f t="shared" si="104"/>
        <v>0</v>
      </c>
    </row>
    <row r="813" spans="2:26">
      <c r="B813" t="str">
        <f t="shared" si="110"/>
        <v>BLUE</v>
      </c>
      <c r="C813" s="6">
        <f t="shared" si="105"/>
        <v>429</v>
      </c>
      <c r="I813">
        <f t="shared" si="106"/>
        <v>0</v>
      </c>
      <c r="N813" s="59">
        <f t="shared" si="108"/>
        <v>0</v>
      </c>
      <c r="O813" s="59">
        <f t="shared" si="109"/>
        <v>0</v>
      </c>
      <c r="T813">
        <f t="shared" si="107"/>
        <v>0</v>
      </c>
      <c r="Y813">
        <f t="shared" si="103"/>
        <v>0</v>
      </c>
      <c r="Z813">
        <f t="shared" si="104"/>
        <v>0</v>
      </c>
    </row>
    <row r="814" spans="2:26">
      <c r="B814" t="str">
        <f t="shared" si="110"/>
        <v>BLUE</v>
      </c>
      <c r="C814" s="6">
        <f t="shared" si="105"/>
        <v>430</v>
      </c>
      <c r="I814">
        <f t="shared" si="106"/>
        <v>0</v>
      </c>
      <c r="N814" s="59">
        <f t="shared" si="108"/>
        <v>0</v>
      </c>
      <c r="O814" s="59">
        <f t="shared" si="109"/>
        <v>0</v>
      </c>
      <c r="T814">
        <f t="shared" si="107"/>
        <v>0</v>
      </c>
      <c r="Y814">
        <f t="shared" ref="Y814:Y877" si="111">SUM($U814:$X814)</f>
        <v>0</v>
      </c>
      <c r="Z814">
        <f t="shared" ref="Z814:Z877" si="112">SUM($T814,$Y814)</f>
        <v>0</v>
      </c>
    </row>
    <row r="815" spans="2:26">
      <c r="B815" t="str">
        <f t="shared" si="110"/>
        <v>BLUE</v>
      </c>
      <c r="C815" s="6">
        <f t="shared" si="105"/>
        <v>431</v>
      </c>
      <c r="I815">
        <f t="shared" si="106"/>
        <v>0</v>
      </c>
      <c r="N815" s="59">
        <f t="shared" si="108"/>
        <v>0</v>
      </c>
      <c r="O815" s="59">
        <f t="shared" si="109"/>
        <v>0</v>
      </c>
      <c r="T815">
        <f t="shared" si="107"/>
        <v>0</v>
      </c>
      <c r="Y815">
        <f t="shared" si="111"/>
        <v>0</v>
      </c>
      <c r="Z815">
        <f t="shared" si="112"/>
        <v>0</v>
      </c>
    </row>
    <row r="816" spans="2:26">
      <c r="B816" t="str">
        <f t="shared" si="110"/>
        <v>BLUE</v>
      </c>
      <c r="C816" s="6">
        <f t="shared" si="105"/>
        <v>432</v>
      </c>
      <c r="I816">
        <f t="shared" si="106"/>
        <v>0</v>
      </c>
      <c r="N816" s="59">
        <f t="shared" si="108"/>
        <v>0</v>
      </c>
      <c r="O816" s="59">
        <f t="shared" si="109"/>
        <v>0</v>
      </c>
      <c r="T816">
        <f t="shared" si="107"/>
        <v>0</v>
      </c>
      <c r="Y816">
        <f t="shared" si="111"/>
        <v>0</v>
      </c>
      <c r="Z816">
        <f t="shared" si="112"/>
        <v>0</v>
      </c>
    </row>
    <row r="817" spans="2:26">
      <c r="B817" t="str">
        <f t="shared" si="110"/>
        <v>BLUE</v>
      </c>
      <c r="C817" s="6">
        <f t="shared" si="105"/>
        <v>433</v>
      </c>
      <c r="I817">
        <f t="shared" si="106"/>
        <v>0</v>
      </c>
      <c r="N817" s="59">
        <f t="shared" si="108"/>
        <v>0</v>
      </c>
      <c r="O817" s="59">
        <f t="shared" si="109"/>
        <v>0</v>
      </c>
      <c r="T817">
        <f t="shared" si="107"/>
        <v>0</v>
      </c>
      <c r="Y817">
        <f t="shared" si="111"/>
        <v>0</v>
      </c>
      <c r="Z817">
        <f t="shared" si="112"/>
        <v>0</v>
      </c>
    </row>
    <row r="818" spans="2:26">
      <c r="B818" t="str">
        <f t="shared" si="110"/>
        <v>BLUE</v>
      </c>
      <c r="C818" s="6">
        <f t="shared" si="105"/>
        <v>434</v>
      </c>
      <c r="I818">
        <f t="shared" si="106"/>
        <v>0</v>
      </c>
      <c r="N818" s="59">
        <f t="shared" si="108"/>
        <v>0</v>
      </c>
      <c r="O818" s="59">
        <f t="shared" si="109"/>
        <v>0</v>
      </c>
      <c r="T818">
        <f t="shared" si="107"/>
        <v>0</v>
      </c>
      <c r="Y818">
        <f t="shared" si="111"/>
        <v>0</v>
      </c>
      <c r="Z818">
        <f t="shared" si="112"/>
        <v>0</v>
      </c>
    </row>
    <row r="819" spans="2:26">
      <c r="B819" t="str">
        <f t="shared" si="110"/>
        <v>BLUE</v>
      </c>
      <c r="C819" s="6">
        <f t="shared" si="105"/>
        <v>435</v>
      </c>
      <c r="I819">
        <f t="shared" si="106"/>
        <v>0</v>
      </c>
      <c r="N819" s="59">
        <f t="shared" si="108"/>
        <v>0</v>
      </c>
      <c r="O819" s="59">
        <f t="shared" si="109"/>
        <v>0</v>
      </c>
      <c r="T819">
        <f t="shared" si="107"/>
        <v>0</v>
      </c>
      <c r="Y819">
        <f t="shared" si="111"/>
        <v>0</v>
      </c>
      <c r="Z819">
        <f t="shared" si="112"/>
        <v>0</v>
      </c>
    </row>
    <row r="820" spans="2:26">
      <c r="B820" t="str">
        <f t="shared" si="110"/>
        <v>BLUE</v>
      </c>
      <c r="C820" s="6">
        <f t="shared" si="105"/>
        <v>436</v>
      </c>
      <c r="I820">
        <f t="shared" si="106"/>
        <v>0</v>
      </c>
      <c r="N820" s="59">
        <f t="shared" si="108"/>
        <v>0</v>
      </c>
      <c r="O820" s="59">
        <f t="shared" si="109"/>
        <v>0</v>
      </c>
      <c r="T820">
        <f t="shared" si="107"/>
        <v>0</v>
      </c>
      <c r="Y820">
        <f t="shared" si="111"/>
        <v>0</v>
      </c>
      <c r="Z820">
        <f t="shared" si="112"/>
        <v>0</v>
      </c>
    </row>
    <row r="821" spans="2:26">
      <c r="B821" t="str">
        <f t="shared" si="110"/>
        <v>BLUE</v>
      </c>
      <c r="C821" s="6">
        <f t="shared" ref="C821:C884" si="113">C820+1</f>
        <v>437</v>
      </c>
      <c r="I821">
        <f t="shared" si="106"/>
        <v>0</v>
      </c>
      <c r="N821" s="59">
        <f t="shared" si="108"/>
        <v>0</v>
      </c>
      <c r="O821" s="59">
        <f t="shared" si="109"/>
        <v>0</v>
      </c>
      <c r="T821">
        <f t="shared" si="107"/>
        <v>0</v>
      </c>
      <c r="Y821">
        <f t="shared" si="111"/>
        <v>0</v>
      </c>
      <c r="Z821">
        <f t="shared" si="112"/>
        <v>0</v>
      </c>
    </row>
    <row r="822" spans="2:26">
      <c r="B822" t="str">
        <f t="shared" si="110"/>
        <v>BLUE</v>
      </c>
      <c r="C822" s="6">
        <f t="shared" si="113"/>
        <v>438</v>
      </c>
      <c r="I822">
        <f t="shared" si="106"/>
        <v>0</v>
      </c>
      <c r="N822" s="59">
        <f t="shared" si="108"/>
        <v>0</v>
      </c>
      <c r="O822" s="59">
        <f t="shared" si="109"/>
        <v>0</v>
      </c>
      <c r="T822">
        <f t="shared" si="107"/>
        <v>0</v>
      </c>
      <c r="Y822">
        <f t="shared" si="111"/>
        <v>0</v>
      </c>
      <c r="Z822">
        <f t="shared" si="112"/>
        <v>0</v>
      </c>
    </row>
    <row r="823" spans="2:26">
      <c r="B823" t="str">
        <f t="shared" si="110"/>
        <v>BLUE</v>
      </c>
      <c r="C823" s="6">
        <f t="shared" si="113"/>
        <v>439</v>
      </c>
      <c r="I823">
        <f t="shared" si="106"/>
        <v>0</v>
      </c>
      <c r="N823" s="59">
        <f t="shared" si="108"/>
        <v>0</v>
      </c>
      <c r="O823" s="59">
        <f t="shared" si="109"/>
        <v>0</v>
      </c>
      <c r="T823">
        <f t="shared" si="107"/>
        <v>0</v>
      </c>
      <c r="Y823">
        <f t="shared" si="111"/>
        <v>0</v>
      </c>
      <c r="Z823">
        <f t="shared" si="112"/>
        <v>0</v>
      </c>
    </row>
    <row r="824" spans="2:26">
      <c r="B824" t="str">
        <f t="shared" si="110"/>
        <v>BLUE</v>
      </c>
      <c r="C824" s="6">
        <f t="shared" si="113"/>
        <v>440</v>
      </c>
      <c r="I824">
        <f t="shared" si="106"/>
        <v>0</v>
      </c>
      <c r="N824" s="59">
        <f t="shared" si="108"/>
        <v>0</v>
      </c>
      <c r="O824" s="59">
        <f t="shared" si="109"/>
        <v>0</v>
      </c>
      <c r="T824">
        <f t="shared" si="107"/>
        <v>0</v>
      </c>
      <c r="Y824">
        <f t="shared" si="111"/>
        <v>0</v>
      </c>
      <c r="Z824">
        <f t="shared" si="112"/>
        <v>0</v>
      </c>
    </row>
    <row r="825" spans="2:26">
      <c r="B825" t="str">
        <f t="shared" si="110"/>
        <v>BLUE</v>
      </c>
      <c r="C825" s="6">
        <f t="shared" si="113"/>
        <v>441</v>
      </c>
      <c r="I825">
        <f t="shared" si="106"/>
        <v>0</v>
      </c>
      <c r="N825" s="59">
        <f t="shared" si="108"/>
        <v>0</v>
      </c>
      <c r="O825" s="59">
        <f t="shared" si="109"/>
        <v>0</v>
      </c>
      <c r="T825">
        <f t="shared" si="107"/>
        <v>0</v>
      </c>
      <c r="Y825">
        <f t="shared" si="111"/>
        <v>0</v>
      </c>
      <c r="Z825">
        <f t="shared" si="112"/>
        <v>0</v>
      </c>
    </row>
    <row r="826" spans="2:26">
      <c r="B826" t="str">
        <f t="shared" si="110"/>
        <v>BLUE</v>
      </c>
      <c r="C826" s="6">
        <f t="shared" si="113"/>
        <v>442</v>
      </c>
      <c r="I826">
        <f t="shared" si="106"/>
        <v>0</v>
      </c>
      <c r="N826" s="59">
        <f t="shared" si="108"/>
        <v>0</v>
      </c>
      <c r="O826" s="59">
        <f t="shared" si="109"/>
        <v>0</v>
      </c>
      <c r="T826">
        <f t="shared" si="107"/>
        <v>0</v>
      </c>
      <c r="Y826">
        <f t="shared" si="111"/>
        <v>0</v>
      </c>
      <c r="Z826">
        <f t="shared" si="112"/>
        <v>0</v>
      </c>
    </row>
    <row r="827" spans="2:26">
      <c r="B827" t="str">
        <f t="shared" si="110"/>
        <v>BLUE</v>
      </c>
      <c r="C827" s="6">
        <f t="shared" si="113"/>
        <v>443</v>
      </c>
      <c r="I827">
        <f t="shared" si="106"/>
        <v>0</v>
      </c>
      <c r="N827" s="59">
        <f t="shared" si="108"/>
        <v>0</v>
      </c>
      <c r="O827" s="59">
        <f t="shared" si="109"/>
        <v>0</v>
      </c>
      <c r="T827">
        <f t="shared" si="107"/>
        <v>0</v>
      </c>
      <c r="Y827">
        <f t="shared" si="111"/>
        <v>0</v>
      </c>
      <c r="Z827">
        <f t="shared" si="112"/>
        <v>0</v>
      </c>
    </row>
    <row r="828" spans="2:26">
      <c r="B828" t="str">
        <f t="shared" si="110"/>
        <v>BLUE</v>
      </c>
      <c r="C828" s="6">
        <f t="shared" si="113"/>
        <v>444</v>
      </c>
      <c r="I828">
        <f t="shared" si="106"/>
        <v>0</v>
      </c>
      <c r="N828" s="59">
        <f t="shared" si="108"/>
        <v>0</v>
      </c>
      <c r="O828" s="59">
        <f t="shared" si="109"/>
        <v>0</v>
      </c>
      <c r="T828">
        <f t="shared" si="107"/>
        <v>0</v>
      </c>
      <c r="Y828">
        <f t="shared" si="111"/>
        <v>0</v>
      </c>
      <c r="Z828">
        <f t="shared" si="112"/>
        <v>0</v>
      </c>
    </row>
    <row r="829" spans="2:26">
      <c r="B829" t="str">
        <f t="shared" si="110"/>
        <v>BLUE</v>
      </c>
      <c r="C829" s="6">
        <f t="shared" si="113"/>
        <v>445</v>
      </c>
      <c r="I829">
        <f t="shared" si="106"/>
        <v>0</v>
      </c>
      <c r="N829" s="59">
        <f t="shared" si="108"/>
        <v>0</v>
      </c>
      <c r="O829" s="59">
        <f t="shared" si="109"/>
        <v>0</v>
      </c>
      <c r="T829">
        <f t="shared" si="107"/>
        <v>0</v>
      </c>
      <c r="Y829">
        <f t="shared" si="111"/>
        <v>0</v>
      </c>
      <c r="Z829">
        <f t="shared" si="112"/>
        <v>0</v>
      </c>
    </row>
    <row r="830" spans="2:26">
      <c r="B830" t="str">
        <f t="shared" si="110"/>
        <v>BLUE</v>
      </c>
      <c r="C830" s="6">
        <f t="shared" si="113"/>
        <v>446</v>
      </c>
      <c r="I830">
        <f t="shared" ref="I830:I893" si="114">SUM($E830:$H830)</f>
        <v>0</v>
      </c>
      <c r="N830" s="59">
        <f t="shared" si="108"/>
        <v>0</v>
      </c>
      <c r="O830" s="59">
        <f t="shared" si="109"/>
        <v>0</v>
      </c>
      <c r="T830">
        <f t="shared" ref="T830:T893" si="115">SUM($P830:$S830)</f>
        <v>0</v>
      </c>
      <c r="Y830">
        <f t="shared" si="111"/>
        <v>0</v>
      </c>
      <c r="Z830">
        <f t="shared" si="112"/>
        <v>0</v>
      </c>
    </row>
    <row r="831" spans="2:26">
      <c r="B831" t="str">
        <f t="shared" si="110"/>
        <v>BLUE</v>
      </c>
      <c r="C831" s="6">
        <f t="shared" si="113"/>
        <v>447</v>
      </c>
      <c r="I831">
        <f t="shared" si="114"/>
        <v>0</v>
      </c>
      <c r="N831" s="59">
        <f t="shared" si="108"/>
        <v>0</v>
      </c>
      <c r="O831" s="59">
        <f t="shared" si="109"/>
        <v>0</v>
      </c>
      <c r="T831">
        <f t="shared" si="115"/>
        <v>0</v>
      </c>
      <c r="Y831">
        <f t="shared" si="111"/>
        <v>0</v>
      </c>
      <c r="Z831">
        <f t="shared" si="112"/>
        <v>0</v>
      </c>
    </row>
    <row r="832" spans="2:26">
      <c r="B832" t="str">
        <f t="shared" si="110"/>
        <v>BLUE</v>
      </c>
      <c r="C832" s="6">
        <f t="shared" si="113"/>
        <v>448</v>
      </c>
      <c r="I832">
        <f t="shared" si="114"/>
        <v>0</v>
      </c>
      <c r="N832" s="59">
        <f t="shared" si="108"/>
        <v>0</v>
      </c>
      <c r="O832" s="59">
        <f t="shared" si="109"/>
        <v>0</v>
      </c>
      <c r="T832">
        <f t="shared" si="115"/>
        <v>0</v>
      </c>
      <c r="Y832">
        <f t="shared" si="111"/>
        <v>0</v>
      </c>
      <c r="Z832">
        <f t="shared" si="112"/>
        <v>0</v>
      </c>
    </row>
    <row r="833" spans="2:26">
      <c r="B833" t="str">
        <f t="shared" si="110"/>
        <v>BLUE</v>
      </c>
      <c r="C833" s="6">
        <f t="shared" si="113"/>
        <v>449</v>
      </c>
      <c r="I833">
        <f t="shared" si="114"/>
        <v>0</v>
      </c>
      <c r="N833" s="59">
        <f t="shared" si="108"/>
        <v>0</v>
      </c>
      <c r="O833" s="59">
        <f t="shared" si="109"/>
        <v>0</v>
      </c>
      <c r="T833">
        <f t="shared" si="115"/>
        <v>0</v>
      </c>
      <c r="Y833">
        <f t="shared" si="111"/>
        <v>0</v>
      </c>
      <c r="Z833">
        <f t="shared" si="112"/>
        <v>0</v>
      </c>
    </row>
    <row r="834" spans="2:26">
      <c r="B834" t="str">
        <f t="shared" si="110"/>
        <v>BLUE</v>
      </c>
      <c r="C834" s="6">
        <f t="shared" si="113"/>
        <v>450</v>
      </c>
      <c r="I834">
        <f t="shared" si="114"/>
        <v>0</v>
      </c>
      <c r="N834" s="59">
        <f t="shared" si="108"/>
        <v>0</v>
      </c>
      <c r="O834" s="59">
        <f t="shared" si="109"/>
        <v>0</v>
      </c>
      <c r="T834">
        <f t="shared" si="115"/>
        <v>0</v>
      </c>
      <c r="Y834">
        <f t="shared" si="111"/>
        <v>0</v>
      </c>
      <c r="Z834">
        <f t="shared" si="112"/>
        <v>0</v>
      </c>
    </row>
    <row r="835" spans="2:26">
      <c r="B835" t="str">
        <f t="shared" si="110"/>
        <v>BLUE</v>
      </c>
      <c r="C835" s="6">
        <f t="shared" si="113"/>
        <v>451</v>
      </c>
      <c r="I835">
        <f t="shared" si="114"/>
        <v>0</v>
      </c>
      <c r="N835" s="59">
        <f t="shared" si="108"/>
        <v>0</v>
      </c>
      <c r="O835" s="59">
        <f t="shared" si="109"/>
        <v>0</v>
      </c>
      <c r="T835">
        <f t="shared" si="115"/>
        <v>0</v>
      </c>
      <c r="Y835">
        <f t="shared" si="111"/>
        <v>0</v>
      </c>
      <c r="Z835">
        <f t="shared" si="112"/>
        <v>0</v>
      </c>
    </row>
    <row r="836" spans="2:26">
      <c r="B836" t="str">
        <f t="shared" si="110"/>
        <v>BLUE</v>
      </c>
      <c r="C836" s="6">
        <f t="shared" si="113"/>
        <v>452</v>
      </c>
      <c r="I836">
        <f t="shared" si="114"/>
        <v>0</v>
      </c>
      <c r="N836" s="59">
        <f t="shared" si="108"/>
        <v>0</v>
      </c>
      <c r="O836" s="59">
        <f t="shared" si="109"/>
        <v>0</v>
      </c>
      <c r="T836">
        <f t="shared" si="115"/>
        <v>0</v>
      </c>
      <c r="Y836">
        <f t="shared" si="111"/>
        <v>0</v>
      </c>
      <c r="Z836">
        <f t="shared" si="112"/>
        <v>0</v>
      </c>
    </row>
    <row r="837" spans="2:26">
      <c r="B837" t="str">
        <f t="shared" si="110"/>
        <v>BLUE</v>
      </c>
      <c r="C837" s="6">
        <f t="shared" si="113"/>
        <v>453</v>
      </c>
      <c r="I837">
        <f t="shared" si="114"/>
        <v>0</v>
      </c>
      <c r="N837" s="59">
        <f t="shared" si="108"/>
        <v>0</v>
      </c>
      <c r="O837" s="59">
        <f t="shared" si="109"/>
        <v>0</v>
      </c>
      <c r="T837">
        <f t="shared" si="115"/>
        <v>0</v>
      </c>
      <c r="Y837">
        <f t="shared" si="111"/>
        <v>0</v>
      </c>
      <c r="Z837">
        <f t="shared" si="112"/>
        <v>0</v>
      </c>
    </row>
    <row r="838" spans="2:26">
      <c r="B838" t="str">
        <f t="shared" si="110"/>
        <v>BLUE</v>
      </c>
      <c r="C838" s="6">
        <f t="shared" si="113"/>
        <v>454</v>
      </c>
      <c r="I838">
        <f t="shared" si="114"/>
        <v>0</v>
      </c>
      <c r="N838" s="59">
        <f t="shared" si="108"/>
        <v>0</v>
      </c>
      <c r="O838" s="59">
        <f t="shared" si="109"/>
        <v>0</v>
      </c>
      <c r="T838">
        <f t="shared" si="115"/>
        <v>0</v>
      </c>
      <c r="Y838">
        <f t="shared" si="111"/>
        <v>0</v>
      </c>
      <c r="Z838">
        <f t="shared" si="112"/>
        <v>0</v>
      </c>
    </row>
    <row r="839" spans="2:26">
      <c r="B839" t="str">
        <f t="shared" si="110"/>
        <v>BLUE</v>
      </c>
      <c r="C839" s="6">
        <f t="shared" si="113"/>
        <v>455</v>
      </c>
      <c r="I839">
        <f t="shared" si="114"/>
        <v>0</v>
      </c>
      <c r="N839" s="59">
        <f t="shared" si="108"/>
        <v>0</v>
      </c>
      <c r="O839" s="59">
        <f t="shared" si="109"/>
        <v>0</v>
      </c>
      <c r="T839">
        <f t="shared" si="115"/>
        <v>0</v>
      </c>
      <c r="Y839">
        <f t="shared" si="111"/>
        <v>0</v>
      </c>
      <c r="Z839">
        <f t="shared" si="112"/>
        <v>0</v>
      </c>
    </row>
    <row r="840" spans="2:26">
      <c r="B840" t="str">
        <f t="shared" si="110"/>
        <v>BLUE</v>
      </c>
      <c r="C840" s="6">
        <f t="shared" si="113"/>
        <v>456</v>
      </c>
      <c r="I840">
        <f t="shared" si="114"/>
        <v>0</v>
      </c>
      <c r="N840" s="59">
        <f t="shared" si="108"/>
        <v>0</v>
      </c>
      <c r="O840" s="59">
        <f t="shared" si="109"/>
        <v>0</v>
      </c>
      <c r="T840">
        <f t="shared" si="115"/>
        <v>0</v>
      </c>
      <c r="Y840">
        <f t="shared" si="111"/>
        <v>0</v>
      </c>
      <c r="Z840">
        <f t="shared" si="112"/>
        <v>0</v>
      </c>
    </row>
    <row r="841" spans="2:26">
      <c r="B841" t="str">
        <f t="shared" si="110"/>
        <v>BLUE</v>
      </c>
      <c r="C841" s="6">
        <f t="shared" si="113"/>
        <v>457</v>
      </c>
      <c r="I841">
        <f t="shared" si="114"/>
        <v>0</v>
      </c>
      <c r="N841" s="59">
        <f t="shared" ref="N841:N904" si="116">SUM($J841:$M841)</f>
        <v>0</v>
      </c>
      <c r="O841" s="59">
        <f t="shared" ref="O841:O904" si="117">SUM($I841, $N841)</f>
        <v>0</v>
      </c>
      <c r="T841">
        <f t="shared" si="115"/>
        <v>0</v>
      </c>
      <c r="Y841">
        <f t="shared" si="111"/>
        <v>0</v>
      </c>
      <c r="Z841">
        <f t="shared" si="112"/>
        <v>0</v>
      </c>
    </row>
    <row r="842" spans="2:26">
      <c r="B842" t="str">
        <f t="shared" si="110"/>
        <v>BLUE</v>
      </c>
      <c r="C842" s="6">
        <f t="shared" si="113"/>
        <v>458</v>
      </c>
      <c r="I842">
        <f t="shared" si="114"/>
        <v>0</v>
      </c>
      <c r="N842" s="59">
        <f t="shared" si="116"/>
        <v>0</v>
      </c>
      <c r="O842" s="59">
        <f t="shared" si="117"/>
        <v>0</v>
      </c>
      <c r="T842">
        <f t="shared" si="115"/>
        <v>0</v>
      </c>
      <c r="Y842">
        <f t="shared" si="111"/>
        <v>0</v>
      </c>
      <c r="Z842">
        <f t="shared" si="112"/>
        <v>0</v>
      </c>
    </row>
    <row r="843" spans="2:26">
      <c r="B843" t="str">
        <f t="shared" si="110"/>
        <v>BLUE</v>
      </c>
      <c r="C843" s="6">
        <f t="shared" si="113"/>
        <v>459</v>
      </c>
      <c r="I843">
        <f t="shared" si="114"/>
        <v>0</v>
      </c>
      <c r="N843" s="59">
        <f t="shared" si="116"/>
        <v>0</v>
      </c>
      <c r="O843" s="59">
        <f t="shared" si="117"/>
        <v>0</v>
      </c>
      <c r="T843">
        <f t="shared" si="115"/>
        <v>0</v>
      </c>
      <c r="Y843">
        <f t="shared" si="111"/>
        <v>0</v>
      </c>
      <c r="Z843">
        <f t="shared" si="112"/>
        <v>0</v>
      </c>
    </row>
    <row r="844" spans="2:26">
      <c r="B844" t="str">
        <f t="shared" si="110"/>
        <v>BLUE</v>
      </c>
      <c r="C844" s="6">
        <f t="shared" si="113"/>
        <v>460</v>
      </c>
      <c r="I844">
        <f t="shared" si="114"/>
        <v>0</v>
      </c>
      <c r="N844" s="59">
        <f t="shared" si="116"/>
        <v>0</v>
      </c>
      <c r="O844" s="59">
        <f t="shared" si="117"/>
        <v>0</v>
      </c>
      <c r="T844">
        <f t="shared" si="115"/>
        <v>0</v>
      </c>
      <c r="Y844">
        <f t="shared" si="111"/>
        <v>0</v>
      </c>
      <c r="Z844">
        <f t="shared" si="112"/>
        <v>0</v>
      </c>
    </row>
    <row r="845" spans="2:26">
      <c r="B845" t="str">
        <f t="shared" si="110"/>
        <v>BLUE</v>
      </c>
      <c r="C845" s="6">
        <f t="shared" si="113"/>
        <v>461</v>
      </c>
      <c r="I845">
        <f t="shared" si="114"/>
        <v>0</v>
      </c>
      <c r="N845" s="59">
        <f t="shared" si="116"/>
        <v>0</v>
      </c>
      <c r="O845" s="59">
        <f t="shared" si="117"/>
        <v>0</v>
      </c>
      <c r="T845">
        <f t="shared" si="115"/>
        <v>0</v>
      </c>
      <c r="Y845">
        <f t="shared" si="111"/>
        <v>0</v>
      </c>
      <c r="Z845">
        <f t="shared" si="112"/>
        <v>0</v>
      </c>
    </row>
    <row r="846" spans="2:26">
      <c r="B846" t="str">
        <f t="shared" si="110"/>
        <v>BLUE</v>
      </c>
      <c r="C846" s="6">
        <f t="shared" si="113"/>
        <v>462</v>
      </c>
      <c r="I846">
        <f t="shared" si="114"/>
        <v>0</v>
      </c>
      <c r="N846" s="59">
        <f t="shared" si="116"/>
        <v>0</v>
      </c>
      <c r="O846" s="59">
        <f t="shared" si="117"/>
        <v>0</v>
      </c>
      <c r="T846">
        <f t="shared" si="115"/>
        <v>0</v>
      </c>
      <c r="Y846">
        <f t="shared" si="111"/>
        <v>0</v>
      </c>
      <c r="Z846">
        <f t="shared" si="112"/>
        <v>0</v>
      </c>
    </row>
    <row r="847" spans="2:26">
      <c r="B847" t="str">
        <f t="shared" si="110"/>
        <v>BLUE</v>
      </c>
      <c r="C847" s="6">
        <f t="shared" si="113"/>
        <v>463</v>
      </c>
      <c r="I847">
        <f t="shared" si="114"/>
        <v>0</v>
      </c>
      <c r="N847" s="59">
        <f t="shared" si="116"/>
        <v>0</v>
      </c>
      <c r="O847" s="59">
        <f t="shared" si="117"/>
        <v>0</v>
      </c>
      <c r="T847">
        <f t="shared" si="115"/>
        <v>0</v>
      </c>
      <c r="Y847">
        <f t="shared" si="111"/>
        <v>0</v>
      </c>
      <c r="Z847">
        <f t="shared" si="112"/>
        <v>0</v>
      </c>
    </row>
    <row r="848" spans="2:26">
      <c r="B848" t="str">
        <f t="shared" si="110"/>
        <v>BLUE</v>
      </c>
      <c r="C848" s="6">
        <f t="shared" si="113"/>
        <v>464</v>
      </c>
      <c r="I848">
        <f t="shared" si="114"/>
        <v>0</v>
      </c>
      <c r="N848" s="59">
        <f t="shared" si="116"/>
        <v>0</v>
      </c>
      <c r="O848" s="59">
        <f t="shared" si="117"/>
        <v>0</v>
      </c>
      <c r="T848">
        <f t="shared" si="115"/>
        <v>0</v>
      </c>
      <c r="Y848">
        <f t="shared" si="111"/>
        <v>0</v>
      </c>
      <c r="Z848">
        <f t="shared" si="112"/>
        <v>0</v>
      </c>
    </row>
    <row r="849" spans="2:26">
      <c r="B849" t="str">
        <f t="shared" si="110"/>
        <v>BLUE</v>
      </c>
      <c r="C849" s="6">
        <f t="shared" si="113"/>
        <v>465</v>
      </c>
      <c r="I849">
        <f t="shared" si="114"/>
        <v>0</v>
      </c>
      <c r="N849" s="59">
        <f t="shared" si="116"/>
        <v>0</v>
      </c>
      <c r="O849" s="59">
        <f t="shared" si="117"/>
        <v>0</v>
      </c>
      <c r="T849">
        <f t="shared" si="115"/>
        <v>0</v>
      </c>
      <c r="Y849">
        <f t="shared" si="111"/>
        <v>0</v>
      </c>
      <c r="Z849">
        <f t="shared" si="112"/>
        <v>0</v>
      </c>
    </row>
    <row r="850" spans="2:26">
      <c r="B850" t="str">
        <f t="shared" si="110"/>
        <v>BLUE</v>
      </c>
      <c r="C850" s="6">
        <f t="shared" si="113"/>
        <v>466</v>
      </c>
      <c r="I850">
        <f t="shared" si="114"/>
        <v>0</v>
      </c>
      <c r="N850" s="59">
        <f t="shared" si="116"/>
        <v>0</v>
      </c>
      <c r="O850" s="59">
        <f t="shared" si="117"/>
        <v>0</v>
      </c>
      <c r="T850">
        <f t="shared" si="115"/>
        <v>0</v>
      </c>
      <c r="Y850">
        <f t="shared" si="111"/>
        <v>0</v>
      </c>
      <c r="Z850">
        <f t="shared" si="112"/>
        <v>0</v>
      </c>
    </row>
    <row r="851" spans="2:26">
      <c r="B851" t="str">
        <f t="shared" ref="B851:B914" si="118">B850</f>
        <v>BLUE</v>
      </c>
      <c r="C851" s="6">
        <f t="shared" si="113"/>
        <v>467</v>
      </c>
      <c r="I851">
        <f t="shared" si="114"/>
        <v>0</v>
      </c>
      <c r="N851" s="59">
        <f t="shared" si="116"/>
        <v>0</v>
      </c>
      <c r="O851" s="59">
        <f t="shared" si="117"/>
        <v>0</v>
      </c>
      <c r="T851">
        <f t="shared" si="115"/>
        <v>0</v>
      </c>
      <c r="Y851">
        <f t="shared" si="111"/>
        <v>0</v>
      </c>
      <c r="Z851">
        <f t="shared" si="112"/>
        <v>0</v>
      </c>
    </row>
    <row r="852" spans="2:26">
      <c r="B852" t="str">
        <f t="shared" si="118"/>
        <v>BLUE</v>
      </c>
      <c r="C852" s="6">
        <f t="shared" si="113"/>
        <v>468</v>
      </c>
      <c r="I852">
        <f t="shared" si="114"/>
        <v>0</v>
      </c>
      <c r="N852" s="59">
        <f t="shared" si="116"/>
        <v>0</v>
      </c>
      <c r="O852" s="59">
        <f t="shared" si="117"/>
        <v>0</v>
      </c>
      <c r="T852">
        <f t="shared" si="115"/>
        <v>0</v>
      </c>
      <c r="Y852">
        <f t="shared" si="111"/>
        <v>0</v>
      </c>
      <c r="Z852">
        <f t="shared" si="112"/>
        <v>0</v>
      </c>
    </row>
    <row r="853" spans="2:26">
      <c r="B853" t="str">
        <f t="shared" si="118"/>
        <v>BLUE</v>
      </c>
      <c r="C853" s="6">
        <f t="shared" si="113"/>
        <v>469</v>
      </c>
      <c r="I853">
        <f t="shared" si="114"/>
        <v>0</v>
      </c>
      <c r="N853" s="59">
        <f t="shared" si="116"/>
        <v>0</v>
      </c>
      <c r="O853" s="59">
        <f t="shared" si="117"/>
        <v>0</v>
      </c>
      <c r="T853">
        <f t="shared" si="115"/>
        <v>0</v>
      </c>
      <c r="Y853">
        <f t="shared" si="111"/>
        <v>0</v>
      </c>
      <c r="Z853">
        <f t="shared" si="112"/>
        <v>0</v>
      </c>
    </row>
    <row r="854" spans="2:26">
      <c r="B854" t="str">
        <f t="shared" si="118"/>
        <v>BLUE</v>
      </c>
      <c r="C854" s="6">
        <f t="shared" si="113"/>
        <v>470</v>
      </c>
      <c r="I854">
        <f t="shared" si="114"/>
        <v>0</v>
      </c>
      <c r="N854" s="59">
        <f t="shared" si="116"/>
        <v>0</v>
      </c>
      <c r="O854" s="59">
        <f t="shared" si="117"/>
        <v>0</v>
      </c>
      <c r="T854">
        <f t="shared" si="115"/>
        <v>0</v>
      </c>
      <c r="Y854">
        <f t="shared" si="111"/>
        <v>0</v>
      </c>
      <c r="Z854">
        <f t="shared" si="112"/>
        <v>0</v>
      </c>
    </row>
    <row r="855" spans="2:26">
      <c r="B855" t="str">
        <f t="shared" si="118"/>
        <v>BLUE</v>
      </c>
      <c r="C855" s="6">
        <f t="shared" si="113"/>
        <v>471</v>
      </c>
      <c r="I855">
        <f t="shared" si="114"/>
        <v>0</v>
      </c>
      <c r="N855" s="59">
        <f t="shared" si="116"/>
        <v>0</v>
      </c>
      <c r="O855" s="59">
        <f t="shared" si="117"/>
        <v>0</v>
      </c>
      <c r="T855">
        <f t="shared" si="115"/>
        <v>0</v>
      </c>
      <c r="Y855">
        <f t="shared" si="111"/>
        <v>0</v>
      </c>
      <c r="Z855">
        <f t="shared" si="112"/>
        <v>0</v>
      </c>
    </row>
    <row r="856" spans="2:26">
      <c r="B856" t="str">
        <f t="shared" si="118"/>
        <v>BLUE</v>
      </c>
      <c r="C856" s="6">
        <f t="shared" si="113"/>
        <v>472</v>
      </c>
      <c r="I856">
        <f t="shared" si="114"/>
        <v>0</v>
      </c>
      <c r="N856" s="59">
        <f t="shared" si="116"/>
        <v>0</v>
      </c>
      <c r="O856" s="59">
        <f t="shared" si="117"/>
        <v>0</v>
      </c>
      <c r="T856">
        <f t="shared" si="115"/>
        <v>0</v>
      </c>
      <c r="Y856">
        <f t="shared" si="111"/>
        <v>0</v>
      </c>
      <c r="Z856">
        <f t="shared" si="112"/>
        <v>0</v>
      </c>
    </row>
    <row r="857" spans="2:26">
      <c r="B857" t="str">
        <f t="shared" si="118"/>
        <v>BLUE</v>
      </c>
      <c r="C857" s="6">
        <f t="shared" si="113"/>
        <v>473</v>
      </c>
      <c r="I857">
        <f t="shared" si="114"/>
        <v>0</v>
      </c>
      <c r="N857" s="59">
        <f t="shared" si="116"/>
        <v>0</v>
      </c>
      <c r="O857" s="59">
        <f t="shared" si="117"/>
        <v>0</v>
      </c>
      <c r="T857">
        <f t="shared" si="115"/>
        <v>0</v>
      </c>
      <c r="Y857">
        <f t="shared" si="111"/>
        <v>0</v>
      </c>
      <c r="Z857">
        <f t="shared" si="112"/>
        <v>0</v>
      </c>
    </row>
    <row r="858" spans="2:26">
      <c r="B858" t="str">
        <f t="shared" si="118"/>
        <v>BLUE</v>
      </c>
      <c r="C858" s="6">
        <f t="shared" si="113"/>
        <v>474</v>
      </c>
      <c r="I858">
        <f t="shared" si="114"/>
        <v>0</v>
      </c>
      <c r="N858" s="59">
        <f t="shared" si="116"/>
        <v>0</v>
      </c>
      <c r="O858" s="59">
        <f t="shared" si="117"/>
        <v>0</v>
      </c>
      <c r="T858">
        <f t="shared" si="115"/>
        <v>0</v>
      </c>
      <c r="Y858">
        <f t="shared" si="111"/>
        <v>0</v>
      </c>
      <c r="Z858">
        <f t="shared" si="112"/>
        <v>0</v>
      </c>
    </row>
    <row r="859" spans="2:26">
      <c r="B859" t="str">
        <f t="shared" si="118"/>
        <v>BLUE</v>
      </c>
      <c r="C859" s="6">
        <f t="shared" si="113"/>
        <v>475</v>
      </c>
      <c r="I859">
        <f t="shared" si="114"/>
        <v>0</v>
      </c>
      <c r="N859" s="59">
        <f t="shared" si="116"/>
        <v>0</v>
      </c>
      <c r="O859" s="59">
        <f t="shared" si="117"/>
        <v>0</v>
      </c>
      <c r="T859">
        <f t="shared" si="115"/>
        <v>0</v>
      </c>
      <c r="Y859">
        <f t="shared" si="111"/>
        <v>0</v>
      </c>
      <c r="Z859">
        <f t="shared" si="112"/>
        <v>0</v>
      </c>
    </row>
    <row r="860" spans="2:26">
      <c r="B860" t="str">
        <f t="shared" si="118"/>
        <v>BLUE</v>
      </c>
      <c r="C860" s="6">
        <f t="shared" si="113"/>
        <v>476</v>
      </c>
      <c r="I860">
        <f t="shared" si="114"/>
        <v>0</v>
      </c>
      <c r="N860" s="59">
        <f t="shared" si="116"/>
        <v>0</v>
      </c>
      <c r="O860" s="59">
        <f t="shared" si="117"/>
        <v>0</v>
      </c>
      <c r="T860">
        <f t="shared" si="115"/>
        <v>0</v>
      </c>
      <c r="Y860">
        <f t="shared" si="111"/>
        <v>0</v>
      </c>
      <c r="Z860">
        <f t="shared" si="112"/>
        <v>0</v>
      </c>
    </row>
    <row r="861" spans="2:26">
      <c r="B861" t="str">
        <f t="shared" si="118"/>
        <v>BLUE</v>
      </c>
      <c r="C861" s="6">
        <f t="shared" si="113"/>
        <v>477</v>
      </c>
      <c r="I861">
        <f t="shared" si="114"/>
        <v>0</v>
      </c>
      <c r="N861" s="59">
        <f t="shared" si="116"/>
        <v>0</v>
      </c>
      <c r="O861" s="59">
        <f t="shared" si="117"/>
        <v>0</v>
      </c>
      <c r="T861">
        <f t="shared" si="115"/>
        <v>0</v>
      </c>
      <c r="Y861">
        <f t="shared" si="111"/>
        <v>0</v>
      </c>
      <c r="Z861">
        <f t="shared" si="112"/>
        <v>0</v>
      </c>
    </row>
    <row r="862" spans="2:26">
      <c r="B862" t="str">
        <f t="shared" si="118"/>
        <v>BLUE</v>
      </c>
      <c r="C862" s="6">
        <f t="shared" si="113"/>
        <v>478</v>
      </c>
      <c r="I862">
        <f t="shared" si="114"/>
        <v>0</v>
      </c>
      <c r="N862" s="59">
        <f t="shared" si="116"/>
        <v>0</v>
      </c>
      <c r="O862" s="59">
        <f t="shared" si="117"/>
        <v>0</v>
      </c>
      <c r="T862">
        <f t="shared" si="115"/>
        <v>0</v>
      </c>
      <c r="Y862">
        <f t="shared" si="111"/>
        <v>0</v>
      </c>
      <c r="Z862">
        <f t="shared" si="112"/>
        <v>0</v>
      </c>
    </row>
    <row r="863" spans="2:26">
      <c r="B863" t="str">
        <f t="shared" si="118"/>
        <v>BLUE</v>
      </c>
      <c r="C863" s="6">
        <f t="shared" si="113"/>
        <v>479</v>
      </c>
      <c r="I863">
        <f t="shared" si="114"/>
        <v>0</v>
      </c>
      <c r="N863" s="59">
        <f t="shared" si="116"/>
        <v>0</v>
      </c>
      <c r="O863" s="59">
        <f t="shared" si="117"/>
        <v>0</v>
      </c>
      <c r="T863">
        <f t="shared" si="115"/>
        <v>0</v>
      </c>
      <c r="Y863">
        <f t="shared" si="111"/>
        <v>0</v>
      </c>
      <c r="Z863">
        <f t="shared" si="112"/>
        <v>0</v>
      </c>
    </row>
    <row r="864" spans="2:26">
      <c r="B864" t="str">
        <f t="shared" si="118"/>
        <v>BLUE</v>
      </c>
      <c r="C864" s="6">
        <f t="shared" si="113"/>
        <v>480</v>
      </c>
      <c r="I864">
        <f t="shared" si="114"/>
        <v>0</v>
      </c>
      <c r="N864" s="59">
        <f t="shared" si="116"/>
        <v>0</v>
      </c>
      <c r="O864" s="59">
        <f t="shared" si="117"/>
        <v>0</v>
      </c>
      <c r="T864">
        <f t="shared" si="115"/>
        <v>0</v>
      </c>
      <c r="Y864">
        <f t="shared" si="111"/>
        <v>0</v>
      </c>
      <c r="Z864">
        <f t="shared" si="112"/>
        <v>0</v>
      </c>
    </row>
    <row r="865" spans="2:26">
      <c r="B865" t="str">
        <f t="shared" si="118"/>
        <v>BLUE</v>
      </c>
      <c r="C865" s="6">
        <f t="shared" si="113"/>
        <v>481</v>
      </c>
      <c r="I865">
        <f t="shared" si="114"/>
        <v>0</v>
      </c>
      <c r="N865" s="59">
        <f t="shared" si="116"/>
        <v>0</v>
      </c>
      <c r="O865" s="59">
        <f t="shared" si="117"/>
        <v>0</v>
      </c>
      <c r="T865">
        <f t="shared" si="115"/>
        <v>0</v>
      </c>
      <c r="Y865">
        <f t="shared" si="111"/>
        <v>0</v>
      </c>
      <c r="Z865">
        <f t="shared" si="112"/>
        <v>0</v>
      </c>
    </row>
    <row r="866" spans="2:26">
      <c r="B866" t="str">
        <f t="shared" si="118"/>
        <v>BLUE</v>
      </c>
      <c r="C866" s="6">
        <f t="shared" si="113"/>
        <v>482</v>
      </c>
      <c r="I866">
        <f t="shared" si="114"/>
        <v>0</v>
      </c>
      <c r="N866" s="59">
        <f t="shared" si="116"/>
        <v>0</v>
      </c>
      <c r="O866" s="59">
        <f t="shared" si="117"/>
        <v>0</v>
      </c>
      <c r="T866">
        <f t="shared" si="115"/>
        <v>0</v>
      </c>
      <c r="Y866">
        <f t="shared" si="111"/>
        <v>0</v>
      </c>
      <c r="Z866">
        <f t="shared" si="112"/>
        <v>0</v>
      </c>
    </row>
    <row r="867" spans="2:26">
      <c r="B867" t="str">
        <f t="shared" si="118"/>
        <v>BLUE</v>
      </c>
      <c r="C867" s="6">
        <f t="shared" si="113"/>
        <v>483</v>
      </c>
      <c r="I867">
        <f t="shared" si="114"/>
        <v>0</v>
      </c>
      <c r="N867" s="59">
        <f t="shared" si="116"/>
        <v>0</v>
      </c>
      <c r="O867" s="59">
        <f t="shared" si="117"/>
        <v>0</v>
      </c>
      <c r="T867">
        <f t="shared" si="115"/>
        <v>0</v>
      </c>
      <c r="Y867">
        <f t="shared" si="111"/>
        <v>0</v>
      </c>
      <c r="Z867">
        <f t="shared" si="112"/>
        <v>0</v>
      </c>
    </row>
    <row r="868" spans="2:26">
      <c r="B868" t="str">
        <f t="shared" si="118"/>
        <v>BLUE</v>
      </c>
      <c r="C868" s="6">
        <f t="shared" si="113"/>
        <v>484</v>
      </c>
      <c r="I868">
        <f t="shared" si="114"/>
        <v>0</v>
      </c>
      <c r="N868" s="59">
        <f t="shared" si="116"/>
        <v>0</v>
      </c>
      <c r="O868" s="59">
        <f t="shared" si="117"/>
        <v>0</v>
      </c>
      <c r="T868">
        <f t="shared" si="115"/>
        <v>0</v>
      </c>
      <c r="Y868">
        <f t="shared" si="111"/>
        <v>0</v>
      </c>
      <c r="Z868">
        <f t="shared" si="112"/>
        <v>0</v>
      </c>
    </row>
    <row r="869" spans="2:26">
      <c r="B869" t="str">
        <f t="shared" si="118"/>
        <v>BLUE</v>
      </c>
      <c r="C869" s="6">
        <f t="shared" si="113"/>
        <v>485</v>
      </c>
      <c r="I869">
        <f t="shared" si="114"/>
        <v>0</v>
      </c>
      <c r="N869" s="59">
        <f t="shared" si="116"/>
        <v>0</v>
      </c>
      <c r="O869" s="59">
        <f t="shared" si="117"/>
        <v>0</v>
      </c>
      <c r="T869">
        <f t="shared" si="115"/>
        <v>0</v>
      </c>
      <c r="Y869">
        <f t="shared" si="111"/>
        <v>0</v>
      </c>
      <c r="Z869">
        <f t="shared" si="112"/>
        <v>0</v>
      </c>
    </row>
    <row r="870" spans="2:26">
      <c r="B870" t="str">
        <f t="shared" si="118"/>
        <v>BLUE</v>
      </c>
      <c r="C870" s="6">
        <f t="shared" si="113"/>
        <v>486</v>
      </c>
      <c r="I870">
        <f t="shared" si="114"/>
        <v>0</v>
      </c>
      <c r="N870" s="59">
        <f t="shared" si="116"/>
        <v>0</v>
      </c>
      <c r="O870" s="59">
        <f t="shared" si="117"/>
        <v>0</v>
      </c>
      <c r="T870">
        <f t="shared" si="115"/>
        <v>0</v>
      </c>
      <c r="Y870">
        <f t="shared" si="111"/>
        <v>0</v>
      </c>
      <c r="Z870">
        <f t="shared" si="112"/>
        <v>0</v>
      </c>
    </row>
    <row r="871" spans="2:26">
      <c r="B871" t="str">
        <f t="shared" si="118"/>
        <v>BLUE</v>
      </c>
      <c r="C871" s="6">
        <f t="shared" si="113"/>
        <v>487</v>
      </c>
      <c r="I871">
        <f t="shared" si="114"/>
        <v>0</v>
      </c>
      <c r="N871" s="59">
        <f t="shared" si="116"/>
        <v>0</v>
      </c>
      <c r="O871" s="59">
        <f t="shared" si="117"/>
        <v>0</v>
      </c>
      <c r="T871">
        <f t="shared" si="115"/>
        <v>0</v>
      </c>
      <c r="Y871">
        <f t="shared" si="111"/>
        <v>0</v>
      </c>
      <c r="Z871">
        <f t="shared" si="112"/>
        <v>0</v>
      </c>
    </row>
    <row r="872" spans="2:26">
      <c r="B872" t="str">
        <f t="shared" si="118"/>
        <v>BLUE</v>
      </c>
      <c r="C872" s="6">
        <f t="shared" si="113"/>
        <v>488</v>
      </c>
      <c r="I872">
        <f t="shared" si="114"/>
        <v>0</v>
      </c>
      <c r="N872" s="59">
        <f t="shared" si="116"/>
        <v>0</v>
      </c>
      <c r="O872" s="59">
        <f t="shared" si="117"/>
        <v>0</v>
      </c>
      <c r="T872">
        <f t="shared" si="115"/>
        <v>0</v>
      </c>
      <c r="Y872">
        <f t="shared" si="111"/>
        <v>0</v>
      </c>
      <c r="Z872">
        <f t="shared" si="112"/>
        <v>0</v>
      </c>
    </row>
    <row r="873" spans="2:26">
      <c r="B873" t="str">
        <f t="shared" si="118"/>
        <v>BLUE</v>
      </c>
      <c r="C873" s="6">
        <f t="shared" si="113"/>
        <v>489</v>
      </c>
      <c r="I873">
        <f t="shared" si="114"/>
        <v>0</v>
      </c>
      <c r="N873" s="59">
        <f t="shared" si="116"/>
        <v>0</v>
      </c>
      <c r="O873" s="59">
        <f t="shared" si="117"/>
        <v>0</v>
      </c>
      <c r="T873">
        <f t="shared" si="115"/>
        <v>0</v>
      </c>
      <c r="Y873">
        <f t="shared" si="111"/>
        <v>0</v>
      </c>
      <c r="Z873">
        <f t="shared" si="112"/>
        <v>0</v>
      </c>
    </row>
    <row r="874" spans="2:26">
      <c r="B874" t="str">
        <f t="shared" si="118"/>
        <v>BLUE</v>
      </c>
      <c r="C874" s="6">
        <f t="shared" si="113"/>
        <v>490</v>
      </c>
      <c r="I874">
        <f t="shared" si="114"/>
        <v>0</v>
      </c>
      <c r="N874" s="59">
        <f t="shared" si="116"/>
        <v>0</v>
      </c>
      <c r="O874" s="59">
        <f t="shared" si="117"/>
        <v>0</v>
      </c>
      <c r="T874">
        <f t="shared" si="115"/>
        <v>0</v>
      </c>
      <c r="Y874">
        <f t="shared" si="111"/>
        <v>0</v>
      </c>
      <c r="Z874">
        <f t="shared" si="112"/>
        <v>0</v>
      </c>
    </row>
    <row r="875" spans="2:26">
      <c r="B875" t="str">
        <f t="shared" si="118"/>
        <v>BLUE</v>
      </c>
      <c r="C875" s="6">
        <f t="shared" si="113"/>
        <v>491</v>
      </c>
      <c r="I875">
        <f t="shared" si="114"/>
        <v>0</v>
      </c>
      <c r="N875" s="59">
        <f t="shared" si="116"/>
        <v>0</v>
      </c>
      <c r="O875" s="59">
        <f t="shared" si="117"/>
        <v>0</v>
      </c>
      <c r="T875">
        <f t="shared" si="115"/>
        <v>0</v>
      </c>
      <c r="Y875">
        <f t="shared" si="111"/>
        <v>0</v>
      </c>
      <c r="Z875">
        <f t="shared" si="112"/>
        <v>0</v>
      </c>
    </row>
    <row r="876" spans="2:26">
      <c r="B876" t="str">
        <f t="shared" si="118"/>
        <v>BLUE</v>
      </c>
      <c r="C876" s="6">
        <f t="shared" si="113"/>
        <v>492</v>
      </c>
      <c r="I876">
        <f t="shared" si="114"/>
        <v>0</v>
      </c>
      <c r="N876" s="59">
        <f t="shared" si="116"/>
        <v>0</v>
      </c>
      <c r="O876" s="59">
        <f t="shared" si="117"/>
        <v>0</v>
      </c>
      <c r="T876">
        <f t="shared" si="115"/>
        <v>0</v>
      </c>
      <c r="Y876">
        <f t="shared" si="111"/>
        <v>0</v>
      </c>
      <c r="Z876">
        <f t="shared" si="112"/>
        <v>0</v>
      </c>
    </row>
    <row r="877" spans="2:26">
      <c r="B877" t="str">
        <f t="shared" si="118"/>
        <v>BLUE</v>
      </c>
      <c r="C877" s="6">
        <f t="shared" si="113"/>
        <v>493</v>
      </c>
      <c r="I877">
        <f t="shared" si="114"/>
        <v>0</v>
      </c>
      <c r="N877" s="59">
        <f t="shared" si="116"/>
        <v>0</v>
      </c>
      <c r="O877" s="59">
        <f t="shared" si="117"/>
        <v>0</v>
      </c>
      <c r="T877">
        <f t="shared" si="115"/>
        <v>0</v>
      </c>
      <c r="Y877">
        <f t="shared" si="111"/>
        <v>0</v>
      </c>
      <c r="Z877">
        <f t="shared" si="112"/>
        <v>0</v>
      </c>
    </row>
    <row r="878" spans="2:26">
      <c r="B878" t="str">
        <f t="shared" si="118"/>
        <v>BLUE</v>
      </c>
      <c r="C878" s="6">
        <f t="shared" si="113"/>
        <v>494</v>
      </c>
      <c r="I878">
        <f t="shared" si="114"/>
        <v>0</v>
      </c>
      <c r="N878" s="59">
        <f t="shared" si="116"/>
        <v>0</v>
      </c>
      <c r="O878" s="59">
        <f t="shared" si="117"/>
        <v>0</v>
      </c>
      <c r="T878">
        <f t="shared" si="115"/>
        <v>0</v>
      </c>
      <c r="Y878">
        <f t="shared" ref="Y878:Y928" si="119">SUM($U878:$X878)</f>
        <v>0</v>
      </c>
      <c r="Z878">
        <f t="shared" ref="Z878:Z928" si="120">SUM($T878,$Y878)</f>
        <v>0</v>
      </c>
    </row>
    <row r="879" spans="2:26">
      <c r="B879" t="str">
        <f t="shared" si="118"/>
        <v>BLUE</v>
      </c>
      <c r="C879" s="6">
        <f t="shared" si="113"/>
        <v>495</v>
      </c>
      <c r="I879">
        <f t="shared" si="114"/>
        <v>0</v>
      </c>
      <c r="N879" s="59">
        <f t="shared" si="116"/>
        <v>0</v>
      </c>
      <c r="O879" s="59">
        <f t="shared" si="117"/>
        <v>0</v>
      </c>
      <c r="T879">
        <f t="shared" si="115"/>
        <v>0</v>
      </c>
      <c r="Y879">
        <f t="shared" si="119"/>
        <v>0</v>
      </c>
      <c r="Z879">
        <f t="shared" si="120"/>
        <v>0</v>
      </c>
    </row>
    <row r="880" spans="2:26">
      <c r="B880" t="str">
        <f t="shared" si="118"/>
        <v>BLUE</v>
      </c>
      <c r="C880" s="6">
        <f t="shared" si="113"/>
        <v>496</v>
      </c>
      <c r="I880">
        <f t="shared" si="114"/>
        <v>0</v>
      </c>
      <c r="N880" s="59">
        <f t="shared" si="116"/>
        <v>0</v>
      </c>
      <c r="O880" s="59">
        <f t="shared" si="117"/>
        <v>0</v>
      </c>
      <c r="T880">
        <f t="shared" si="115"/>
        <v>0</v>
      </c>
      <c r="Y880">
        <f t="shared" si="119"/>
        <v>0</v>
      </c>
      <c r="Z880">
        <f t="shared" si="120"/>
        <v>0</v>
      </c>
    </row>
    <row r="881" spans="2:26">
      <c r="B881" t="str">
        <f t="shared" si="118"/>
        <v>BLUE</v>
      </c>
      <c r="C881" s="6">
        <f t="shared" si="113"/>
        <v>497</v>
      </c>
      <c r="I881">
        <f t="shared" si="114"/>
        <v>0</v>
      </c>
      <c r="N881" s="59">
        <f t="shared" si="116"/>
        <v>0</v>
      </c>
      <c r="O881" s="59">
        <f t="shared" si="117"/>
        <v>0</v>
      </c>
      <c r="T881">
        <f t="shared" si="115"/>
        <v>0</v>
      </c>
      <c r="Y881">
        <f t="shared" si="119"/>
        <v>0</v>
      </c>
      <c r="Z881">
        <f t="shared" si="120"/>
        <v>0</v>
      </c>
    </row>
    <row r="882" spans="2:26">
      <c r="B882" t="str">
        <f t="shared" si="118"/>
        <v>BLUE</v>
      </c>
      <c r="C882" s="6">
        <f t="shared" si="113"/>
        <v>498</v>
      </c>
      <c r="I882">
        <f t="shared" si="114"/>
        <v>0</v>
      </c>
      <c r="N882" s="59">
        <f t="shared" si="116"/>
        <v>0</v>
      </c>
      <c r="O882" s="59">
        <f t="shared" si="117"/>
        <v>0</v>
      </c>
      <c r="T882">
        <f t="shared" si="115"/>
        <v>0</v>
      </c>
      <c r="Y882">
        <f t="shared" si="119"/>
        <v>0</v>
      </c>
      <c r="Z882">
        <f t="shared" si="120"/>
        <v>0</v>
      </c>
    </row>
    <row r="883" spans="2:26">
      <c r="B883" t="str">
        <f t="shared" si="118"/>
        <v>BLUE</v>
      </c>
      <c r="C883" s="6">
        <f t="shared" si="113"/>
        <v>499</v>
      </c>
      <c r="I883">
        <f t="shared" si="114"/>
        <v>0</v>
      </c>
      <c r="N883" s="59">
        <f t="shared" si="116"/>
        <v>0</v>
      </c>
      <c r="O883" s="59">
        <f t="shared" si="117"/>
        <v>0</v>
      </c>
      <c r="T883">
        <f t="shared" si="115"/>
        <v>0</v>
      </c>
      <c r="Y883">
        <f t="shared" si="119"/>
        <v>0</v>
      </c>
      <c r="Z883">
        <f t="shared" si="120"/>
        <v>0</v>
      </c>
    </row>
    <row r="884" spans="2:26">
      <c r="B884" t="str">
        <f t="shared" si="118"/>
        <v>BLUE</v>
      </c>
      <c r="C884" s="6">
        <f t="shared" si="113"/>
        <v>500</v>
      </c>
      <c r="I884">
        <f t="shared" si="114"/>
        <v>0</v>
      </c>
      <c r="N884" s="59">
        <f t="shared" si="116"/>
        <v>0</v>
      </c>
      <c r="O884" s="59">
        <f t="shared" si="117"/>
        <v>0</v>
      </c>
      <c r="T884">
        <f t="shared" si="115"/>
        <v>0</v>
      </c>
      <c r="Y884">
        <f t="shared" si="119"/>
        <v>0</v>
      </c>
      <c r="Z884">
        <f t="shared" si="120"/>
        <v>0</v>
      </c>
    </row>
    <row r="885" spans="2:26">
      <c r="B885" t="str">
        <f t="shared" si="118"/>
        <v>BLUE</v>
      </c>
      <c r="C885" s="6">
        <f t="shared" ref="C885:C928" si="121">C884+1</f>
        <v>501</v>
      </c>
      <c r="I885">
        <f t="shared" si="114"/>
        <v>0</v>
      </c>
      <c r="N885" s="59">
        <f t="shared" si="116"/>
        <v>0</v>
      </c>
      <c r="O885" s="59">
        <f t="shared" si="117"/>
        <v>0</v>
      </c>
      <c r="T885">
        <f t="shared" si="115"/>
        <v>0</v>
      </c>
      <c r="Y885">
        <f t="shared" si="119"/>
        <v>0</v>
      </c>
      <c r="Z885">
        <f t="shared" si="120"/>
        <v>0</v>
      </c>
    </row>
    <row r="886" spans="2:26">
      <c r="B886" t="str">
        <f t="shared" si="118"/>
        <v>BLUE</v>
      </c>
      <c r="C886" s="6">
        <f t="shared" si="121"/>
        <v>502</v>
      </c>
      <c r="I886">
        <f t="shared" si="114"/>
        <v>0</v>
      </c>
      <c r="N886" s="59">
        <f t="shared" si="116"/>
        <v>0</v>
      </c>
      <c r="O886" s="59">
        <f t="shared" si="117"/>
        <v>0</v>
      </c>
      <c r="T886">
        <f t="shared" si="115"/>
        <v>0</v>
      </c>
      <c r="Y886">
        <f t="shared" si="119"/>
        <v>0</v>
      </c>
      <c r="Z886">
        <f t="shared" si="120"/>
        <v>0</v>
      </c>
    </row>
    <row r="887" spans="2:26">
      <c r="B887" t="str">
        <f t="shared" si="118"/>
        <v>BLUE</v>
      </c>
      <c r="C887" s="6">
        <f t="shared" si="121"/>
        <v>503</v>
      </c>
      <c r="I887">
        <f t="shared" si="114"/>
        <v>0</v>
      </c>
      <c r="N887" s="59">
        <f t="shared" si="116"/>
        <v>0</v>
      </c>
      <c r="O887" s="59">
        <f t="shared" si="117"/>
        <v>0</v>
      </c>
      <c r="T887">
        <f t="shared" si="115"/>
        <v>0</v>
      </c>
      <c r="Y887">
        <f t="shared" si="119"/>
        <v>0</v>
      </c>
      <c r="Z887">
        <f t="shared" si="120"/>
        <v>0</v>
      </c>
    </row>
    <row r="888" spans="2:26">
      <c r="B888" t="str">
        <f t="shared" si="118"/>
        <v>BLUE</v>
      </c>
      <c r="C888" s="6">
        <f t="shared" si="121"/>
        <v>504</v>
      </c>
      <c r="I888">
        <f t="shared" si="114"/>
        <v>0</v>
      </c>
      <c r="N888" s="59">
        <f t="shared" si="116"/>
        <v>0</v>
      </c>
      <c r="O888" s="59">
        <f t="shared" si="117"/>
        <v>0</v>
      </c>
      <c r="T888">
        <f t="shared" si="115"/>
        <v>0</v>
      </c>
      <c r="Y888">
        <f t="shared" si="119"/>
        <v>0</v>
      </c>
      <c r="Z888">
        <f t="shared" si="120"/>
        <v>0</v>
      </c>
    </row>
    <row r="889" spans="2:26">
      <c r="B889" t="str">
        <f t="shared" si="118"/>
        <v>BLUE</v>
      </c>
      <c r="C889" s="6">
        <f t="shared" si="121"/>
        <v>505</v>
      </c>
      <c r="I889">
        <f t="shared" si="114"/>
        <v>0</v>
      </c>
      <c r="N889" s="59">
        <f t="shared" si="116"/>
        <v>0</v>
      </c>
      <c r="O889" s="59">
        <f t="shared" si="117"/>
        <v>0</v>
      </c>
      <c r="T889">
        <f t="shared" si="115"/>
        <v>0</v>
      </c>
      <c r="Y889">
        <f t="shared" si="119"/>
        <v>0</v>
      </c>
      <c r="Z889">
        <f t="shared" si="120"/>
        <v>0</v>
      </c>
    </row>
    <row r="890" spans="2:26">
      <c r="B890" t="str">
        <f t="shared" si="118"/>
        <v>BLUE</v>
      </c>
      <c r="C890" s="6">
        <f t="shared" si="121"/>
        <v>506</v>
      </c>
      <c r="I890">
        <f t="shared" si="114"/>
        <v>0</v>
      </c>
      <c r="N890" s="59">
        <f t="shared" si="116"/>
        <v>0</v>
      </c>
      <c r="O890" s="59">
        <f t="shared" si="117"/>
        <v>0</v>
      </c>
      <c r="T890">
        <f t="shared" si="115"/>
        <v>0</v>
      </c>
      <c r="Y890">
        <f t="shared" si="119"/>
        <v>0</v>
      </c>
      <c r="Z890">
        <f t="shared" si="120"/>
        <v>0</v>
      </c>
    </row>
    <row r="891" spans="2:26">
      <c r="B891" t="str">
        <f t="shared" si="118"/>
        <v>BLUE</v>
      </c>
      <c r="C891" s="6">
        <f t="shared" si="121"/>
        <v>507</v>
      </c>
      <c r="I891">
        <f t="shared" si="114"/>
        <v>0</v>
      </c>
      <c r="N891" s="59">
        <f t="shared" si="116"/>
        <v>0</v>
      </c>
      <c r="O891" s="59">
        <f t="shared" si="117"/>
        <v>0</v>
      </c>
      <c r="T891">
        <f t="shared" si="115"/>
        <v>0</v>
      </c>
      <c r="Y891">
        <f t="shared" si="119"/>
        <v>0</v>
      </c>
      <c r="Z891">
        <f t="shared" si="120"/>
        <v>0</v>
      </c>
    </row>
    <row r="892" spans="2:26">
      <c r="B892" t="str">
        <f t="shared" si="118"/>
        <v>BLUE</v>
      </c>
      <c r="C892" s="6">
        <f t="shared" si="121"/>
        <v>508</v>
      </c>
      <c r="I892">
        <f t="shared" si="114"/>
        <v>0</v>
      </c>
      <c r="N892" s="59">
        <f t="shared" si="116"/>
        <v>0</v>
      </c>
      <c r="O892" s="59">
        <f t="shared" si="117"/>
        <v>0</v>
      </c>
      <c r="T892">
        <f t="shared" si="115"/>
        <v>0</v>
      </c>
      <c r="Y892">
        <f t="shared" si="119"/>
        <v>0</v>
      </c>
      <c r="Z892">
        <f t="shared" si="120"/>
        <v>0</v>
      </c>
    </row>
    <row r="893" spans="2:26">
      <c r="B893" t="str">
        <f t="shared" si="118"/>
        <v>BLUE</v>
      </c>
      <c r="C893" s="6">
        <f t="shared" si="121"/>
        <v>509</v>
      </c>
      <c r="I893">
        <f t="shared" si="114"/>
        <v>0</v>
      </c>
      <c r="N893" s="59">
        <f t="shared" si="116"/>
        <v>0</v>
      </c>
      <c r="O893" s="59">
        <f t="shared" si="117"/>
        <v>0</v>
      </c>
      <c r="T893">
        <f t="shared" si="115"/>
        <v>0</v>
      </c>
      <c r="Y893">
        <f t="shared" si="119"/>
        <v>0</v>
      </c>
      <c r="Z893">
        <f t="shared" si="120"/>
        <v>0</v>
      </c>
    </row>
    <row r="894" spans="2:26">
      <c r="B894" t="str">
        <f t="shared" si="118"/>
        <v>BLUE</v>
      </c>
      <c r="C894" s="6">
        <f t="shared" si="121"/>
        <v>510</v>
      </c>
      <c r="I894">
        <f t="shared" ref="I894:I928" si="122">SUM($E894:$H894)</f>
        <v>0</v>
      </c>
      <c r="N894" s="59">
        <f t="shared" si="116"/>
        <v>0</v>
      </c>
      <c r="O894" s="59">
        <f t="shared" si="117"/>
        <v>0</v>
      </c>
      <c r="T894">
        <f t="shared" ref="T894:T927" si="123">SUM($P894:$S894)</f>
        <v>0</v>
      </c>
      <c r="Y894">
        <f t="shared" si="119"/>
        <v>0</v>
      </c>
      <c r="Z894">
        <f t="shared" si="120"/>
        <v>0</v>
      </c>
    </row>
    <row r="895" spans="2:26">
      <c r="B895" t="str">
        <f t="shared" si="118"/>
        <v>BLUE</v>
      </c>
      <c r="C895" s="6">
        <f t="shared" si="121"/>
        <v>511</v>
      </c>
      <c r="I895">
        <f t="shared" si="122"/>
        <v>0</v>
      </c>
      <c r="N895" s="59">
        <f t="shared" si="116"/>
        <v>0</v>
      </c>
      <c r="O895" s="59">
        <f t="shared" si="117"/>
        <v>0</v>
      </c>
      <c r="T895">
        <f t="shared" si="123"/>
        <v>0</v>
      </c>
      <c r="Y895">
        <f t="shared" si="119"/>
        <v>0</v>
      </c>
      <c r="Z895">
        <f t="shared" si="120"/>
        <v>0</v>
      </c>
    </row>
    <row r="896" spans="2:26">
      <c r="B896" t="str">
        <f t="shared" si="118"/>
        <v>BLUE</v>
      </c>
      <c r="C896" s="6">
        <f t="shared" si="121"/>
        <v>512</v>
      </c>
      <c r="I896">
        <f t="shared" si="122"/>
        <v>0</v>
      </c>
      <c r="N896" s="59">
        <f t="shared" si="116"/>
        <v>0</v>
      </c>
      <c r="O896" s="59">
        <f t="shared" si="117"/>
        <v>0</v>
      </c>
      <c r="T896">
        <f t="shared" si="123"/>
        <v>0</v>
      </c>
      <c r="Y896">
        <f t="shared" si="119"/>
        <v>0</v>
      </c>
      <c r="Z896">
        <f t="shared" si="120"/>
        <v>0</v>
      </c>
    </row>
    <row r="897" spans="2:26">
      <c r="B897" t="str">
        <f t="shared" si="118"/>
        <v>BLUE</v>
      </c>
      <c r="C897" s="6">
        <f t="shared" si="121"/>
        <v>513</v>
      </c>
      <c r="I897">
        <f t="shared" si="122"/>
        <v>0</v>
      </c>
      <c r="N897" s="59">
        <f t="shared" si="116"/>
        <v>0</v>
      </c>
      <c r="O897" s="59">
        <f t="shared" si="117"/>
        <v>0</v>
      </c>
      <c r="T897">
        <f t="shared" si="123"/>
        <v>0</v>
      </c>
      <c r="Y897">
        <f t="shared" si="119"/>
        <v>0</v>
      </c>
      <c r="Z897">
        <f t="shared" si="120"/>
        <v>0</v>
      </c>
    </row>
    <row r="898" spans="2:26">
      <c r="B898" t="str">
        <f t="shared" si="118"/>
        <v>BLUE</v>
      </c>
      <c r="C898" s="6">
        <f t="shared" si="121"/>
        <v>514</v>
      </c>
      <c r="I898">
        <f t="shared" si="122"/>
        <v>0</v>
      </c>
      <c r="N898" s="59">
        <f t="shared" si="116"/>
        <v>0</v>
      </c>
      <c r="O898" s="59">
        <f t="shared" si="117"/>
        <v>0</v>
      </c>
      <c r="T898">
        <f t="shared" si="123"/>
        <v>0</v>
      </c>
      <c r="Y898">
        <f t="shared" si="119"/>
        <v>0</v>
      </c>
      <c r="Z898">
        <f t="shared" si="120"/>
        <v>0</v>
      </c>
    </row>
    <row r="899" spans="2:26">
      <c r="B899" t="str">
        <f t="shared" si="118"/>
        <v>BLUE</v>
      </c>
      <c r="C899" s="6">
        <f t="shared" si="121"/>
        <v>515</v>
      </c>
      <c r="I899">
        <f t="shared" si="122"/>
        <v>0</v>
      </c>
      <c r="N899" s="59">
        <f t="shared" si="116"/>
        <v>0</v>
      </c>
      <c r="O899" s="59">
        <f t="shared" si="117"/>
        <v>0</v>
      </c>
      <c r="T899">
        <f t="shared" si="123"/>
        <v>0</v>
      </c>
      <c r="Y899">
        <f t="shared" si="119"/>
        <v>0</v>
      </c>
      <c r="Z899">
        <f t="shared" si="120"/>
        <v>0</v>
      </c>
    </row>
    <row r="900" spans="2:26">
      <c r="B900" t="str">
        <f t="shared" si="118"/>
        <v>BLUE</v>
      </c>
      <c r="C900" s="6">
        <f t="shared" si="121"/>
        <v>516</v>
      </c>
      <c r="I900">
        <f t="shared" si="122"/>
        <v>0</v>
      </c>
      <c r="N900" s="59">
        <f t="shared" si="116"/>
        <v>0</v>
      </c>
      <c r="O900" s="59">
        <f t="shared" si="117"/>
        <v>0</v>
      </c>
      <c r="T900">
        <f t="shared" si="123"/>
        <v>0</v>
      </c>
      <c r="Y900">
        <f t="shared" si="119"/>
        <v>0</v>
      </c>
      <c r="Z900">
        <f t="shared" si="120"/>
        <v>0</v>
      </c>
    </row>
    <row r="901" spans="2:26">
      <c r="B901" t="str">
        <f t="shared" si="118"/>
        <v>BLUE</v>
      </c>
      <c r="C901" s="6">
        <f t="shared" si="121"/>
        <v>517</v>
      </c>
      <c r="I901">
        <f t="shared" si="122"/>
        <v>0</v>
      </c>
      <c r="N901" s="59">
        <f t="shared" si="116"/>
        <v>0</v>
      </c>
      <c r="O901" s="59">
        <f t="shared" si="117"/>
        <v>0</v>
      </c>
      <c r="T901">
        <f t="shared" si="123"/>
        <v>0</v>
      </c>
      <c r="Y901">
        <f t="shared" si="119"/>
        <v>0</v>
      </c>
      <c r="Z901">
        <f t="shared" si="120"/>
        <v>0</v>
      </c>
    </row>
    <row r="902" spans="2:26">
      <c r="B902" t="str">
        <f t="shared" si="118"/>
        <v>BLUE</v>
      </c>
      <c r="C902" s="6">
        <f t="shared" si="121"/>
        <v>518</v>
      </c>
      <c r="I902">
        <f t="shared" si="122"/>
        <v>0</v>
      </c>
      <c r="N902" s="59">
        <f t="shared" si="116"/>
        <v>0</v>
      </c>
      <c r="O902" s="59">
        <f t="shared" si="117"/>
        <v>0</v>
      </c>
      <c r="T902">
        <f t="shared" si="123"/>
        <v>0</v>
      </c>
      <c r="Y902">
        <f t="shared" si="119"/>
        <v>0</v>
      </c>
      <c r="Z902">
        <f t="shared" si="120"/>
        <v>0</v>
      </c>
    </row>
    <row r="903" spans="2:26">
      <c r="B903" t="str">
        <f t="shared" si="118"/>
        <v>BLUE</v>
      </c>
      <c r="C903" s="6">
        <f t="shared" si="121"/>
        <v>519</v>
      </c>
      <c r="I903">
        <f t="shared" si="122"/>
        <v>0</v>
      </c>
      <c r="N903" s="59">
        <f t="shared" si="116"/>
        <v>0</v>
      </c>
      <c r="O903" s="59">
        <f t="shared" si="117"/>
        <v>0</v>
      </c>
      <c r="T903">
        <f t="shared" si="123"/>
        <v>0</v>
      </c>
      <c r="Y903">
        <f t="shared" si="119"/>
        <v>0</v>
      </c>
      <c r="Z903">
        <f t="shared" si="120"/>
        <v>0</v>
      </c>
    </row>
    <row r="904" spans="2:26">
      <c r="B904" t="str">
        <f t="shared" si="118"/>
        <v>BLUE</v>
      </c>
      <c r="C904" s="6">
        <f t="shared" si="121"/>
        <v>520</v>
      </c>
      <c r="I904">
        <f t="shared" si="122"/>
        <v>0</v>
      </c>
      <c r="N904" s="59">
        <f t="shared" si="116"/>
        <v>0</v>
      </c>
      <c r="O904" s="59">
        <f t="shared" si="117"/>
        <v>0</v>
      </c>
      <c r="T904">
        <f t="shared" si="123"/>
        <v>0</v>
      </c>
      <c r="Y904">
        <f t="shared" si="119"/>
        <v>0</v>
      </c>
      <c r="Z904">
        <f t="shared" si="120"/>
        <v>0</v>
      </c>
    </row>
    <row r="905" spans="2:26">
      <c r="B905" t="str">
        <f t="shared" si="118"/>
        <v>BLUE</v>
      </c>
      <c r="C905" s="6">
        <f t="shared" si="121"/>
        <v>521</v>
      </c>
      <c r="I905">
        <f t="shared" si="122"/>
        <v>0</v>
      </c>
      <c r="N905" s="59">
        <f t="shared" ref="N905:N928" si="124">SUM($J905:$M905)</f>
        <v>0</v>
      </c>
      <c r="O905" s="59">
        <f t="shared" ref="O905:O928" si="125">SUM($I905, $N905)</f>
        <v>0</v>
      </c>
      <c r="T905">
        <f t="shared" si="123"/>
        <v>0</v>
      </c>
      <c r="Y905">
        <f t="shared" si="119"/>
        <v>0</v>
      </c>
      <c r="Z905">
        <f t="shared" si="120"/>
        <v>0</v>
      </c>
    </row>
    <row r="906" spans="2:26">
      <c r="B906" t="str">
        <f t="shared" si="118"/>
        <v>BLUE</v>
      </c>
      <c r="C906" s="6">
        <f t="shared" si="121"/>
        <v>522</v>
      </c>
      <c r="I906">
        <f t="shared" si="122"/>
        <v>0</v>
      </c>
      <c r="N906" s="59">
        <f t="shared" si="124"/>
        <v>0</v>
      </c>
      <c r="O906" s="59">
        <f t="shared" si="125"/>
        <v>0</v>
      </c>
      <c r="T906">
        <f t="shared" si="123"/>
        <v>0</v>
      </c>
      <c r="Y906">
        <f t="shared" si="119"/>
        <v>0</v>
      </c>
      <c r="Z906">
        <f t="shared" si="120"/>
        <v>0</v>
      </c>
    </row>
    <row r="907" spans="2:26">
      <c r="B907" t="str">
        <f t="shared" si="118"/>
        <v>BLUE</v>
      </c>
      <c r="C907" s="6">
        <f t="shared" si="121"/>
        <v>523</v>
      </c>
      <c r="I907">
        <f t="shared" si="122"/>
        <v>0</v>
      </c>
      <c r="N907" s="59">
        <f t="shared" si="124"/>
        <v>0</v>
      </c>
      <c r="O907" s="59">
        <f t="shared" si="125"/>
        <v>0</v>
      </c>
      <c r="T907">
        <f t="shared" si="123"/>
        <v>0</v>
      </c>
      <c r="Y907">
        <f t="shared" si="119"/>
        <v>0</v>
      </c>
      <c r="Z907">
        <f t="shared" si="120"/>
        <v>0</v>
      </c>
    </row>
    <row r="908" spans="2:26">
      <c r="B908" t="str">
        <f t="shared" si="118"/>
        <v>BLUE</v>
      </c>
      <c r="C908" s="6">
        <f t="shared" si="121"/>
        <v>524</v>
      </c>
      <c r="I908">
        <f t="shared" si="122"/>
        <v>0</v>
      </c>
      <c r="N908" s="59">
        <f t="shared" si="124"/>
        <v>0</v>
      </c>
      <c r="O908" s="59">
        <f t="shared" si="125"/>
        <v>0</v>
      </c>
      <c r="T908">
        <f t="shared" si="123"/>
        <v>0</v>
      </c>
      <c r="Y908">
        <f t="shared" si="119"/>
        <v>0</v>
      </c>
      <c r="Z908">
        <f t="shared" si="120"/>
        <v>0</v>
      </c>
    </row>
    <row r="909" spans="2:26">
      <c r="B909" t="str">
        <f t="shared" si="118"/>
        <v>BLUE</v>
      </c>
      <c r="C909" s="6">
        <f t="shared" si="121"/>
        <v>525</v>
      </c>
      <c r="I909">
        <f t="shared" si="122"/>
        <v>0</v>
      </c>
      <c r="N909" s="59">
        <f t="shared" si="124"/>
        <v>0</v>
      </c>
      <c r="O909" s="59">
        <f t="shared" si="125"/>
        <v>0</v>
      </c>
      <c r="T909">
        <f t="shared" si="123"/>
        <v>0</v>
      </c>
      <c r="Y909">
        <f t="shared" si="119"/>
        <v>0</v>
      </c>
      <c r="Z909">
        <f t="shared" si="120"/>
        <v>0</v>
      </c>
    </row>
    <row r="910" spans="2:26">
      <c r="B910" t="str">
        <f t="shared" si="118"/>
        <v>BLUE</v>
      </c>
      <c r="C910" s="6">
        <f t="shared" si="121"/>
        <v>526</v>
      </c>
      <c r="I910">
        <f t="shared" si="122"/>
        <v>0</v>
      </c>
      <c r="N910" s="59">
        <f t="shared" si="124"/>
        <v>0</v>
      </c>
      <c r="O910" s="59">
        <f t="shared" si="125"/>
        <v>0</v>
      </c>
      <c r="T910">
        <f t="shared" si="123"/>
        <v>0</v>
      </c>
      <c r="Y910">
        <f t="shared" si="119"/>
        <v>0</v>
      </c>
      <c r="Z910">
        <f t="shared" si="120"/>
        <v>0</v>
      </c>
    </row>
    <row r="911" spans="2:26">
      <c r="B911" t="str">
        <f t="shared" si="118"/>
        <v>BLUE</v>
      </c>
      <c r="C911" s="6">
        <f t="shared" si="121"/>
        <v>527</v>
      </c>
      <c r="I911">
        <f t="shared" si="122"/>
        <v>0</v>
      </c>
      <c r="N911" s="59">
        <f t="shared" si="124"/>
        <v>0</v>
      </c>
      <c r="O911" s="59">
        <f t="shared" si="125"/>
        <v>0</v>
      </c>
      <c r="T911">
        <f t="shared" si="123"/>
        <v>0</v>
      </c>
      <c r="Y911">
        <f t="shared" si="119"/>
        <v>0</v>
      </c>
      <c r="Z911">
        <f t="shared" si="120"/>
        <v>0</v>
      </c>
    </row>
    <row r="912" spans="2:26">
      <c r="B912" t="str">
        <f t="shared" si="118"/>
        <v>BLUE</v>
      </c>
      <c r="C912" s="6">
        <f t="shared" si="121"/>
        <v>528</v>
      </c>
      <c r="I912">
        <f t="shared" si="122"/>
        <v>0</v>
      </c>
      <c r="N912" s="59">
        <f t="shared" si="124"/>
        <v>0</v>
      </c>
      <c r="O912" s="59">
        <f t="shared" si="125"/>
        <v>0</v>
      </c>
      <c r="T912">
        <f t="shared" si="123"/>
        <v>0</v>
      </c>
      <c r="Y912">
        <f t="shared" si="119"/>
        <v>0</v>
      </c>
      <c r="Z912">
        <f t="shared" si="120"/>
        <v>0</v>
      </c>
    </row>
    <row r="913" spans="2:26">
      <c r="B913" t="str">
        <f t="shared" si="118"/>
        <v>BLUE</v>
      </c>
      <c r="C913" s="6">
        <f t="shared" si="121"/>
        <v>529</v>
      </c>
      <c r="I913">
        <f t="shared" si="122"/>
        <v>0</v>
      </c>
      <c r="N913" s="59">
        <f t="shared" si="124"/>
        <v>0</v>
      </c>
      <c r="O913" s="59">
        <f t="shared" si="125"/>
        <v>0</v>
      </c>
      <c r="T913">
        <f t="shared" si="123"/>
        <v>0</v>
      </c>
      <c r="Y913">
        <f t="shared" si="119"/>
        <v>0</v>
      </c>
      <c r="Z913">
        <f t="shared" si="120"/>
        <v>0</v>
      </c>
    </row>
    <row r="914" spans="2:26">
      <c r="B914" t="str">
        <f t="shared" si="118"/>
        <v>BLUE</v>
      </c>
      <c r="C914" s="6">
        <f t="shared" si="121"/>
        <v>530</v>
      </c>
      <c r="I914">
        <f t="shared" si="122"/>
        <v>0</v>
      </c>
      <c r="N914" s="59">
        <f t="shared" si="124"/>
        <v>0</v>
      </c>
      <c r="O914" s="59">
        <f t="shared" si="125"/>
        <v>0</v>
      </c>
      <c r="T914">
        <f t="shared" si="123"/>
        <v>0</v>
      </c>
      <c r="Y914">
        <f t="shared" si="119"/>
        <v>0</v>
      </c>
      <c r="Z914">
        <f t="shared" si="120"/>
        <v>0</v>
      </c>
    </row>
    <row r="915" spans="2:26">
      <c r="B915" t="str">
        <f t="shared" ref="B915:B928" si="126">B914</f>
        <v>BLUE</v>
      </c>
      <c r="C915" s="6">
        <f t="shared" si="121"/>
        <v>531</v>
      </c>
      <c r="I915">
        <f t="shared" si="122"/>
        <v>0</v>
      </c>
      <c r="N915" s="59">
        <f t="shared" si="124"/>
        <v>0</v>
      </c>
      <c r="O915" s="59">
        <f t="shared" si="125"/>
        <v>0</v>
      </c>
      <c r="T915">
        <f t="shared" si="123"/>
        <v>0</v>
      </c>
      <c r="Y915">
        <f t="shared" si="119"/>
        <v>0</v>
      </c>
      <c r="Z915">
        <f t="shared" si="120"/>
        <v>0</v>
      </c>
    </row>
    <row r="916" spans="2:26">
      <c r="B916" t="str">
        <f t="shared" si="126"/>
        <v>BLUE</v>
      </c>
      <c r="C916" s="6">
        <f t="shared" si="121"/>
        <v>532</v>
      </c>
      <c r="I916">
        <f t="shared" si="122"/>
        <v>0</v>
      </c>
      <c r="N916" s="59">
        <f t="shared" si="124"/>
        <v>0</v>
      </c>
      <c r="O916" s="59">
        <f t="shared" si="125"/>
        <v>0</v>
      </c>
      <c r="T916">
        <f t="shared" si="123"/>
        <v>0</v>
      </c>
      <c r="Y916">
        <f t="shared" si="119"/>
        <v>0</v>
      </c>
      <c r="Z916">
        <f t="shared" si="120"/>
        <v>0</v>
      </c>
    </row>
    <row r="917" spans="2:26">
      <c r="B917" t="str">
        <f t="shared" si="126"/>
        <v>BLUE</v>
      </c>
      <c r="C917" s="6">
        <f t="shared" si="121"/>
        <v>533</v>
      </c>
      <c r="I917">
        <f t="shared" si="122"/>
        <v>0</v>
      </c>
      <c r="N917" s="59">
        <f t="shared" si="124"/>
        <v>0</v>
      </c>
      <c r="O917" s="59">
        <f t="shared" si="125"/>
        <v>0</v>
      </c>
      <c r="T917">
        <f t="shared" si="123"/>
        <v>0</v>
      </c>
      <c r="Y917">
        <f t="shared" si="119"/>
        <v>0</v>
      </c>
      <c r="Z917">
        <f t="shared" si="120"/>
        <v>0</v>
      </c>
    </row>
    <row r="918" spans="2:26">
      <c r="B918" t="str">
        <f t="shared" si="126"/>
        <v>BLUE</v>
      </c>
      <c r="C918" s="6">
        <f t="shared" si="121"/>
        <v>534</v>
      </c>
      <c r="I918">
        <f t="shared" si="122"/>
        <v>0</v>
      </c>
      <c r="N918" s="59">
        <f t="shared" si="124"/>
        <v>0</v>
      </c>
      <c r="O918" s="59">
        <f t="shared" si="125"/>
        <v>0</v>
      </c>
      <c r="T918">
        <f t="shared" si="123"/>
        <v>0</v>
      </c>
      <c r="Y918">
        <f t="shared" si="119"/>
        <v>0</v>
      </c>
      <c r="Z918">
        <f t="shared" si="120"/>
        <v>0</v>
      </c>
    </row>
    <row r="919" spans="2:26">
      <c r="B919" t="str">
        <f t="shared" si="126"/>
        <v>BLUE</v>
      </c>
      <c r="C919" s="6">
        <f t="shared" si="121"/>
        <v>535</v>
      </c>
      <c r="I919">
        <f t="shared" si="122"/>
        <v>0</v>
      </c>
      <c r="N919" s="59">
        <f t="shared" si="124"/>
        <v>0</v>
      </c>
      <c r="O919" s="59">
        <f t="shared" si="125"/>
        <v>0</v>
      </c>
      <c r="T919">
        <f t="shared" si="123"/>
        <v>0</v>
      </c>
      <c r="Y919">
        <f t="shared" si="119"/>
        <v>0</v>
      </c>
      <c r="Z919">
        <f t="shared" si="120"/>
        <v>0</v>
      </c>
    </row>
    <row r="920" spans="2:26">
      <c r="B920" t="str">
        <f t="shared" si="126"/>
        <v>BLUE</v>
      </c>
      <c r="C920" s="6">
        <f t="shared" si="121"/>
        <v>536</v>
      </c>
      <c r="I920">
        <f t="shared" si="122"/>
        <v>0</v>
      </c>
      <c r="N920" s="59">
        <f t="shared" si="124"/>
        <v>0</v>
      </c>
      <c r="O920" s="59">
        <f t="shared" si="125"/>
        <v>0</v>
      </c>
      <c r="T920">
        <f t="shared" si="123"/>
        <v>0</v>
      </c>
      <c r="Y920">
        <f t="shared" si="119"/>
        <v>0</v>
      </c>
      <c r="Z920">
        <f t="shared" si="120"/>
        <v>0</v>
      </c>
    </row>
    <row r="921" spans="2:26">
      <c r="B921" t="str">
        <f t="shared" si="126"/>
        <v>BLUE</v>
      </c>
      <c r="C921" s="6">
        <f t="shared" si="121"/>
        <v>537</v>
      </c>
      <c r="I921">
        <f t="shared" si="122"/>
        <v>0</v>
      </c>
      <c r="N921" s="59">
        <f t="shared" si="124"/>
        <v>0</v>
      </c>
      <c r="O921" s="59">
        <f t="shared" si="125"/>
        <v>0</v>
      </c>
      <c r="T921">
        <f t="shared" si="123"/>
        <v>0</v>
      </c>
      <c r="Y921">
        <f t="shared" si="119"/>
        <v>0</v>
      </c>
      <c r="Z921">
        <f t="shared" si="120"/>
        <v>0</v>
      </c>
    </row>
    <row r="922" spans="2:26">
      <c r="B922" t="str">
        <f t="shared" si="126"/>
        <v>BLUE</v>
      </c>
      <c r="C922" s="6">
        <f t="shared" si="121"/>
        <v>538</v>
      </c>
      <c r="I922">
        <f t="shared" si="122"/>
        <v>0</v>
      </c>
      <c r="N922" s="59">
        <f t="shared" si="124"/>
        <v>0</v>
      </c>
      <c r="O922" s="59">
        <f t="shared" si="125"/>
        <v>0</v>
      </c>
      <c r="T922">
        <f t="shared" si="123"/>
        <v>0</v>
      </c>
      <c r="Y922">
        <f t="shared" si="119"/>
        <v>0</v>
      </c>
      <c r="Z922">
        <f t="shared" si="120"/>
        <v>0</v>
      </c>
    </row>
    <row r="923" spans="2:26">
      <c r="B923" t="str">
        <f t="shared" si="126"/>
        <v>BLUE</v>
      </c>
      <c r="C923" s="6">
        <f t="shared" si="121"/>
        <v>539</v>
      </c>
      <c r="I923">
        <f t="shared" si="122"/>
        <v>0</v>
      </c>
      <c r="N923" s="59">
        <f t="shared" si="124"/>
        <v>0</v>
      </c>
      <c r="O923" s="59">
        <f t="shared" si="125"/>
        <v>0</v>
      </c>
      <c r="T923">
        <f t="shared" si="123"/>
        <v>0</v>
      </c>
      <c r="Y923">
        <f t="shared" si="119"/>
        <v>0</v>
      </c>
      <c r="Z923">
        <f t="shared" si="120"/>
        <v>0</v>
      </c>
    </row>
    <row r="924" spans="2:26">
      <c r="B924" t="str">
        <f t="shared" si="126"/>
        <v>BLUE</v>
      </c>
      <c r="C924" s="6">
        <f t="shared" si="121"/>
        <v>540</v>
      </c>
      <c r="I924">
        <f t="shared" si="122"/>
        <v>0</v>
      </c>
      <c r="N924" s="59">
        <f t="shared" si="124"/>
        <v>0</v>
      </c>
      <c r="O924" s="59">
        <f t="shared" si="125"/>
        <v>0</v>
      </c>
      <c r="T924">
        <f t="shared" si="123"/>
        <v>0</v>
      </c>
      <c r="Y924">
        <f t="shared" si="119"/>
        <v>0</v>
      </c>
      <c r="Z924">
        <f t="shared" si="120"/>
        <v>0</v>
      </c>
    </row>
    <row r="925" spans="2:26">
      <c r="B925" t="str">
        <f t="shared" si="126"/>
        <v>BLUE</v>
      </c>
      <c r="C925" s="6">
        <f t="shared" si="121"/>
        <v>541</v>
      </c>
      <c r="I925">
        <f t="shared" si="122"/>
        <v>0</v>
      </c>
      <c r="N925" s="59">
        <f t="shared" si="124"/>
        <v>0</v>
      </c>
      <c r="O925" s="59">
        <f t="shared" si="125"/>
        <v>0</v>
      </c>
      <c r="T925">
        <f t="shared" si="123"/>
        <v>0</v>
      </c>
      <c r="Y925">
        <f t="shared" si="119"/>
        <v>0</v>
      </c>
      <c r="Z925">
        <f t="shared" si="120"/>
        <v>0</v>
      </c>
    </row>
    <row r="926" spans="2:26">
      <c r="B926" t="str">
        <f t="shared" si="126"/>
        <v>BLUE</v>
      </c>
      <c r="C926" s="6">
        <f t="shared" si="121"/>
        <v>542</v>
      </c>
      <c r="I926">
        <f t="shared" si="122"/>
        <v>0</v>
      </c>
      <c r="N926" s="59">
        <f t="shared" si="124"/>
        <v>0</v>
      </c>
      <c r="O926" s="59">
        <f t="shared" si="125"/>
        <v>0</v>
      </c>
      <c r="T926">
        <f t="shared" si="123"/>
        <v>0</v>
      </c>
      <c r="Y926">
        <f t="shared" si="119"/>
        <v>0</v>
      </c>
      <c r="Z926">
        <f t="shared" si="120"/>
        <v>0</v>
      </c>
    </row>
    <row r="927" spans="2:26">
      <c r="B927" t="str">
        <f t="shared" si="126"/>
        <v>BLUE</v>
      </c>
      <c r="C927" s="6">
        <f t="shared" si="121"/>
        <v>543</v>
      </c>
      <c r="I927">
        <f t="shared" si="122"/>
        <v>0</v>
      </c>
      <c r="N927" s="59">
        <f t="shared" si="124"/>
        <v>0</v>
      </c>
      <c r="O927" s="59">
        <f t="shared" si="125"/>
        <v>0</v>
      </c>
      <c r="T927">
        <f t="shared" si="123"/>
        <v>0</v>
      </c>
      <c r="Y927">
        <f t="shared" si="119"/>
        <v>0</v>
      </c>
      <c r="Z927">
        <f t="shared" si="120"/>
        <v>0</v>
      </c>
    </row>
    <row r="928" spans="2:26">
      <c r="B928" t="str">
        <f t="shared" si="126"/>
        <v>BLUE</v>
      </c>
      <c r="C928" s="6">
        <f t="shared" si="121"/>
        <v>544</v>
      </c>
      <c r="I928">
        <f t="shared" si="122"/>
        <v>0</v>
      </c>
      <c r="N928" s="59">
        <f t="shared" si="124"/>
        <v>0</v>
      </c>
      <c r="O928" s="59">
        <f t="shared" si="125"/>
        <v>0</v>
      </c>
      <c r="T928">
        <f>SUM($P928:$S928)</f>
        <v>0</v>
      </c>
      <c r="Y928">
        <f t="shared" si="119"/>
        <v>0</v>
      </c>
      <c r="Z928">
        <f t="shared" si="120"/>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A457:AJ928 I366:I398 N366:O398 T366:T398 Y366:Z398 AJ366:AJ456 A2:AJ2 A3:O365 Q3:AJ365">
    <cfRule type="containsBlanks" dxfId="89" priority="7">
      <formula>LEN(TRIM(A2))=0</formula>
    </cfRule>
  </conditionalFormatting>
  <conditionalFormatting sqref="A366:H398 J366:M398 Q366:S398 U366:X398 AA366:AI398">
    <cfRule type="containsBlanks" dxfId="88" priority="4">
      <formula>LEN(TRIM(A366))=0</formula>
    </cfRule>
  </conditionalFormatting>
  <conditionalFormatting sqref="A444:AI456 A399:O443 Q399:AI443">
    <cfRule type="containsBlanks" dxfId="87" priority="3">
      <formula>LEN(TRIM(A399))=0</formula>
    </cfRule>
  </conditionalFormatting>
  <conditionalFormatting sqref="P3:P443">
    <cfRule type="containsBlanks" dxfId="86" priority="1">
      <formula>LEN(TRIM(P3))=0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10">
        <x14:dataValidation type="list" allowBlank="1" showInputMessage="1" showErrorMessage="1" xr:uid="{E1732A36-0770-4B0B-A0CD-0C0D139C49C1}">
          <x14:formula1>
            <xm:f>'Data Validation'!$B$5:$B$6</xm:f>
          </x14:formula1>
          <xm:sqref>B1:B365 B457:B1048576</xm:sqref>
        </x14:dataValidation>
        <x14:dataValidation type="list" allowBlank="1" showInputMessage="1" showErrorMessage="1" xr:uid="{55CB6D0E-E27B-2145-8ECF-55263ED3F0C7}">
          <x14:formula1>
            <xm:f>'Data Validation'!$E$5:$E$13</xm:f>
          </x14:formula1>
          <xm:sqref>E1:E1048576 J1:J1048576 P1:P1048576 U1:U1048576</xm:sqref>
        </x14:dataValidation>
        <x14:dataValidation type="list" allowBlank="1" showInputMessage="1" showErrorMessage="1" xr:uid="{17E9121C-9DFC-F748-B4FE-8C8F70AAEBD0}">
          <x14:formula1>
            <xm:f>'Data Validation'!$F$5:$F$9</xm:f>
          </x14:formula1>
          <xm:sqref>F1:I1048576 K1:O1048576 Q1:T1048576 V1:X1048576</xm:sqref>
        </x14:dataValidation>
        <x14:dataValidation type="list" allowBlank="1" showInputMessage="1" showErrorMessage="1" xr:uid="{32869995-F878-4441-A774-CA1AAB92813D}">
          <x14:formula1>
            <xm:f>'Data Validation'!$V$5:$V$8</xm:f>
          </x14:formula1>
          <xm:sqref>AB1:AC1048576</xm:sqref>
        </x14:dataValidation>
        <x14:dataValidation type="list" allowBlank="1" showInputMessage="1" showErrorMessage="1" xr:uid="{3F0FAD72-08A0-1448-A492-98C133C1CEA5}">
          <x14:formula1>
            <xm:f>'Data Validation'!$A$5:$A$44</xm:f>
          </x14:formula1>
          <xm:sqref>A1:A365 A457:A1048576</xm:sqref>
        </x14:dataValidation>
        <x14:dataValidation type="list" allowBlank="1" showInputMessage="1" showErrorMessage="1" xr:uid="{198B3A1C-3CB9-A541-95A0-D5DA6426257D}">
          <x14:formula1>
            <xm:f>'Data Validation'!$D$5:$D$7</xm:f>
          </x14:formula1>
          <xm:sqref>D1:D1048576</xm:sqref>
        </x14:dataValidation>
        <x14:dataValidation type="list" allowBlank="1" showInputMessage="1" showErrorMessage="1" xr:uid="{2812587F-C983-B94C-82B1-9FC27BCF54B0}">
          <x14:formula1>
            <xm:f>'Data Validation'!$Y$5:$Y$6</xm:f>
          </x14:formula1>
          <xm:sqref>AD1:AF1048576</xm:sqref>
        </x14:dataValidation>
        <x14:dataValidation type="list" allowBlank="1" showInputMessage="1" showErrorMessage="1" xr:uid="{27C7D7F4-1D24-EF40-B2CD-720B042F5680}">
          <x14:formula1>
            <xm:f>'C:\Users\Michal\Downloads\[Georgian Scouting.xlsm]Data Validation'!#REF!</xm:f>
          </x14:formula1>
          <xm:sqref>A366:B398</xm:sqref>
        </x14:dataValidation>
        <x14:dataValidation type="list" allowBlank="1" showInputMessage="1" showErrorMessage="1" xr:uid="{4B25E2A3-D7AF-5645-A4C0-38C2FE021549}">
          <x14:formula1>
            <xm:f>'C:\Users\Michal\Downloads\[Ryerson Event.xlsm]Data Validation'!#REF!</xm:f>
          </x14:formula1>
          <xm:sqref>B399:B443</xm:sqref>
        </x14:dataValidation>
        <x14:dataValidation type="list" allowBlank="1" showInputMessage="1" showErrorMessage="1" xr:uid="{CD09FD58-0BCE-8E47-86A2-7F52F38346DE}">
          <x14:formula1>
            <xm:f>'C:\Users\Michal\Downloads\[Ryerson Event.xlsm]Scouting Output'!#REF!</xm:f>
          </x14:formula1>
          <xm:sqref>A399:A456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69362-CAB3-E44A-82C5-5EC3D6E3B6BF}">
  <sheetPr codeName="Sheet11"/>
  <dimension ref="A1:H8"/>
  <sheetViews>
    <sheetView workbookViewId="0">
      <selection activeCell="J6" sqref="J6"/>
    </sheetView>
  </sheetViews>
  <sheetFormatPr defaultColWidth="11.42578125" defaultRowHeight="15"/>
  <cols>
    <col min="6" max="6" width="10.85546875" style="77"/>
  </cols>
  <sheetData>
    <row r="1" spans="1:8">
      <c r="A1" s="176" t="s">
        <v>0</v>
      </c>
      <c r="B1" s="176"/>
      <c r="C1" s="176"/>
      <c r="D1" s="176" t="s">
        <v>403</v>
      </c>
      <c r="E1" s="176"/>
      <c r="F1" s="176" t="s">
        <v>17</v>
      </c>
      <c r="G1" s="176"/>
    </row>
    <row r="2" spans="1:8">
      <c r="A2" t="s">
        <v>392</v>
      </c>
      <c r="B2" t="s">
        <v>18</v>
      </c>
      <c r="C2" t="s">
        <v>22</v>
      </c>
      <c r="D2" t="s">
        <v>393</v>
      </c>
      <c r="E2" t="s">
        <v>394</v>
      </c>
      <c r="F2" s="77" t="s">
        <v>393</v>
      </c>
      <c r="G2" t="s">
        <v>394</v>
      </c>
      <c r="H2" t="s">
        <v>395</v>
      </c>
    </row>
    <row r="3" spans="1:8">
      <c r="A3">
        <v>6135</v>
      </c>
      <c r="B3" t="s">
        <v>20</v>
      </c>
      <c r="C3">
        <v>111</v>
      </c>
      <c r="D3">
        <v>1</v>
      </c>
      <c r="E3">
        <v>0</v>
      </c>
      <c r="F3" s="77">
        <v>0</v>
      </c>
      <c r="G3">
        <v>7</v>
      </c>
    </row>
    <row r="4" spans="1:8">
      <c r="A4">
        <v>6135</v>
      </c>
      <c r="B4" t="s">
        <v>20</v>
      </c>
      <c r="C4">
        <v>112</v>
      </c>
      <c r="D4">
        <v>0</v>
      </c>
      <c r="E4">
        <v>3</v>
      </c>
      <c r="F4" s="77">
        <v>0</v>
      </c>
      <c r="G4">
        <v>0</v>
      </c>
    </row>
    <row r="5" spans="1:8">
      <c r="A5">
        <v>6135</v>
      </c>
      <c r="B5" t="s">
        <v>20</v>
      </c>
      <c r="C5">
        <v>113</v>
      </c>
      <c r="D5">
        <v>0</v>
      </c>
      <c r="E5">
        <v>1</v>
      </c>
      <c r="F5" s="77">
        <v>1</v>
      </c>
      <c r="G5">
        <v>0</v>
      </c>
    </row>
    <row r="6" spans="1:8">
      <c r="A6">
        <v>188</v>
      </c>
      <c r="B6" t="s">
        <v>405</v>
      </c>
      <c r="C6">
        <v>1</v>
      </c>
      <c r="D6">
        <v>1</v>
      </c>
      <c r="E6">
        <v>0</v>
      </c>
      <c r="F6" s="77">
        <v>0</v>
      </c>
      <c r="G6">
        <v>0</v>
      </c>
    </row>
    <row r="7" spans="1:8">
      <c r="A7">
        <v>7712</v>
      </c>
      <c r="C7">
        <v>3</v>
      </c>
      <c r="E7">
        <v>2</v>
      </c>
      <c r="F7" s="77">
        <v>0</v>
      </c>
      <c r="G7">
        <v>0</v>
      </c>
    </row>
    <row r="8" spans="1:8">
      <c r="A8">
        <v>7712</v>
      </c>
      <c r="E8">
        <v>0</v>
      </c>
    </row>
  </sheetData>
  <mergeCells count="3">
    <mergeCell ref="A1:C1"/>
    <mergeCell ref="D1:E1"/>
    <mergeCell ref="F1:G1"/>
  </mergeCells>
  <conditionalFormatting sqref="A1:H1048576">
    <cfRule type="containsBlanks" dxfId="85" priority="1">
      <formula>LEN(TRIM(A1))=0</formula>
    </cfRule>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B5" sqref="B5"/>
    </sheetView>
  </sheetViews>
  <sheetFormatPr defaultColWidth="8.85546875" defaultRowHeight="15"/>
  <cols>
    <col min="1" max="1" width="13.28515625" customWidth="1"/>
    <col min="2" max="2" width="15.28515625" customWidth="1"/>
    <col min="3" max="3" width="33.140625" customWidth="1"/>
    <col min="4" max="4" width="25.42578125" customWidth="1"/>
    <col min="5" max="5" width="30.140625" customWidth="1"/>
    <col min="6" max="6" width="12.42578125" customWidth="1"/>
    <col min="7" max="8" width="17.140625" customWidth="1"/>
    <col min="9" max="9" width="12.28515625" customWidth="1"/>
    <col min="11" max="11" width="11.28515625" customWidth="1"/>
    <col min="12" max="12" width="9.7109375" customWidth="1"/>
    <col min="13" max="13" width="9.42578125" customWidth="1"/>
    <col min="14" max="14" width="10.85546875" customWidth="1"/>
    <col min="15" max="15" width="10.28515625" customWidth="1"/>
    <col min="16" max="16" width="12" customWidth="1"/>
    <col min="17" max="17" width="9.140625" customWidth="1"/>
    <col min="18" max="18" width="16.85546875" customWidth="1"/>
    <col min="19" max="19" width="12.42578125" customWidth="1"/>
    <col min="20" max="21" width="9.85546875" customWidth="1"/>
    <col min="22" max="22" width="9.28515625" customWidth="1"/>
    <col min="24" max="24" width="12.42578125" customWidth="1"/>
    <col min="25" max="25" width="8.28515625" customWidth="1"/>
    <col min="28" max="28" width="8.85546875" customWidth="1"/>
  </cols>
  <sheetData>
    <row r="1" spans="1:37" ht="15" customHeight="1" thickBot="1"/>
    <row r="2" spans="1:37" ht="16.7" customHeight="1" thickTop="1" thickBot="1">
      <c r="D2" s="90">
        <f>VLOOKUP(CONCATENATE($B$4),'EVENT DATA'!$B$5:$H$99,2,FALSE)</f>
        <v>1360</v>
      </c>
      <c r="G2" t="s">
        <v>179</v>
      </c>
    </row>
    <row r="3" spans="1:37" ht="28.7" customHeight="1" thickTop="1">
      <c r="A3" s="177" t="s">
        <v>96</v>
      </c>
      <c r="B3" s="177"/>
      <c r="E3" s="126"/>
      <c r="G3" t="s">
        <v>244</v>
      </c>
    </row>
    <row r="4" spans="1:37" ht="21.95" customHeight="1">
      <c r="A4" t="s">
        <v>97</v>
      </c>
      <c r="B4" s="113" t="s">
        <v>65</v>
      </c>
    </row>
    <row r="5" spans="1:37" ht="15.75" thickBot="1"/>
    <row r="6" spans="1:37" ht="16.5" thickTop="1" thickBot="1">
      <c r="A6" s="85"/>
      <c r="B6" s="93"/>
      <c r="C6" s="184" t="s">
        <v>102</v>
      </c>
      <c r="D6" s="184"/>
      <c r="E6" s="184"/>
      <c r="F6" s="184"/>
      <c r="G6" s="184"/>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5"/>
    </row>
    <row r="7" spans="1:37" ht="15.75" thickTop="1">
      <c r="A7" s="91"/>
      <c r="B7" s="190" t="s">
        <v>0</v>
      </c>
      <c r="C7" s="185"/>
      <c r="D7" s="74"/>
      <c r="E7" s="74"/>
      <c r="F7" s="74"/>
      <c r="G7" s="181" t="s">
        <v>9</v>
      </c>
      <c r="H7" s="182"/>
      <c r="I7" s="182"/>
      <c r="J7" s="182"/>
      <c r="K7" s="182"/>
      <c r="L7" s="182"/>
      <c r="M7" s="182"/>
      <c r="N7" s="182"/>
      <c r="O7" s="182"/>
      <c r="P7" s="182"/>
      <c r="Q7" s="183"/>
      <c r="R7" s="181" t="s">
        <v>1</v>
      </c>
      <c r="S7" s="182"/>
      <c r="T7" s="182"/>
      <c r="U7" s="182"/>
      <c r="V7" s="182"/>
      <c r="W7" s="182"/>
      <c r="X7" s="182"/>
      <c r="Y7" s="182"/>
      <c r="Z7" s="182"/>
      <c r="AA7" s="182"/>
      <c r="AB7" s="182"/>
      <c r="AC7" s="182"/>
      <c r="AD7" s="182"/>
      <c r="AE7" s="183"/>
      <c r="AF7" s="181" t="s">
        <v>2</v>
      </c>
      <c r="AG7" s="182"/>
      <c r="AH7" s="182"/>
      <c r="AI7" s="182"/>
      <c r="AJ7" s="182"/>
      <c r="AK7" s="183"/>
    </row>
    <row r="8" spans="1:37" ht="17.45" customHeight="1" thickBot="1">
      <c r="A8" s="91"/>
      <c r="B8" s="92" t="s">
        <v>3</v>
      </c>
      <c r="C8" s="92" t="s">
        <v>4</v>
      </c>
      <c r="D8" s="2" t="s">
        <v>241</v>
      </c>
      <c r="E8" s="2" t="s">
        <v>242</v>
      </c>
      <c r="F8" s="89" t="s">
        <v>114</v>
      </c>
      <c r="G8" s="89" t="s">
        <v>135</v>
      </c>
      <c r="H8" s="35" t="s">
        <v>136</v>
      </c>
      <c r="I8" s="35" t="s">
        <v>131</v>
      </c>
      <c r="J8" s="35" t="s">
        <v>130</v>
      </c>
      <c r="K8" s="35" t="s">
        <v>11</v>
      </c>
      <c r="L8" s="35" t="s">
        <v>12</v>
      </c>
      <c r="M8" s="35" t="s">
        <v>137</v>
      </c>
      <c r="N8" s="35" t="s">
        <v>13</v>
      </c>
      <c r="O8" s="35" t="s">
        <v>14</v>
      </c>
      <c r="P8" s="35" t="s">
        <v>15</v>
      </c>
      <c r="Q8" s="36" t="s">
        <v>16</v>
      </c>
      <c r="R8" s="89" t="s">
        <v>135</v>
      </c>
      <c r="S8" s="35" t="s">
        <v>136</v>
      </c>
      <c r="T8" s="35" t="s">
        <v>131</v>
      </c>
      <c r="U8" s="35" t="s">
        <v>130</v>
      </c>
      <c r="V8" s="35" t="s">
        <v>11</v>
      </c>
      <c r="W8" s="35" t="s">
        <v>12</v>
      </c>
      <c r="X8" s="35" t="s">
        <v>137</v>
      </c>
      <c r="Y8" s="35" t="s">
        <v>13</v>
      </c>
      <c r="Z8" s="35" t="s">
        <v>14</v>
      </c>
      <c r="AA8" s="35" t="s">
        <v>15</v>
      </c>
      <c r="AB8" s="35" t="s">
        <v>16</v>
      </c>
      <c r="AC8" s="35" t="s">
        <v>17</v>
      </c>
      <c r="AD8" s="35" t="s">
        <v>129</v>
      </c>
      <c r="AE8" s="36" t="s">
        <v>23</v>
      </c>
      <c r="AF8" s="89" t="s">
        <v>5</v>
      </c>
      <c r="AG8" s="35" t="s">
        <v>6</v>
      </c>
      <c r="AH8" s="35" t="s">
        <v>119</v>
      </c>
      <c r="AI8" s="35" t="s">
        <v>7</v>
      </c>
      <c r="AJ8" s="35" t="s">
        <v>142</v>
      </c>
      <c r="AK8" s="36" t="s">
        <v>138</v>
      </c>
    </row>
    <row r="9" spans="1:37" ht="20.85" customHeight="1" thickTop="1" thickBot="1">
      <c r="A9" s="87" t="s">
        <v>139</v>
      </c>
      <c r="B9" s="90">
        <f>VLOOKUP($B$4,'EVENT DATA'!$B$5:$H$99,2,FALSE)</f>
        <v>1360</v>
      </c>
      <c r="C9" s="90" t="str">
        <f>VLOOKUP($B9, 'Scouting Output'!$A$3:$AJ$250, 2,FALSE)</f>
        <v>Orbit Robotics</v>
      </c>
      <c r="D9" s="87">
        <f>VLOOKUP($B9,'Scouting Output'!$A$3:$AJ$250, COLUMN()  -  1,FALSE)</f>
        <v>0</v>
      </c>
      <c r="E9" s="88">
        <f>VLOOKUP($B9,'Scouting Output'!$A$3:$AJ$250, COLUMN()  -  1,FALSE)</f>
        <v>0</v>
      </c>
      <c r="F9" s="86">
        <f>VLOOKUP($B9,'Scouting Output'!$A$3:$AJ$250, COLUMN()  -  1,FALSE)</f>
        <v>0</v>
      </c>
      <c r="G9" s="87">
        <f>VLOOKUP($B9,'Scouting Output'!$A$3:$AJ$250, COLUMN()  -  1,FALSE)</f>
        <v>0</v>
      </c>
      <c r="H9" s="88">
        <f>VLOOKUP($B9,'Scouting Output'!$A$3:$AJ$250, COLUMN()  -  1,FALSE)</f>
        <v>0</v>
      </c>
      <c r="I9" s="88">
        <f>VLOOKUP($B9,'Scouting Output'!$A$3:$AJ$250, COLUMN()  -  1,FALSE)</f>
        <v>0</v>
      </c>
      <c r="J9" s="88">
        <f>VLOOKUP($B9,'Scouting Output'!$A$3:$AJ$250, COLUMN()  -  1,FALSE)</f>
        <v>0</v>
      </c>
      <c r="K9" s="88">
        <f>VLOOKUP($B9,'Scouting Output'!$A$3:$AJ$250, COLUMN()  -  1,FALSE)</f>
        <v>0</v>
      </c>
      <c r="L9" s="88">
        <f>VLOOKUP($B9,'Scouting Output'!$A$3:$AJ$250, COLUMN()  -  1,FALSE)</f>
        <v>0</v>
      </c>
      <c r="M9" s="88">
        <f>VLOOKUP($B9,'Scouting Output'!$A$3:$AJ$250, COLUMN()  -  1,FALSE)</f>
        <v>0</v>
      </c>
      <c r="N9" s="88">
        <f>VLOOKUP($B9,'Scouting Output'!$A$3:$AJ$250, COLUMN()  -  1,FALSE)</f>
        <v>0</v>
      </c>
      <c r="O9" s="88">
        <f>VLOOKUP($B9,'Scouting Output'!$A$3:$AJ$250, COLUMN()  -  1,FALSE)</f>
        <v>0</v>
      </c>
      <c r="P9" s="88">
        <f>VLOOKUP($B9,'Scouting Output'!$A$3:$AJ$250, COLUMN()  -  1,FALSE)</f>
        <v>0</v>
      </c>
      <c r="Q9" s="86">
        <f>VLOOKUP($B9,'Scouting Output'!$A$3:$AJ$250, COLUMN()  -  1,FALSE)</f>
        <v>0</v>
      </c>
      <c r="R9" s="87">
        <f>VLOOKUP($B9,'Scouting Output'!$A$3:$AJ$250, COLUMN()  -  1,FALSE)</f>
        <v>0</v>
      </c>
      <c r="S9" s="88">
        <f>VLOOKUP($B9,'Scouting Output'!$A$3:$AJ$250, COLUMN()  -  1,FALSE)</f>
        <v>0</v>
      </c>
      <c r="T9" s="88">
        <f>VLOOKUP($B9,'Scouting Output'!$A$3:$AJ$250, COLUMN()  -  1,FALSE)</f>
        <v>0</v>
      </c>
      <c r="U9" s="88">
        <f>VLOOKUP($B9,'Scouting Output'!$A$3:$AJ$250, COLUMN()  -  1,FALSE)</f>
        <v>0</v>
      </c>
      <c r="V9" s="88">
        <f>VLOOKUP($B9,'Scouting Output'!$A$3:$AJ$250, COLUMN()  -  1,FALSE)</f>
        <v>0</v>
      </c>
      <c r="W9" s="88">
        <f>VLOOKUP($B9,'Scouting Output'!$A$3:$AJ$250, COLUMN()  -  1,FALSE)</f>
        <v>0</v>
      </c>
      <c r="X9" s="88">
        <f>VLOOKUP($B9,'Scouting Output'!$A$3:$AJ$250, COLUMN()  -  1,FALSE)</f>
        <v>0</v>
      </c>
      <c r="Y9" s="88">
        <f>VLOOKUP($B9,'Scouting Output'!$A$3:$AJ$250, COLUMN()  -  1,FALSE)</f>
        <v>0</v>
      </c>
      <c r="Z9" s="88">
        <f>VLOOKUP($B9,'Scouting Output'!$A$3:$AJ$250, COLUMN()  -  1,FALSE)</f>
        <v>0</v>
      </c>
      <c r="AA9" s="88">
        <f>VLOOKUP($B9,'Scouting Output'!$A$3:$AJ$250, COLUMN()  -  1,FALSE)</f>
        <v>0</v>
      </c>
      <c r="AB9" s="88">
        <f>VLOOKUP($B9,'Scouting Output'!$A$3:$AJ$250, COLUMN()  -  1,FALSE)</f>
        <v>0</v>
      </c>
      <c r="AC9" s="88">
        <f>VLOOKUP($B9,'Scouting Output'!$A$3:$AJ$250, COLUMN()  -  1,FALSE)</f>
        <v>0</v>
      </c>
      <c r="AD9" s="88">
        <f>VLOOKUP($B9,'Scouting Output'!$A$3:$AJ$250, COLUMN()  -  1,FALSE)</f>
        <v>0</v>
      </c>
      <c r="AE9" s="86">
        <f>VLOOKUP($B9,'Scouting Output'!$A$3:$AJ$250, COLUMN()  -  1,FALSE)</f>
        <v>0</v>
      </c>
      <c r="AF9" s="87">
        <f>VLOOKUP($B9,'Scouting Output'!$A$3:$AJ$250, COLUMN()  -  1,FALSE)</f>
        <v>0</v>
      </c>
      <c r="AG9" s="88">
        <f>VLOOKUP($B9,'Scouting Output'!$A$3:$AJ$250, COLUMN()  -  1,FALSE)</f>
        <v>0</v>
      </c>
      <c r="AH9" s="88">
        <f>VLOOKUP($B9,'Scouting Output'!$A$3:$AJ$250, COLUMN()  -  1,FALSE)</f>
        <v>0</v>
      </c>
      <c r="AI9" s="88">
        <f>VLOOKUP($B9,'Scouting Output'!$A$3:$AJ$250, COLUMN()  -  1,FALSE)</f>
        <v>0</v>
      </c>
      <c r="AJ9" s="88">
        <f>VLOOKUP($B9,'Scouting Output'!$A$3:$AJ$250, COLUMN()  -  1,FALSE)</f>
        <v>0</v>
      </c>
      <c r="AK9" s="86">
        <f>VLOOKUP($B9,'Scouting Output'!$A$3:$AJ$250, COLUMN()  -  1,FALSE)</f>
        <v>0</v>
      </c>
    </row>
    <row r="10" spans="1:37" ht="21.2" customHeight="1" thickTop="1" thickBot="1">
      <c r="A10" s="87" t="s">
        <v>140</v>
      </c>
      <c r="B10" s="90">
        <f>VLOOKUP($B$4,'EVENT DATA'!$B$5:$H$99,3,FALSE)</f>
        <v>6397</v>
      </c>
      <c r="C10" s="90" t="str">
        <f>VLOOKUP($B10, 'Scouting Output'!$A$3:$AJ$250, 2,FALSE)</f>
        <v>Romero Robotics</v>
      </c>
      <c r="D10" s="87">
        <f>VLOOKUP($B10,'Scouting Output'!$A$3:$AJ$250, COLUMN()  -  1,FALSE)</f>
        <v>0</v>
      </c>
      <c r="E10" s="88">
        <f>VLOOKUP($B10,'Scouting Output'!$A$3:$AJ$250, COLUMN()  -  1,FALSE)</f>
        <v>0</v>
      </c>
      <c r="F10" s="86">
        <f>VLOOKUP($B10,'Scouting Output'!$A$3:$AJ$250, COLUMN()  -  1,FALSE)</f>
        <v>0</v>
      </c>
      <c r="G10" s="87">
        <f>VLOOKUP($B10,'Scouting Output'!$A$3:$AJ$250, COLUMN()  -  1,FALSE)</f>
        <v>0</v>
      </c>
      <c r="H10" s="88">
        <f>VLOOKUP($B10,'Scouting Output'!$A$3:$AJ$250, COLUMN()  -  1,FALSE)</f>
        <v>0</v>
      </c>
      <c r="I10" s="88">
        <f>VLOOKUP($B10,'Scouting Output'!$A$3:$AJ$250, COLUMN()  -  1,FALSE)</f>
        <v>0</v>
      </c>
      <c r="J10" s="88">
        <f>VLOOKUP($B10,'Scouting Output'!$A$3:$AJ$250, COLUMN()  -  1,FALSE)</f>
        <v>0</v>
      </c>
      <c r="K10" s="88">
        <f>VLOOKUP($B10,'Scouting Output'!$A$3:$AJ$250, COLUMN()  -  1,FALSE)</f>
        <v>0</v>
      </c>
      <c r="L10" s="88">
        <f>VLOOKUP($B10,'Scouting Output'!$A$3:$AJ$250, COLUMN()  -  1,FALSE)</f>
        <v>0</v>
      </c>
      <c r="M10" s="88">
        <f>VLOOKUP($B10,'Scouting Output'!$A$3:$AJ$250, COLUMN()  -  1,FALSE)</f>
        <v>0</v>
      </c>
      <c r="N10" s="88">
        <f>VLOOKUP($B10,'Scouting Output'!$A$3:$AJ$250, COLUMN()  -  1,FALSE)</f>
        <v>0</v>
      </c>
      <c r="O10" s="88">
        <f>VLOOKUP($B10,'Scouting Output'!$A$3:$AJ$250, COLUMN()  -  1,FALSE)</f>
        <v>0</v>
      </c>
      <c r="P10" s="88">
        <f>VLOOKUP($B10,'Scouting Output'!$A$3:$AJ$250, COLUMN()  -  1,FALSE)</f>
        <v>0</v>
      </c>
      <c r="Q10" s="86">
        <f>VLOOKUP($B10,'Scouting Output'!$A$3:$AJ$250, COLUMN()  -  1,FALSE)</f>
        <v>0</v>
      </c>
      <c r="R10" s="87">
        <f>VLOOKUP($B10,'Scouting Output'!$A$3:$AJ$250, COLUMN()  -  1,FALSE)</f>
        <v>0</v>
      </c>
      <c r="S10" s="88">
        <f>VLOOKUP($B10,'Scouting Output'!$A$3:$AJ$250, COLUMN()  -  1,FALSE)</f>
        <v>0</v>
      </c>
      <c r="T10" s="88">
        <f>VLOOKUP($B10,'Scouting Output'!$A$3:$AJ$250, COLUMN()  -  1,FALSE)</f>
        <v>0</v>
      </c>
      <c r="U10" s="88">
        <f>VLOOKUP($B10,'Scouting Output'!$A$3:$AJ$250, COLUMN()  -  1,FALSE)</f>
        <v>0</v>
      </c>
      <c r="V10" s="88">
        <f>VLOOKUP($B10,'Scouting Output'!$A$3:$AJ$250, COLUMN()  -  1,FALSE)</f>
        <v>0</v>
      </c>
      <c r="W10" s="88">
        <f>VLOOKUP($B10,'Scouting Output'!$A$3:$AJ$250, COLUMN()  -  1,FALSE)</f>
        <v>0</v>
      </c>
      <c r="X10" s="88">
        <f>VLOOKUP($B10,'Scouting Output'!$A$3:$AJ$250, COLUMN()  -  1,FALSE)</f>
        <v>0</v>
      </c>
      <c r="Y10" s="88">
        <f>VLOOKUP($B10,'Scouting Output'!$A$3:$AJ$250, COLUMN()  -  1,FALSE)</f>
        <v>0</v>
      </c>
      <c r="Z10" s="88">
        <f>VLOOKUP($B10,'Scouting Output'!$A$3:$AJ$250, COLUMN()  -  1,FALSE)</f>
        <v>0</v>
      </c>
      <c r="AA10" s="88">
        <f>VLOOKUP($B10,'Scouting Output'!$A$3:$AJ$250, COLUMN()  -  1,FALSE)</f>
        <v>0</v>
      </c>
      <c r="AB10" s="88">
        <f>VLOOKUP($B10,'Scouting Output'!$A$3:$AJ$250, COLUMN()  -  1,FALSE)</f>
        <v>0</v>
      </c>
      <c r="AC10" s="88">
        <f>VLOOKUP($B10,'Scouting Output'!$A$3:$AJ$250, COLUMN()  -  1,FALSE)</f>
        <v>0</v>
      </c>
      <c r="AD10" s="88">
        <f>VLOOKUP($B10,'Scouting Output'!$A$3:$AJ$250, COLUMN()  -  1,FALSE)</f>
        <v>0</v>
      </c>
      <c r="AE10" s="86">
        <f>VLOOKUP($B10,'Scouting Output'!$A$3:$AJ$250, COLUMN()  -  1,FALSE)</f>
        <v>0</v>
      </c>
      <c r="AF10" s="87">
        <f>VLOOKUP($B10,'Scouting Output'!$A$3:$AJ$250, COLUMN()  -  1,FALSE)</f>
        <v>0</v>
      </c>
      <c r="AG10" s="88">
        <f>VLOOKUP($B10,'Scouting Output'!$A$3:$AJ$250, COLUMN()  -  1,FALSE)</f>
        <v>0</v>
      </c>
      <c r="AH10" s="88">
        <f>VLOOKUP($B10,'Scouting Output'!$A$3:$AJ$250, COLUMN()  -  1,FALSE)</f>
        <v>0</v>
      </c>
      <c r="AI10" s="88">
        <f>VLOOKUP($B10,'Scouting Output'!$A$3:$AJ$250, COLUMN()  -  1,FALSE)</f>
        <v>0</v>
      </c>
      <c r="AJ10" s="88">
        <f>VLOOKUP($B10,'Scouting Output'!$A$3:$AJ$250, COLUMN()  -  1,FALSE)</f>
        <v>0</v>
      </c>
      <c r="AK10" s="86">
        <f>VLOOKUP($B10,'Scouting Output'!$A$3:$AJ$250, COLUMN()  -  1,FALSE)</f>
        <v>0</v>
      </c>
    </row>
    <row r="11" spans="1:37" ht="20.85" customHeight="1" thickTop="1" thickBot="1">
      <c r="A11" s="87" t="s">
        <v>141</v>
      </c>
      <c r="B11" s="90">
        <f>VLOOKUP($B$4,'EVENT DATA'!$B$5:$H$99,4,FALSE)</f>
        <v>6141</v>
      </c>
      <c r="C11" s="90" t="str">
        <f>VLOOKUP($B11, 'Scouting Output'!$A$3:$AJ$250,2,FALSE)</f>
        <v>O'Connor Robotics</v>
      </c>
      <c r="D11" s="87">
        <f>VLOOKUP($B11,'Scouting Output'!$A$3:$AJ$250, COLUMN()  -  1,FALSE)</f>
        <v>0</v>
      </c>
      <c r="E11" s="88">
        <f>VLOOKUP($B11,'Scouting Output'!$A$3:$AJ$250, COLUMN()  -  1,FALSE)</f>
        <v>0</v>
      </c>
      <c r="F11" s="86">
        <f>VLOOKUP($B11,'Scouting Output'!$A$3:$AJ$250, COLUMN()  -  1,FALSE)</f>
        <v>0</v>
      </c>
      <c r="G11" s="87">
        <f>VLOOKUP($B11,'Scouting Output'!$A$3:$AJ$250, COLUMN()  -  1,FALSE)</f>
        <v>0</v>
      </c>
      <c r="H11" s="88">
        <f>VLOOKUP($B11,'Scouting Output'!$A$3:$AJ$250, COLUMN()  -  1,FALSE)</f>
        <v>0</v>
      </c>
      <c r="I11" s="88">
        <f>VLOOKUP($B11,'Scouting Output'!$A$3:$AJ$250, COLUMN()  -  1,FALSE)</f>
        <v>0</v>
      </c>
      <c r="J11" s="88">
        <f>VLOOKUP($B11,'Scouting Output'!$A$3:$AJ$250, COLUMN()  -  1,FALSE)</f>
        <v>0</v>
      </c>
      <c r="K11" s="88">
        <f>VLOOKUP($B11,'Scouting Output'!$A$3:$AJ$250, COLUMN()  -  1,FALSE)</f>
        <v>0</v>
      </c>
      <c r="L11" s="88">
        <f>VLOOKUP($B11,'Scouting Output'!$A$3:$AJ$250, COLUMN()  -  1,FALSE)</f>
        <v>0</v>
      </c>
      <c r="M11" s="88">
        <f>VLOOKUP($B11,'Scouting Output'!$A$3:$AJ$250, COLUMN()  -  1,FALSE)</f>
        <v>0</v>
      </c>
      <c r="N11" s="88">
        <f>VLOOKUP($B11,'Scouting Output'!$A$3:$AJ$250, COLUMN()  -  1,FALSE)</f>
        <v>0</v>
      </c>
      <c r="O11" s="88">
        <f>VLOOKUP($B11,'Scouting Output'!$A$3:$AJ$250, COLUMN()  -  1,FALSE)</f>
        <v>0</v>
      </c>
      <c r="P11" s="88">
        <f>VLOOKUP($B11,'Scouting Output'!$A$3:$AJ$250, COLUMN()  -  1,FALSE)</f>
        <v>0</v>
      </c>
      <c r="Q11" s="86">
        <f>VLOOKUP($B11,'Scouting Output'!$A$3:$AJ$250, COLUMN()  -  1,FALSE)</f>
        <v>0</v>
      </c>
      <c r="R11" s="87">
        <f>VLOOKUP($B11,'Scouting Output'!$A$3:$AJ$250, COLUMN()  -  1,FALSE)</f>
        <v>0</v>
      </c>
      <c r="S11" s="88">
        <f>VLOOKUP($B11,'Scouting Output'!$A$3:$AJ$250, COLUMN()  -  1,FALSE)</f>
        <v>0</v>
      </c>
      <c r="T11" s="88">
        <f>VLOOKUP($B11,'Scouting Output'!$A$3:$AJ$250, COLUMN()  -  1,FALSE)</f>
        <v>0</v>
      </c>
      <c r="U11" s="88">
        <f>VLOOKUP($B11,'Scouting Output'!$A$3:$AJ$250, COLUMN()  -  1,FALSE)</f>
        <v>0</v>
      </c>
      <c r="V11" s="88">
        <f>VLOOKUP($B11,'Scouting Output'!$A$3:$AJ$250, COLUMN()  -  1,FALSE)</f>
        <v>0</v>
      </c>
      <c r="W11" s="88">
        <f>VLOOKUP($B11,'Scouting Output'!$A$3:$AJ$250, COLUMN()  -  1,FALSE)</f>
        <v>0</v>
      </c>
      <c r="X11" s="88">
        <f>VLOOKUP($B11,'Scouting Output'!$A$3:$AJ$250, COLUMN()  -  1,FALSE)</f>
        <v>0</v>
      </c>
      <c r="Y11" s="88">
        <f>VLOOKUP($B11,'Scouting Output'!$A$3:$AJ$250, COLUMN()  -  1,FALSE)</f>
        <v>0</v>
      </c>
      <c r="Z11" s="88">
        <f>VLOOKUP($B11,'Scouting Output'!$A$3:$AJ$250, COLUMN()  -  1,FALSE)</f>
        <v>0</v>
      </c>
      <c r="AA11" s="88">
        <f>VLOOKUP($B11,'Scouting Output'!$A$3:$AJ$250, COLUMN()  -  1,FALSE)</f>
        <v>0</v>
      </c>
      <c r="AB11" s="88">
        <f>VLOOKUP($B11,'Scouting Output'!$A$3:$AJ$250, COLUMN()  -  1,FALSE)</f>
        <v>0</v>
      </c>
      <c r="AC11" s="88">
        <f>VLOOKUP($B11,'Scouting Output'!$A$3:$AJ$250, COLUMN()  -  1,FALSE)</f>
        <v>0</v>
      </c>
      <c r="AD11" s="88">
        <f>VLOOKUP($B11,'Scouting Output'!$A$3:$AJ$250, COLUMN()  -  1,FALSE)</f>
        <v>0</v>
      </c>
      <c r="AE11" s="86">
        <f>VLOOKUP($B11,'Scouting Output'!$A$3:$AJ$250, COLUMN()  -  1,FALSE)</f>
        <v>0</v>
      </c>
      <c r="AF11" s="87">
        <f>VLOOKUP($B11,'Scouting Output'!$A$3:$AJ$250, COLUMN()  -  1,FALSE)</f>
        <v>0</v>
      </c>
      <c r="AG11" s="88">
        <f>VLOOKUP($B11,'Scouting Output'!$A$3:$AJ$250, COLUMN()  -  1,FALSE)</f>
        <v>0</v>
      </c>
      <c r="AH11" s="88">
        <f>VLOOKUP($B11,'Scouting Output'!$A$3:$AJ$250, COLUMN()  -  1,FALSE)</f>
        <v>0</v>
      </c>
      <c r="AI11" s="88">
        <f>VLOOKUP($B11,'Scouting Output'!$A$3:$AJ$250, COLUMN()  -  1,FALSE)</f>
        <v>0</v>
      </c>
      <c r="AJ11" s="88">
        <f>VLOOKUP($B11,'Scouting Output'!$A$3:$AJ$250, COLUMN()  -  1,FALSE)</f>
        <v>0</v>
      </c>
      <c r="AK11" s="86">
        <f>VLOOKUP($B11,'Scouting Output'!$A$3:$AJ$250, COLUMN()  -  1,FALSE)</f>
        <v>0</v>
      </c>
    </row>
    <row r="12" spans="1:37" ht="17.25" thickTop="1" thickBot="1">
      <c r="B12" s="29"/>
      <c r="C12" s="90" t="s">
        <v>243</v>
      </c>
      <c r="D12" s="88">
        <f>SUM($D9, $D10, $D11)</f>
        <v>0</v>
      </c>
      <c r="E12" s="86">
        <f>SUM($E9, $E10, $E11)</f>
        <v>0</v>
      </c>
    </row>
    <row r="13" spans="1:37" ht="16.5" thickTop="1" thickBot="1"/>
    <row r="14" spans="1:37" ht="16.5" thickTop="1" thickBot="1">
      <c r="A14" s="186" t="s">
        <v>98</v>
      </c>
      <c r="B14" s="187"/>
      <c r="C14" s="187"/>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87"/>
      <c r="AB14" s="187"/>
      <c r="AC14" s="187"/>
      <c r="AD14" s="187"/>
      <c r="AE14" s="187"/>
      <c r="AF14" s="187"/>
      <c r="AG14" s="187"/>
      <c r="AH14" s="187"/>
      <c r="AI14" s="187"/>
      <c r="AJ14" s="187"/>
      <c r="AK14" s="188"/>
    </row>
    <row r="15" spans="1:37" ht="15.75" thickTop="1">
      <c r="A15" s="31"/>
      <c r="B15" s="189" t="s">
        <v>0</v>
      </c>
      <c r="C15" s="189"/>
      <c r="D15" s="119"/>
      <c r="E15" s="1"/>
      <c r="F15" s="1"/>
      <c r="G15" s="178" t="s">
        <v>9</v>
      </c>
      <c r="H15" s="179"/>
      <c r="I15" s="179"/>
      <c r="J15" s="179"/>
      <c r="K15" s="179"/>
      <c r="L15" s="179"/>
      <c r="M15" s="179"/>
      <c r="N15" s="179"/>
      <c r="O15" s="179"/>
      <c r="P15" s="82"/>
      <c r="Q15" s="30"/>
      <c r="R15" s="178" t="s">
        <v>1</v>
      </c>
      <c r="S15" s="179"/>
      <c r="T15" s="179"/>
      <c r="U15" s="179"/>
      <c r="V15" s="179"/>
      <c r="W15" s="179"/>
      <c r="X15" s="179"/>
      <c r="Y15" s="179"/>
      <c r="Z15" s="179"/>
      <c r="AA15" s="179"/>
      <c r="AB15" s="179"/>
      <c r="AC15" s="179"/>
      <c r="AD15" s="179"/>
      <c r="AE15" s="180"/>
      <c r="AF15" s="178" t="s">
        <v>2</v>
      </c>
      <c r="AG15" s="179"/>
      <c r="AH15" s="179"/>
      <c r="AI15" s="179"/>
      <c r="AJ15" s="179"/>
      <c r="AK15" s="180"/>
    </row>
    <row r="16" spans="1:37" ht="17.45" customHeight="1" thickBot="1">
      <c r="A16" s="83"/>
      <c r="B16" s="28" t="s">
        <v>3</v>
      </c>
      <c r="C16" s="1" t="s">
        <v>4</v>
      </c>
      <c r="D16" s="2" t="s">
        <v>241</v>
      </c>
      <c r="E16" s="2" t="s">
        <v>242</v>
      </c>
      <c r="F16" s="1" t="s">
        <v>114</v>
      </c>
      <c r="G16" s="33" t="s">
        <v>135</v>
      </c>
      <c r="H16" s="34" t="s">
        <v>136</v>
      </c>
      <c r="I16" s="34" t="s">
        <v>131</v>
      </c>
      <c r="J16" s="34" t="s">
        <v>130</v>
      </c>
      <c r="K16" s="34" t="s">
        <v>11</v>
      </c>
      <c r="L16" s="34" t="s">
        <v>12</v>
      </c>
      <c r="M16" s="34" t="s">
        <v>137</v>
      </c>
      <c r="N16" s="34" t="s">
        <v>13</v>
      </c>
      <c r="O16" s="34" t="s">
        <v>14</v>
      </c>
      <c r="P16" s="34" t="s">
        <v>15</v>
      </c>
      <c r="Q16" s="32" t="s">
        <v>16</v>
      </c>
      <c r="R16" s="28" t="s">
        <v>135</v>
      </c>
      <c r="S16" s="1" t="s">
        <v>136</v>
      </c>
      <c r="T16" s="1" t="s">
        <v>131</v>
      </c>
      <c r="U16" s="1" t="s">
        <v>130</v>
      </c>
      <c r="V16" s="1" t="s">
        <v>11</v>
      </c>
      <c r="W16" s="1" t="s">
        <v>12</v>
      </c>
      <c r="X16" s="1" t="s">
        <v>137</v>
      </c>
      <c r="Y16" s="1" t="s">
        <v>13</v>
      </c>
      <c r="Z16" s="1" t="s">
        <v>14</v>
      </c>
      <c r="AA16" s="1" t="s">
        <v>15</v>
      </c>
      <c r="AB16" s="1" t="s">
        <v>16</v>
      </c>
      <c r="AC16" s="1" t="s">
        <v>17</v>
      </c>
      <c r="AD16" s="1" t="s">
        <v>129</v>
      </c>
      <c r="AE16" s="1" t="s">
        <v>23</v>
      </c>
      <c r="AF16" s="28" t="s">
        <v>5</v>
      </c>
      <c r="AG16" s="1" t="s">
        <v>6</v>
      </c>
      <c r="AH16" s="1" t="s">
        <v>119</v>
      </c>
      <c r="AI16" s="1" t="s">
        <v>7</v>
      </c>
      <c r="AJ16" s="1" t="s">
        <v>142</v>
      </c>
      <c r="AK16" s="84" t="s">
        <v>138</v>
      </c>
    </row>
    <row r="17" spans="1:37" ht="20.85" customHeight="1" thickTop="1" thickBot="1">
      <c r="A17" s="27" t="s">
        <v>99</v>
      </c>
      <c r="B17" s="80">
        <f>VLOOKUP($B$4,'EVENT DATA'!$B$5:$H$99,5,FALSE)</f>
        <v>5921</v>
      </c>
      <c r="C17" s="81" t="str">
        <f>VLOOKUP($B17, 'Scouting Output'!$A$3:$AJ$250, 2,FALSE)</f>
        <v>Binary Power</v>
      </c>
      <c r="D17" s="27">
        <f>VLOOKUP($B17,'Scouting Output'!$A$3:$AJ$250, COLUMN()  -  1,FALSE)</f>
        <v>0</v>
      </c>
      <c r="E17" s="76">
        <f>VLOOKUP($B17,'Scouting Output'!$A$3:$AJ$250, COLUMN()  -  1,FALSE)</f>
        <v>0</v>
      </c>
      <c r="F17" s="76">
        <f>VLOOKUP($B17,'Scouting Output'!$A$3:$AJ$250, COLUMN()  -  1,FALSE)</f>
        <v>0</v>
      </c>
      <c r="G17" s="27">
        <f>VLOOKUP($B17,'Scouting Output'!$A$3:$AJ$250,COLUMN() - 1,FALSE)</f>
        <v>0</v>
      </c>
      <c r="H17" s="76">
        <f>VLOOKUP($B17,'Scouting Output'!$A$3:$AJ$250,COLUMN() - 1,FALSE)</f>
        <v>0</v>
      </c>
      <c r="I17" s="76">
        <f>VLOOKUP($B17,'Scouting Output'!$A$3:$AJ$250,COLUMN() - 1,FALSE)</f>
        <v>0</v>
      </c>
      <c r="J17" s="76">
        <f>VLOOKUP($B17,'Scouting Output'!$A$3:$AJ$250,COLUMN() - 1,FALSE)</f>
        <v>0</v>
      </c>
      <c r="K17" s="76">
        <f>VLOOKUP($B17,'Scouting Output'!$A$3:$AJ$250,COLUMN() - 1,FALSE)</f>
        <v>0</v>
      </c>
      <c r="L17" s="76">
        <f>VLOOKUP($B17,'Scouting Output'!$A$3:$AJ$250,COLUMN() - 1,FALSE)</f>
        <v>0</v>
      </c>
      <c r="M17" s="76">
        <f>VLOOKUP($B17,'Scouting Output'!$A$3:$AJ$250,COLUMN() - 1,FALSE)</f>
        <v>0</v>
      </c>
      <c r="N17" s="76">
        <f>VLOOKUP($B17,'Scouting Output'!$A$3:$AJ$250,COLUMN() - 1,FALSE)</f>
        <v>0</v>
      </c>
      <c r="O17" s="76">
        <f>VLOOKUP($B17,'Scouting Output'!$A$3:$AJ$250,COLUMN() - 1,FALSE)</f>
        <v>0</v>
      </c>
      <c r="P17" s="76">
        <f>VLOOKUP($B17,'Scouting Output'!$A$3:$AJ$250,COLUMN() - 1,FALSE)</f>
        <v>0</v>
      </c>
      <c r="Q17" s="79">
        <f>VLOOKUP($B17,'Scouting Output'!$A$3:$AJ$250,COLUMN() - 1,FALSE)</f>
        <v>0</v>
      </c>
      <c r="R17" s="27">
        <f>VLOOKUP($B17,'Scouting Output'!$A$3:$AJ$250,COLUMN() - 1,FALSE)</f>
        <v>0</v>
      </c>
      <c r="S17" s="76">
        <f>VLOOKUP($B17,'Scouting Output'!$A$3:$AJ$250,COLUMN() - 1,FALSE)</f>
        <v>0</v>
      </c>
      <c r="T17" s="76">
        <f>VLOOKUP($B17,'Scouting Output'!$A$3:$AJ$250,COLUMN() - 1,FALSE)</f>
        <v>0</v>
      </c>
      <c r="U17" s="76">
        <f>VLOOKUP($B17,'Scouting Output'!$A$3:$AJ$250,COLUMN() - 1,FALSE)</f>
        <v>0</v>
      </c>
      <c r="V17" s="76">
        <f>VLOOKUP($B17,'Scouting Output'!$A$3:$AJ$250,COLUMN() - 1,FALSE)</f>
        <v>0</v>
      </c>
      <c r="W17" s="76">
        <f>VLOOKUP($B17,'Scouting Output'!$A$3:$AJ$250,COLUMN() - 1,FALSE)</f>
        <v>0</v>
      </c>
      <c r="X17" s="76">
        <f>VLOOKUP($B17,'Scouting Output'!$A$3:$AJ$250,COLUMN() - 1,FALSE)</f>
        <v>0</v>
      </c>
      <c r="Y17" s="76">
        <f>VLOOKUP($B17,'Scouting Output'!$A$3:$AJ$250,COLUMN() - 1,FALSE)</f>
        <v>0</v>
      </c>
      <c r="Z17" s="76">
        <f>VLOOKUP($B17,'Scouting Output'!$A$3:$AJ$250,COLUMN() - 1,FALSE)</f>
        <v>0</v>
      </c>
      <c r="AA17" s="76">
        <f>VLOOKUP($B17,'Scouting Output'!$A$3:$AJ$250,COLUMN() - 1,FALSE)</f>
        <v>0</v>
      </c>
      <c r="AB17" s="76">
        <f>VLOOKUP($B17,'Scouting Output'!$A$3:$AJ$250,COLUMN() - 1,FALSE)</f>
        <v>0</v>
      </c>
      <c r="AC17" s="76">
        <f>VLOOKUP($B17,'Scouting Output'!$A$3:$AJ$250,COLUMN() - 1,FALSE)</f>
        <v>0</v>
      </c>
      <c r="AD17" s="76">
        <f>VLOOKUP($B17,'Scouting Output'!$A$3:$AJ$250,COLUMN() - 1,FALSE)</f>
        <v>0</v>
      </c>
      <c r="AE17" s="79">
        <f>VLOOKUP($B17,'Scouting Output'!$A$3:$AJ$250,COLUMN() - 1,FALSE)</f>
        <v>0</v>
      </c>
      <c r="AF17" s="27">
        <f>VLOOKUP($B17,'Scouting Output'!$A$3:$AJ$250,COLUMN() - 1,FALSE)</f>
        <v>0</v>
      </c>
      <c r="AG17" s="76">
        <f>VLOOKUP($B17,'Scouting Output'!$A$3:$AJ$250,COLUMN() - 1,FALSE)</f>
        <v>0</v>
      </c>
      <c r="AH17" s="76">
        <f>VLOOKUP($B17,'Scouting Output'!$A$3:$AJ$250,COLUMN() - 1,FALSE)</f>
        <v>0</v>
      </c>
      <c r="AI17" s="76">
        <f>VLOOKUP($B17,'Scouting Output'!$A$3:$AJ$250,COLUMN() - 1,FALSE)</f>
        <v>0</v>
      </c>
      <c r="AJ17" s="76">
        <f>VLOOKUP($B17,'Scouting Output'!$A$3:$AJ$250,COLUMN() - 1,FALSE)</f>
        <v>0</v>
      </c>
      <c r="AK17" s="79">
        <f>VLOOKUP($B17,'Scouting Output'!$A$3:$AJ$250,COLUMN() - 1,FALSE)</f>
        <v>0</v>
      </c>
    </row>
    <row r="18" spans="1:37" ht="21.2" customHeight="1" thickTop="1" thickBot="1">
      <c r="A18" s="27" t="s">
        <v>100</v>
      </c>
      <c r="B18" s="80">
        <f>VLOOKUP($B$4,'EVENT DATA'!$B$5:$H$99,6,FALSE)</f>
        <v>5719</v>
      </c>
      <c r="C18" s="81" t="str">
        <f>VLOOKUP($B18, 'Scouting Output'!$A$3:$AJ$250, 2,FALSE)</f>
        <v>Pink Titans</v>
      </c>
      <c r="D18" s="27">
        <f>VLOOKUP($B18,'Scouting Output'!$A$3:$AJ$250, COLUMN()  -  1,FALSE)</f>
        <v>0</v>
      </c>
      <c r="E18" s="76">
        <f>VLOOKUP($B18,'Scouting Output'!$A$3:$AJ$250, COLUMN()  -  1,FALSE)</f>
        <v>0</v>
      </c>
      <c r="F18" s="76">
        <f>VLOOKUP($B18,'Scouting Output'!$A$3:$AJ$250, COLUMN()  -  1,FALSE)</f>
        <v>0</v>
      </c>
      <c r="G18" s="27">
        <f>VLOOKUP($B18,'Scouting Output'!$A$3:$AJ$250,COLUMN() - 1,FALSE)</f>
        <v>0</v>
      </c>
      <c r="H18" s="76">
        <f>VLOOKUP($B18,'Scouting Output'!$A$3:$AJ$250,COLUMN() - 1,FALSE)</f>
        <v>0</v>
      </c>
      <c r="I18" s="76">
        <f>VLOOKUP($B18,'Scouting Output'!$A$3:$AJ$250,COLUMN() - 1,FALSE)</f>
        <v>0</v>
      </c>
      <c r="J18" s="76">
        <f>VLOOKUP($B18,'Scouting Output'!$A$3:$AJ$250,COLUMN() - 1,FALSE)</f>
        <v>0</v>
      </c>
      <c r="K18" s="76">
        <f>VLOOKUP($B18,'Scouting Output'!$A$3:$AJ$250,COLUMN() - 1,FALSE)</f>
        <v>0</v>
      </c>
      <c r="L18" s="76">
        <f>VLOOKUP($B18,'Scouting Output'!$A$3:$AJ$250,COLUMN() - 1,FALSE)</f>
        <v>0</v>
      </c>
      <c r="M18" s="76">
        <f>VLOOKUP($B18,'Scouting Output'!$A$3:$AJ$250,COLUMN() - 1,FALSE)</f>
        <v>0</v>
      </c>
      <c r="N18" s="76">
        <f>VLOOKUP($B18,'Scouting Output'!$A$3:$AJ$250,COLUMN() - 1,FALSE)</f>
        <v>0</v>
      </c>
      <c r="O18" s="76">
        <f>VLOOKUP($B18,'Scouting Output'!$A$3:$AJ$250,COLUMN() - 1,FALSE)</f>
        <v>0</v>
      </c>
      <c r="P18" s="76">
        <f>VLOOKUP($B18,'Scouting Output'!$A$3:$AJ$250,COLUMN() - 1,FALSE)</f>
        <v>0</v>
      </c>
      <c r="Q18" s="79">
        <f>VLOOKUP($B18,'Scouting Output'!$A$3:$AJ$250,COLUMN() - 1,FALSE)</f>
        <v>0</v>
      </c>
      <c r="R18" s="27">
        <f>VLOOKUP($B18,'Scouting Output'!$A$3:$AJ$250,COLUMN() - 1,FALSE)</f>
        <v>0</v>
      </c>
      <c r="S18" s="76">
        <f>VLOOKUP($B18,'Scouting Output'!$A$3:$AJ$250,COLUMN() - 1,FALSE)</f>
        <v>0</v>
      </c>
      <c r="T18" s="76">
        <f>VLOOKUP($B18,'Scouting Output'!$A$3:$AJ$250,COLUMN() - 1,FALSE)</f>
        <v>0</v>
      </c>
      <c r="U18" s="76">
        <f>VLOOKUP($B18,'Scouting Output'!$A$3:$AJ$250,COLUMN() - 1,FALSE)</f>
        <v>0</v>
      </c>
      <c r="V18" s="76">
        <f>VLOOKUP($B18,'Scouting Output'!$A$3:$AJ$250,COLUMN() - 1,FALSE)</f>
        <v>0</v>
      </c>
      <c r="W18" s="76">
        <f>VLOOKUP($B18,'Scouting Output'!$A$3:$AJ$250,COLUMN() - 1,FALSE)</f>
        <v>0</v>
      </c>
      <c r="X18" s="76">
        <f>VLOOKUP($B18,'Scouting Output'!$A$3:$AJ$250,COLUMN() - 1,FALSE)</f>
        <v>0</v>
      </c>
      <c r="Y18" s="76">
        <f>VLOOKUP($B18,'Scouting Output'!$A$3:$AJ$250,COLUMN() - 1,FALSE)</f>
        <v>0</v>
      </c>
      <c r="Z18" s="76">
        <f>VLOOKUP($B18,'Scouting Output'!$A$3:$AJ$250,COLUMN() - 1,FALSE)</f>
        <v>0</v>
      </c>
      <c r="AA18" s="76">
        <f>VLOOKUP($B18,'Scouting Output'!$A$3:$AJ$250,COLUMN() - 1,FALSE)</f>
        <v>0</v>
      </c>
      <c r="AB18" s="76">
        <f>VLOOKUP($B18,'Scouting Output'!$A$3:$AJ$250,COLUMN() - 1,FALSE)</f>
        <v>0</v>
      </c>
      <c r="AC18" s="76">
        <f>VLOOKUP($B18,'Scouting Output'!$A$3:$AJ$250,COLUMN() - 1,FALSE)</f>
        <v>0</v>
      </c>
      <c r="AD18" s="76">
        <f>VLOOKUP($B18,'Scouting Output'!$A$3:$AJ$250,COLUMN() - 1,FALSE)</f>
        <v>0</v>
      </c>
      <c r="AE18" s="79">
        <f>VLOOKUP($B18,'Scouting Output'!$A$3:$AJ$250,COLUMN() - 1,FALSE)</f>
        <v>0</v>
      </c>
      <c r="AF18" s="27">
        <f>VLOOKUP($B18,'Scouting Output'!$A$3:$AJ$250,COLUMN() - 1,FALSE)</f>
        <v>0</v>
      </c>
      <c r="AG18" s="76">
        <f>VLOOKUP($B18,'Scouting Output'!$A$3:$AJ$250,COLUMN() - 1,FALSE)</f>
        <v>0</v>
      </c>
      <c r="AH18" s="76">
        <f>VLOOKUP($B18,'Scouting Output'!$A$3:$AJ$250,COLUMN() - 1,FALSE)</f>
        <v>0</v>
      </c>
      <c r="AI18" s="76">
        <f>VLOOKUP($B18,'Scouting Output'!$A$3:$AJ$250,COLUMN() - 1,FALSE)</f>
        <v>0</v>
      </c>
      <c r="AJ18" s="76">
        <f>VLOOKUP($B18,'Scouting Output'!$A$3:$AJ$250,COLUMN() - 1,FALSE)</f>
        <v>0</v>
      </c>
      <c r="AK18" s="79">
        <f>VLOOKUP($B18,'Scouting Output'!$A$3:$AJ$250,COLUMN() - 1,FALSE)</f>
        <v>0</v>
      </c>
    </row>
    <row r="19" spans="1:37" ht="20.85" customHeight="1" thickTop="1" thickBot="1">
      <c r="A19" s="27" t="s">
        <v>101</v>
      </c>
      <c r="B19" s="80">
        <f>VLOOKUP($B$4,'EVENT DATA'!$B$5:$H$99,7,FALSE)</f>
        <v>5699</v>
      </c>
      <c r="C19" s="81" t="str">
        <f>VLOOKUP($B19, 'Scouting Output'!$A$3:$AJ$250,2,FALSE)</f>
        <v>Robo Sapiens</v>
      </c>
      <c r="D19" s="27">
        <f>VLOOKUP($B19,'Scouting Output'!$A$3:$AJ$250, COLUMN()  -  1,FALSE)</f>
        <v>0</v>
      </c>
      <c r="E19" s="76">
        <f>VLOOKUP($B19,'Scouting Output'!$A$3:$AJ$250, COLUMN()  -  1,FALSE)</f>
        <v>0</v>
      </c>
      <c r="F19" s="76">
        <f>VLOOKUP($B19,'Scouting Output'!$A$3:$AJ$250, COLUMN()  -  1,FALSE)</f>
        <v>0</v>
      </c>
      <c r="G19" s="27">
        <f>VLOOKUP($B19,'Scouting Output'!$A$3:$AJ$250,COLUMN() - 1,FALSE)</f>
        <v>0</v>
      </c>
      <c r="H19" s="76">
        <f>VLOOKUP($B19,'Scouting Output'!$A$3:$AJ$250,COLUMN() - 1,FALSE)</f>
        <v>0</v>
      </c>
      <c r="I19" s="76">
        <f>VLOOKUP($B19,'Scouting Output'!$A$3:$AJ$250,COLUMN() - 1,FALSE)</f>
        <v>0</v>
      </c>
      <c r="J19" s="76">
        <f>VLOOKUP($B19,'Scouting Output'!$A$3:$AJ$250,COLUMN() - 1,FALSE)</f>
        <v>0</v>
      </c>
      <c r="K19" s="76">
        <f>VLOOKUP($B19,'Scouting Output'!$A$3:$AJ$250,COLUMN() - 1,FALSE)</f>
        <v>0</v>
      </c>
      <c r="L19" s="76">
        <f>VLOOKUP($B19,'Scouting Output'!$A$3:$AJ$250,COLUMN() - 1,FALSE)</f>
        <v>0</v>
      </c>
      <c r="M19" s="76">
        <f>VLOOKUP($B19,'Scouting Output'!$A$3:$AJ$250,COLUMN() - 1,FALSE)</f>
        <v>0</v>
      </c>
      <c r="N19" s="76">
        <f>VLOOKUP($B19,'Scouting Output'!$A$3:$AJ$250,COLUMN() - 1,FALSE)</f>
        <v>0</v>
      </c>
      <c r="O19" s="76">
        <f>VLOOKUP($B19,'Scouting Output'!$A$3:$AJ$250,COLUMN() - 1,FALSE)</f>
        <v>0</v>
      </c>
      <c r="P19" s="76">
        <f>VLOOKUP($B19,'Scouting Output'!$A$3:$AJ$250,COLUMN() - 1,FALSE)</f>
        <v>0</v>
      </c>
      <c r="Q19" s="79">
        <f>VLOOKUP($B19,'Scouting Output'!$A$3:$AJ$250,COLUMN() - 1,FALSE)</f>
        <v>0</v>
      </c>
      <c r="R19" s="27">
        <f>VLOOKUP($B19,'Scouting Output'!$A$3:$AJ$250,COLUMN() - 1,FALSE)</f>
        <v>0</v>
      </c>
      <c r="S19" s="76">
        <f>VLOOKUP($B19,'Scouting Output'!$A$3:$AJ$250,COLUMN() - 1,FALSE)</f>
        <v>0</v>
      </c>
      <c r="T19" s="76">
        <f>VLOOKUP($B19,'Scouting Output'!$A$3:$AJ$250,COLUMN() - 1,FALSE)</f>
        <v>0</v>
      </c>
      <c r="U19" s="76">
        <f>VLOOKUP($B19,'Scouting Output'!$A$3:$AJ$250,COLUMN() - 1,FALSE)</f>
        <v>0</v>
      </c>
      <c r="V19" s="76">
        <f>VLOOKUP($B19,'Scouting Output'!$A$3:$AJ$250,COLUMN() - 1,FALSE)</f>
        <v>0</v>
      </c>
      <c r="W19" s="76">
        <f>VLOOKUP($B19,'Scouting Output'!$A$3:$AJ$250,COLUMN() - 1,FALSE)</f>
        <v>0</v>
      </c>
      <c r="X19" s="76">
        <f>VLOOKUP($B19,'Scouting Output'!$A$3:$AJ$250,COLUMN() - 1,FALSE)</f>
        <v>0</v>
      </c>
      <c r="Y19" s="76">
        <f>VLOOKUP($B19,'Scouting Output'!$A$3:$AJ$250,COLUMN() - 1,FALSE)</f>
        <v>0</v>
      </c>
      <c r="Z19" s="76">
        <f>VLOOKUP($B19,'Scouting Output'!$A$3:$AJ$250,COLUMN() - 1,FALSE)</f>
        <v>0</v>
      </c>
      <c r="AA19" s="76">
        <f>VLOOKUP($B19,'Scouting Output'!$A$3:$AJ$250,COLUMN() - 1,FALSE)</f>
        <v>0</v>
      </c>
      <c r="AB19" s="76">
        <f>VLOOKUP($B19,'Scouting Output'!$A$3:$AJ$250,COLUMN() - 1,FALSE)</f>
        <v>0</v>
      </c>
      <c r="AC19" s="76">
        <f>VLOOKUP($B19,'Scouting Output'!$A$3:$AJ$250,COLUMN() - 1,FALSE)</f>
        <v>0</v>
      </c>
      <c r="AD19" s="76">
        <f>VLOOKUP($B19,'Scouting Output'!$A$3:$AJ$250,COLUMN() - 1,FALSE)</f>
        <v>0</v>
      </c>
      <c r="AE19" s="79">
        <f>VLOOKUP($B19,'Scouting Output'!$A$3:$AJ$250,COLUMN() - 1,FALSE)</f>
        <v>0</v>
      </c>
      <c r="AF19" s="27">
        <f>VLOOKUP($B19,'Scouting Output'!$A$3:$AJ$250,COLUMN() - 1,FALSE)</f>
        <v>0</v>
      </c>
      <c r="AG19" s="76">
        <f>VLOOKUP($B19,'Scouting Output'!$A$3:$AJ$250,COLUMN() - 1,FALSE)</f>
        <v>0</v>
      </c>
      <c r="AH19" s="76">
        <f>VLOOKUP($B19,'Scouting Output'!$A$3:$AJ$250,COLUMN() - 1,FALSE)</f>
        <v>0</v>
      </c>
      <c r="AI19" s="76">
        <f>VLOOKUP($B19,'Scouting Output'!$A$3:$AJ$250,COLUMN() - 1,FALSE)</f>
        <v>0</v>
      </c>
      <c r="AJ19" s="76">
        <f>VLOOKUP($B19,'Scouting Output'!$A$3:$AJ$250,COLUMN() - 1,FALSE)</f>
        <v>0</v>
      </c>
      <c r="AK19" s="79">
        <f>VLOOKUP($B19,'Scouting Output'!$A$3:$AJ$250,COLUMN() - 1,FALSE)</f>
        <v>0</v>
      </c>
    </row>
    <row r="20" spans="1:37" ht="16.5" thickTop="1" thickBot="1">
      <c r="C20" s="120" t="s">
        <v>243</v>
      </c>
      <c r="D20" s="76">
        <f>SUM(D17, D18, D19)</f>
        <v>0</v>
      </c>
      <c r="E20" s="79">
        <f>SUM(E17, E18, E19)</f>
        <v>0</v>
      </c>
    </row>
    <row r="21" spans="1:37" ht="15.75" thickTop="1"/>
    <row r="23" spans="1:37">
      <c r="A23" s="30"/>
    </row>
    <row r="25" spans="1:37">
      <c r="B25" s="30"/>
      <c r="C25" s="30"/>
      <c r="D25" s="30"/>
      <c r="E25" s="30"/>
      <c r="F25" s="30"/>
      <c r="G25" s="30"/>
      <c r="H25" s="30"/>
      <c r="I25" s="30"/>
    </row>
  </sheetData>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84" priority="2"/>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tabSelected="1" zoomScale="90" zoomScaleNormal="90" workbookViewId="0">
      <pane xSplit="1" topLeftCell="B1" activePane="topRight" state="frozen"/>
      <selection pane="topRight" activeCell="L16" sqref="L16"/>
    </sheetView>
  </sheetViews>
  <sheetFormatPr defaultColWidth="11" defaultRowHeight="15"/>
  <cols>
    <col min="1" max="1" width="17.42578125" customWidth="1"/>
    <col min="2" max="2" width="13.140625" customWidth="1"/>
    <col min="3" max="3" width="9.42578125" customWidth="1"/>
    <col min="4" max="5" width="9.28515625" customWidth="1"/>
    <col min="6" max="6" width="9.42578125" customWidth="1"/>
    <col min="7" max="7" width="10.7109375" customWidth="1"/>
    <col min="10" max="10" width="6.7109375" customWidth="1"/>
    <col min="11" max="11" width="8.42578125" customWidth="1"/>
    <col min="12" max="12" width="9.42578125" customWidth="1"/>
    <col min="14" max="14" width="13.140625" customWidth="1"/>
    <col min="16" max="16" width="12.28515625" customWidth="1"/>
  </cols>
  <sheetData>
    <row r="1" spans="1:16">
      <c r="A1" t="s">
        <v>323</v>
      </c>
      <c r="B1" s="126" t="s">
        <v>50</v>
      </c>
      <c r="C1" s="126"/>
    </row>
    <row r="2" spans="1:16">
      <c r="B2" s="176" t="s">
        <v>330</v>
      </c>
      <c r="C2" s="176"/>
      <c r="D2" s="176"/>
      <c r="E2" s="176"/>
      <c r="F2" s="176"/>
      <c r="G2" s="176"/>
      <c r="H2" s="176"/>
      <c r="I2" s="176"/>
      <c r="J2" s="176"/>
      <c r="K2" s="176"/>
      <c r="L2" s="176"/>
      <c r="M2" s="191" t="s">
        <v>326</v>
      </c>
      <c r="N2" s="176"/>
      <c r="O2" s="176"/>
      <c r="P2" s="176"/>
    </row>
    <row r="3" spans="1:16" ht="15.75" thickBot="1">
      <c r="B3" t="s">
        <v>322</v>
      </c>
      <c r="C3" t="s">
        <v>329</v>
      </c>
      <c r="D3" t="s">
        <v>324</v>
      </c>
      <c r="E3" t="s">
        <v>333</v>
      </c>
      <c r="F3" t="s">
        <v>334</v>
      </c>
      <c r="G3" t="s">
        <v>325</v>
      </c>
      <c r="H3" t="s">
        <v>331</v>
      </c>
      <c r="I3" t="s">
        <v>332</v>
      </c>
      <c r="J3" t="s">
        <v>256</v>
      </c>
      <c r="K3" t="s">
        <v>335</v>
      </c>
      <c r="L3" t="s">
        <v>258</v>
      </c>
      <c r="M3" s="4" t="s">
        <v>324</v>
      </c>
      <c r="N3" t="s">
        <v>327</v>
      </c>
      <c r="O3" t="s">
        <v>325</v>
      </c>
      <c r="P3" t="s">
        <v>328</v>
      </c>
    </row>
    <row r="4" spans="1:16" ht="16.5" thickTop="1" thickBot="1">
      <c r="A4" s="87">
        <f>VLOOKUP($B$1,'EVENT DATA'!$B$5:$H$99,2,FALSE)</f>
        <v>6632</v>
      </c>
      <c r="B4" s="130">
        <f>VLOOKUP($A4,'Scouting Output'!$A$3:$AJ$250, 3,FALSE)</f>
        <v>0</v>
      </c>
      <c r="C4" s="88">
        <f>VLOOKUP($A4,'Scouting Output'!$A$3:$AJ$250, 17,FALSE)</f>
        <v>0</v>
      </c>
      <c r="D4" s="88">
        <f>VLOOKUP(A4,'Scouting Output'!$A$3:$AJ$250, 18, FALSE)</f>
        <v>0</v>
      </c>
      <c r="E4" s="88">
        <f>SUM(VLOOKUP($A4,'Scouting Output'!$A$3:$AJ$250,19,FALSE), VLOOKUP($A4,'Scouting Output'!$A$3:$AJ$250,20,FALSE))</f>
        <v>0</v>
      </c>
      <c r="F4" s="88">
        <f>SUM(VLOOKUP($A4,'Scouting Output'!$A$3:$AJ$250,21,FALSE), VLOOKUP($A4,'Scouting Output'!$A$3:$AJ$250,22,FALSE))</f>
        <v>0</v>
      </c>
      <c r="G4" s="88">
        <f>VLOOKUP(A4,'Scouting Output'!$A$3:$AJ$250, 23, FALSE)</f>
        <v>0</v>
      </c>
      <c r="H4" s="88">
        <f>SUM(VLOOKUP($A4,'Scouting Output'!$A$3:$AJ$250,24,FALSE), VLOOKUP($A4,'Scouting Output'!$A$3:$AJ$250,25,FALSE))</f>
        <v>0</v>
      </c>
      <c r="I4" s="88">
        <f>SUM(VLOOKUP($A4,'Scouting Output'!$A$3:$AJ$250,26,FALSE), VLOOKUP($A4,'Scouting Output'!$A$3:$AJ$250,27,FALSE))</f>
        <v>0</v>
      </c>
      <c r="J4" s="88">
        <f>VLOOKUP(A4,'Scouting Output'!$A$3:$AJ$250, 30, FALSE)</f>
        <v>0</v>
      </c>
      <c r="K4" s="88">
        <f>VLOOKUP(A4,'Scouting Output'!$A$3:$AJ$250, 28, FALSE)</f>
        <v>0</v>
      </c>
      <c r="L4" s="88">
        <f>VLOOKUP(A4,'Scouting Output'!$A$3:$AJ$250, 34, FALSE)</f>
        <v>0</v>
      </c>
      <c r="M4" s="125">
        <f>VLOOKUP($A4,'Scouting Output'!$A$3:$AJ$250, 7,FALSE)</f>
        <v>0</v>
      </c>
      <c r="N4" s="88">
        <f>SUM(VLOOKUP($A4,'Scouting Output'!$A$3:$AJ$250,8,FALSE), VLOOKUP($A4,'Scouting Output'!$A$3:$AJ$250,9,FALSE), VLOOKUP($A4,'Scouting Output'!$A$3:$AJ$250,10,FALSE), VLOOKUP($A4,'Scouting Output'!$A$3:$AJ$250,11,FALSE))</f>
        <v>0</v>
      </c>
      <c r="O4" s="88">
        <f>VLOOKUP($A4,'Scouting Output'!$A$3:$AJ$250, 12,FALSE)</f>
        <v>0</v>
      </c>
      <c r="P4" s="86">
        <f>SUM(VLOOKUP($A4,'Scouting Output'!$A$3:$AJ$250,13,FALSE), VLOOKUP($A4,'Scouting Output'!$A$3:$AJ$250,14,FALSE), VLOOKUP($A4,'Scouting Output'!$A$3:$AJ$250,15,FALSE), VLOOKUP($A4,'Scouting Output'!$A$3:$AJ$250,16,FALSE))</f>
        <v>0</v>
      </c>
    </row>
    <row r="5" spans="1:16" ht="16.5" thickTop="1" thickBot="1">
      <c r="A5" s="87">
        <f>VLOOKUP($B$1,'EVENT DATA'!$B$5:$H$99,3,FALSE)</f>
        <v>7735</v>
      </c>
      <c r="B5" s="130">
        <f>VLOOKUP($A5,'Scouting Output'!$A$3:$AJ$250, 3,FALSE)</f>
        <v>12.700000000000001</v>
      </c>
      <c r="C5" s="88">
        <f>VLOOKUP($A5,'Scouting Output'!$A$3:$AJ$250, 17,FALSE)</f>
        <v>5</v>
      </c>
      <c r="D5" s="88">
        <f>VLOOKUP(A5,'Scouting Output'!$A$3:$AJ$250, 18, FALSE)</f>
        <v>1</v>
      </c>
      <c r="E5" s="88">
        <f>SUM(VLOOKUP($A5,'Scouting Output'!$A$3:$AJ$250,19,FALSE), VLOOKUP($A5,'Scouting Output'!$A$3:$AJ$250,20,FALSE))</f>
        <v>0.4</v>
      </c>
      <c r="F5" s="88">
        <f>SUM(VLOOKUP($A5,'Scouting Output'!$A$3:$AJ$250,21,FALSE), VLOOKUP($A5,'Scouting Output'!$A$3:$AJ$250,22,FALSE))</f>
        <v>0</v>
      </c>
      <c r="G5" s="88">
        <f>VLOOKUP(A5,'Scouting Output'!$A$3:$AJ$250, 23, FALSE)</f>
        <v>4</v>
      </c>
      <c r="H5" s="88">
        <f>SUM(VLOOKUP($A5,'Scouting Output'!$A$3:$AJ$250,24,FALSE), VLOOKUP($A5,'Scouting Output'!$A$3:$AJ$250,25,FALSE))</f>
        <v>1.8</v>
      </c>
      <c r="I5" s="88">
        <f>SUM(VLOOKUP($A5,'Scouting Output'!$A$3:$AJ$250,26,FALSE), VLOOKUP($A5,'Scouting Output'!$A$3:$AJ$250,27,FALSE))</f>
        <v>0</v>
      </c>
      <c r="J5" s="88">
        <f>VLOOKUP(A5,'Scouting Output'!$A$3:$AJ$250, 30, FALSE)</f>
        <v>0.8</v>
      </c>
      <c r="K5" s="88">
        <f>VLOOKUP(A5,'Scouting Output'!$A$3:$AJ$250, 28, FALSE)</f>
        <v>9</v>
      </c>
      <c r="L5" s="88">
        <f>VLOOKUP(A5,'Scouting Output'!$A$3:$AJ$250, 34, FALSE)</f>
        <v>0.9</v>
      </c>
      <c r="M5" s="125">
        <f>VLOOKUP($A5,'Scouting Output'!$A$3:$AJ$250, 7,FALSE)</f>
        <v>1</v>
      </c>
      <c r="N5" s="88">
        <f>SUM(VLOOKUP($A5,'Scouting Output'!$A$3:$AJ$250,8,FALSE), VLOOKUP($A5,'Scouting Output'!$A$3:$AJ$250,9,FALSE), VLOOKUP($A5,'Scouting Output'!$A$3:$AJ$250,10,FALSE), VLOOKUP($A5,'Scouting Output'!$A$3:$AJ$250,11,FALSE))</f>
        <v>0.1</v>
      </c>
      <c r="O5" s="88">
        <f>VLOOKUP($A5,'Scouting Output'!$A$3:$AJ$250, 12,FALSE)</f>
        <v>0</v>
      </c>
      <c r="P5" s="86">
        <f>SUM(VLOOKUP($A5,'Scouting Output'!$A$3:$AJ$250,13,FALSE), VLOOKUP($A5,'Scouting Output'!$A$3:$AJ$250,14,FALSE), VLOOKUP($A5,'Scouting Output'!$A$3:$AJ$250,15,FALSE), VLOOKUP($A5,'Scouting Output'!$A$3:$AJ$250,16,FALSE))</f>
        <v>0</v>
      </c>
    </row>
    <row r="6" spans="1:16" ht="16.5" thickTop="1" thickBot="1">
      <c r="A6" s="87">
        <f>VLOOKUP($B$1,'EVENT DATA'!$B$5:$H$99,4,FALSE)</f>
        <v>4914</v>
      </c>
      <c r="B6" s="130">
        <f>VLOOKUP($A6,'Scouting Output'!$A$3:$AJ$250, 3,FALSE)</f>
        <v>0</v>
      </c>
      <c r="C6" s="88">
        <f>VLOOKUP($A6,'Scouting Output'!$A$3:$AJ$250, 17,FALSE)</f>
        <v>0</v>
      </c>
      <c r="D6" s="88">
        <f>VLOOKUP(A6,'Scouting Output'!$A$3:$AJ$250, 18, FALSE)</f>
        <v>0</v>
      </c>
      <c r="E6" s="88">
        <f>SUM(VLOOKUP($A6,'Scouting Output'!$A$3:$AJ$250,19,FALSE), VLOOKUP($A6,'Scouting Output'!$A$3:$AJ$250,20,FALSE))</f>
        <v>0</v>
      </c>
      <c r="F6" s="88">
        <f>SUM(VLOOKUP($A6,'Scouting Output'!$A$3:$AJ$250,21,FALSE), VLOOKUP($A6,'Scouting Output'!$A$3:$AJ$250,22,FALSE))</f>
        <v>0</v>
      </c>
      <c r="G6" s="88">
        <f>VLOOKUP(A6,'Scouting Output'!$A$3:$AJ$250, 23, FALSE)</f>
        <v>0</v>
      </c>
      <c r="H6" s="88">
        <f>SUM(VLOOKUP($A6,'Scouting Output'!$A$3:$AJ$250,24,FALSE), VLOOKUP($A6,'Scouting Output'!$A$3:$AJ$250,25,FALSE))</f>
        <v>0</v>
      </c>
      <c r="I6" s="88">
        <f>SUM(VLOOKUP($A6,'Scouting Output'!$A$3:$AJ$250,26,FALSE), VLOOKUP($A6,'Scouting Output'!$A$3:$AJ$250,27,FALSE))</f>
        <v>0</v>
      </c>
      <c r="J6" s="88">
        <f>VLOOKUP(A6,'Scouting Output'!$A$3:$AJ$250, 30, FALSE)</f>
        <v>0</v>
      </c>
      <c r="K6" s="88">
        <f>VLOOKUP(A6,'Scouting Output'!$A$3:$AJ$250, 28, FALSE)</f>
        <v>0</v>
      </c>
      <c r="L6" s="88">
        <f>VLOOKUP(A6,'Scouting Output'!$A$3:$AJ$250, 34, FALSE)</f>
        <v>0</v>
      </c>
      <c r="M6" s="125">
        <f>VLOOKUP($A6,'Scouting Output'!$A$3:$AJ$250, 7,FALSE)</f>
        <v>0</v>
      </c>
      <c r="N6" s="88">
        <f>SUM(VLOOKUP($A6,'Scouting Output'!$A$3:$AJ$250,8,FALSE), VLOOKUP($A6,'Scouting Output'!$A$3:$AJ$250,9,FALSE), VLOOKUP($A6,'Scouting Output'!$A$3:$AJ$250,10,FALSE), VLOOKUP($A6,'Scouting Output'!$A$3:$AJ$250,11,FALSE))</f>
        <v>0</v>
      </c>
      <c r="O6" s="88">
        <f>VLOOKUP($A6,'Scouting Output'!$A$3:$AJ$250, 12,FALSE)</f>
        <v>0</v>
      </c>
      <c r="P6" s="86">
        <f>SUM(VLOOKUP($A6,'Scouting Output'!$A$3:$AJ$250,13,FALSE), VLOOKUP($A6,'Scouting Output'!$A$3:$AJ$250,14,FALSE), VLOOKUP($A6,'Scouting Output'!$A$3:$AJ$250,15,FALSE), VLOOKUP($A6,'Scouting Output'!$A$3:$AJ$250,16,FALSE))</f>
        <v>0</v>
      </c>
    </row>
    <row r="7" spans="1:16" ht="15.75" thickTop="1">
      <c r="A7" s="128" t="s">
        <v>336</v>
      </c>
      <c r="B7" s="131">
        <f>SUM(B4:B6)</f>
        <v>12.700000000000001</v>
      </c>
      <c r="M7" s="4"/>
    </row>
    <row r="8" spans="1:16">
      <c r="M8" s="4"/>
    </row>
    <row r="9" spans="1:16" ht="15.75" thickBot="1">
      <c r="A9" s="129"/>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6.5" thickTop="1" thickBot="1">
      <c r="A10" s="27">
        <f>VLOOKUP($B$1,'EVENT DATA'!$B$5:$H$99,5,FALSE)</f>
        <v>7721</v>
      </c>
      <c r="B10" s="76">
        <f>VLOOKUP($A10,'Scouting Output'!$A$3:$AJ$250, 3,FALSE)</f>
        <v>0</v>
      </c>
      <c r="C10" s="76">
        <f>VLOOKUP($A10,'Scouting Output'!$A$3:$AJ$250, 17,FALSE)</f>
        <v>0</v>
      </c>
      <c r="D10" s="76">
        <f>VLOOKUP(A10,'Scouting Output'!$A$3:$AJ$250, 18, FALSE)</f>
        <v>0</v>
      </c>
      <c r="E10" s="76">
        <f>SUM(VLOOKUP($A10,'Scouting Output'!$A$3:$AJ$250,19,FALSE), VLOOKUP($A10,'Scouting Output'!$A$3:$AJ$250,20,FALSE))</f>
        <v>0</v>
      </c>
      <c r="F10" s="76">
        <f>SUM(VLOOKUP($A10,'Scouting Output'!$A$3:$AJ$250,21,FALSE), VLOOKUP($A10,'Scouting Output'!$A$3:$AJ$250,22,FALSE))</f>
        <v>0</v>
      </c>
      <c r="G10" s="76">
        <f>VLOOKUP(A10,'Scouting Output'!$A$3:$AJ$250, 23, FALSE)</f>
        <v>0</v>
      </c>
      <c r="H10" s="76">
        <f>SUM(VLOOKUP($A10,'Scouting Output'!$A$3:$AJ$250,24,FALSE), VLOOKUP($A10,'Scouting Output'!$A$3:$AJ$250,25,FALSE))</f>
        <v>0</v>
      </c>
      <c r="I10" s="76">
        <f>SUM(VLOOKUP($A10,'Scouting Output'!$A$3:$AJ$250,26,FALSE), VLOOKUP($A10,'Scouting Output'!$A$3:$AJ$250,27,FALSE))</f>
        <v>0</v>
      </c>
      <c r="J10" s="76">
        <f>VLOOKUP(A10,'Scouting Output'!$A$3:$AJ$250, 30, FALSE)</f>
        <v>0</v>
      </c>
      <c r="K10" s="76">
        <f>VLOOKUP(A10,'Scouting Output'!$A$3:$AJ$250, 28, FALSE)</f>
        <v>0</v>
      </c>
      <c r="L10" s="76">
        <f>VLOOKUP(A10,'Scouting Output'!$A$3:$AJ$250, 34, FALSE)</f>
        <v>0</v>
      </c>
      <c r="M10" s="127">
        <f>VLOOKUP($A10,'Scouting Output'!$A$3:$AJ$250, 7,FALSE)</f>
        <v>0</v>
      </c>
      <c r="N10" s="76">
        <f>SUM(VLOOKUP($A10,'Scouting Output'!$A$3:$AJ$250,8,FALSE), VLOOKUP($A10,'Scouting Output'!$A$3:$AJ$250,9,FALSE), VLOOKUP($A10,'Scouting Output'!$A$3:$AJ$250,10,FALSE), VLOOKUP($A10,'Scouting Output'!$A$3:$AJ$250,11,FALSE))</f>
        <v>0</v>
      </c>
      <c r="O10" s="76">
        <f>VLOOKUP($A10,'Scouting Output'!$A$3:$AJ$250, 12,FALSE)</f>
        <v>0</v>
      </c>
      <c r="P10" s="79">
        <f>SUM(VLOOKUP($A10,'Scouting Output'!$A$3:$AJ$250,13,FALSE), VLOOKUP($A10,'Scouting Output'!$A$3:$AJ$250,14,FALSE), VLOOKUP($A10,'Scouting Output'!$A$3:$AJ$250,15,FALSE), VLOOKUP($A10,'Scouting Output'!$A$3:$AJ$250,16,FALSE))</f>
        <v>0</v>
      </c>
    </row>
    <row r="11" spans="1:16" ht="16.5" thickTop="1" thickBot="1">
      <c r="A11" s="27">
        <f>VLOOKUP($B$1,'EVENT DATA'!$B$5:$H$99,6,FALSE)</f>
        <v>7200</v>
      </c>
      <c r="B11" s="76">
        <f>VLOOKUP($A11,'Scouting Output'!$A$3:$AJ$250, 3,FALSE)</f>
        <v>0</v>
      </c>
      <c r="C11" s="76">
        <f>VLOOKUP($A11,'Scouting Output'!$A$3:$AJ$250, 17,FALSE)</f>
        <v>0</v>
      </c>
      <c r="D11" s="76">
        <f>VLOOKUP(A11,'Scouting Output'!$A$3:$AJ$250, 18, FALSE)</f>
        <v>0</v>
      </c>
      <c r="E11" s="76">
        <f>SUM(VLOOKUP($A11,'Scouting Output'!$A$3:$AJ$250,19,FALSE), VLOOKUP($A11,'Scouting Output'!$A$3:$AJ$250,20,FALSE))</f>
        <v>0</v>
      </c>
      <c r="F11" s="76">
        <f>SUM(VLOOKUP($A11,'Scouting Output'!$A$3:$AJ$250,21,FALSE), VLOOKUP($A11,'Scouting Output'!$A$3:$AJ$250,22,FALSE))</f>
        <v>0</v>
      </c>
      <c r="G11" s="76">
        <f>VLOOKUP(A11,'Scouting Output'!$A$3:$AJ$250, 23, FALSE)</f>
        <v>0</v>
      </c>
      <c r="H11" s="76">
        <f>SUM(VLOOKUP($A11,'Scouting Output'!$A$3:$AJ$250,24,FALSE), VLOOKUP($A11,'Scouting Output'!$A$3:$AJ$250,25,FALSE))</f>
        <v>0</v>
      </c>
      <c r="I11" s="76">
        <f>SUM(VLOOKUP($A11,'Scouting Output'!$A$3:$AJ$250,26,FALSE), VLOOKUP($A11,'Scouting Output'!$A$3:$AJ$250,27,FALSE))</f>
        <v>0</v>
      </c>
      <c r="J11" s="76">
        <f>VLOOKUP(A11,'Scouting Output'!$A$3:$AJ$250, 30, FALSE)</f>
        <v>0</v>
      </c>
      <c r="K11" s="76">
        <f>VLOOKUP(A11,'Scouting Output'!$A$3:$AJ$250, 28, FALSE)</f>
        <v>0</v>
      </c>
      <c r="L11" s="76">
        <f>VLOOKUP(A11,'Scouting Output'!$A$3:$AJ$250, 34, FALSE)</f>
        <v>0</v>
      </c>
      <c r="M11" s="127">
        <f>VLOOKUP($A11,'Scouting Output'!$A$3:$AJ$250, 7,FALSE)</f>
        <v>0</v>
      </c>
      <c r="N11" s="76">
        <f>SUM(VLOOKUP($A11,'Scouting Output'!$A$3:$AJ$250,8,FALSE), VLOOKUP($A11,'Scouting Output'!$A$3:$AJ$250,9,FALSE), VLOOKUP($A11,'Scouting Output'!$A$3:$AJ$250,10,FALSE), VLOOKUP($A11,'Scouting Output'!$A$3:$AJ$250,11,FALSE))</f>
        <v>0</v>
      </c>
      <c r="O11" s="76">
        <f>VLOOKUP($A11,'Scouting Output'!$A$3:$AJ$250, 12,FALSE)</f>
        <v>0</v>
      </c>
      <c r="P11" s="79">
        <f>SUM(VLOOKUP($A11,'Scouting Output'!$A$3:$AJ$250,13,FALSE), VLOOKUP($A11,'Scouting Output'!$A$3:$AJ$250,14,FALSE), VLOOKUP($A11,'Scouting Output'!$A$3:$AJ$250,15,FALSE), VLOOKUP($A11,'Scouting Output'!$A$3:$AJ$250,16,FALSE))</f>
        <v>0</v>
      </c>
    </row>
    <row r="12" spans="1:16" ht="16.5" thickTop="1" thickBot="1">
      <c r="A12" s="27">
        <f>VLOOKUP($B$1,'EVENT DATA'!$B$5:$H$99,7,FALSE)</f>
        <v>907</v>
      </c>
      <c r="B12" s="76">
        <f>VLOOKUP($A12,'Scouting Output'!$A$3:$AJ$250, 3,FALSE)</f>
        <v>0</v>
      </c>
      <c r="C12" s="76">
        <f>VLOOKUP($A12,'Scouting Output'!$A$3:$AJ$250, 17,FALSE)</f>
        <v>0</v>
      </c>
      <c r="D12" s="76">
        <f>VLOOKUP(A12,'Scouting Output'!$A$3:$AJ$250, 18, FALSE)</f>
        <v>0</v>
      </c>
      <c r="E12" s="76">
        <f>SUM(VLOOKUP($A12,'Scouting Output'!$A$3:$AJ$250,19,FALSE), VLOOKUP($A12,'Scouting Output'!$A$3:$AJ$250,20,FALSE))</f>
        <v>0</v>
      </c>
      <c r="F12" s="76">
        <f>SUM(VLOOKUP($A12,'Scouting Output'!$A$3:$AJ$250,21,FALSE), VLOOKUP($A12,'Scouting Output'!$A$3:$AJ$250,22,FALSE))</f>
        <v>0</v>
      </c>
      <c r="G12" s="76">
        <f>VLOOKUP(A12,'Scouting Output'!$A$3:$AJ$250, 23, FALSE)</f>
        <v>0</v>
      </c>
      <c r="H12" s="76">
        <f>SUM(VLOOKUP($A12,'Scouting Output'!$A$3:$AJ$250,24,FALSE), VLOOKUP($A12,'Scouting Output'!$A$3:$AJ$250,25,FALSE))</f>
        <v>0</v>
      </c>
      <c r="I12" s="76">
        <f>SUM(VLOOKUP($A12,'Scouting Output'!$A$3:$AJ$250,26,FALSE), VLOOKUP($A12,'Scouting Output'!$A$3:$AJ$250,27,FALSE))</f>
        <v>0</v>
      </c>
      <c r="J12" s="76">
        <f>VLOOKUP(A12,'Scouting Output'!$A$3:$AJ$250, 30, FALSE)</f>
        <v>0</v>
      </c>
      <c r="K12" s="76">
        <f>VLOOKUP(A12,'Scouting Output'!$A$3:$AJ$250, 28, FALSE)</f>
        <v>0</v>
      </c>
      <c r="L12" s="76">
        <f>VLOOKUP(A12,'Scouting Output'!$A$3:$AJ$250, 34, FALSE)</f>
        <v>0</v>
      </c>
      <c r="M12" s="127">
        <f>VLOOKUP($A12,'Scouting Output'!$A$3:$AJ$250, 7,FALSE)</f>
        <v>0</v>
      </c>
      <c r="N12" s="76">
        <f>SUM(VLOOKUP($A12,'Scouting Output'!$A$3:$AJ$250,8,FALSE), VLOOKUP($A12,'Scouting Output'!$A$3:$AJ$250,9,FALSE), VLOOKUP($A12,'Scouting Output'!$A$3:$AJ$250,10,FALSE), VLOOKUP($A12,'Scouting Output'!$A$3:$AJ$250,11,FALSE))</f>
        <v>0</v>
      </c>
      <c r="O12" s="76">
        <f>VLOOKUP($A12,'Scouting Output'!$A$3:$AJ$250, 12,FALSE)</f>
        <v>0</v>
      </c>
      <c r="P12" s="79">
        <f>SUM(VLOOKUP($A12,'Scouting Output'!$A$3:$AJ$250,13,FALSE), VLOOKUP($A12,'Scouting Output'!$A$3:$AJ$250,14,FALSE), VLOOKUP($A12,'Scouting Output'!$A$3:$AJ$250,15,FALSE), VLOOKUP($A12,'Scouting Output'!$A$3:$AJ$250,16,FALSE))</f>
        <v>0</v>
      </c>
    </row>
    <row r="13" spans="1:16" ht="15.75" thickTop="1">
      <c r="A13" t="s">
        <v>336</v>
      </c>
      <c r="B13">
        <f>SUM(B10:B12)</f>
        <v>0</v>
      </c>
      <c r="G13" s="82"/>
      <c r="M13" s="4"/>
    </row>
    <row r="14" spans="1:16">
      <c r="M14" s="4"/>
    </row>
  </sheetData>
  <mergeCells count="2">
    <mergeCell ref="M2:P2"/>
    <mergeCell ref="B2:L2"/>
  </mergeCells>
  <conditionalFormatting sqref="A4:A7">
    <cfRule type="cellIs" dxfId="83" priority="3" operator="equal">
      <formula>6135</formula>
    </cfRule>
  </conditionalFormatting>
  <conditionalFormatting sqref="A10:A12">
    <cfRule type="cellIs" dxfId="82" priority="2" operator="equal">
      <formula>6135</formula>
    </cfRule>
  </conditionalFormatting>
  <conditionalFormatting sqref="A7:B7">
    <cfRule type="expression" priority="1">
      <formula>"if($B$7&gt;$B$13,TRUE,FALSE)"</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D2D37-2613-489A-8643-446C037CDEBC}">
  <sheetPr codeName="Sheet15">
    <tabColor theme="4" tint="0.39997558519241921"/>
  </sheetPr>
  <dimension ref="A1:AZ250"/>
  <sheetViews>
    <sheetView zoomScale="75" zoomScaleNormal="50" workbookViewId="0">
      <pane xSplit="2" ySplit="2" topLeftCell="C3" activePane="bottomRight" state="frozen"/>
      <selection pane="topRight" activeCell="C1" sqref="C1"/>
      <selection pane="bottomLeft" activeCell="A3" sqref="A3"/>
      <selection pane="bottomRight" activeCell="C25" sqref="C25"/>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52" s="1" customFormat="1">
      <c r="A1" s="189" t="s">
        <v>0</v>
      </c>
      <c r="B1" s="189"/>
      <c r="G1" s="192" t="s">
        <v>9</v>
      </c>
      <c r="H1" s="189"/>
      <c r="I1" s="189"/>
      <c r="J1" s="189"/>
      <c r="K1" s="189"/>
      <c r="L1" s="189"/>
      <c r="M1" s="189"/>
      <c r="N1" s="189"/>
      <c r="O1" s="189"/>
      <c r="P1" s="193"/>
      <c r="Q1" s="191" t="s">
        <v>1</v>
      </c>
      <c r="R1" s="176"/>
      <c r="S1" s="176"/>
      <c r="T1" s="176"/>
      <c r="U1" s="176"/>
      <c r="V1" s="176"/>
      <c r="W1" s="176"/>
      <c r="X1" s="176"/>
      <c r="Y1" s="176"/>
      <c r="Z1" s="176"/>
      <c r="AA1" s="176"/>
      <c r="AB1" s="176"/>
      <c r="AC1" s="176"/>
      <c r="AD1" s="194"/>
      <c r="AE1" s="191" t="s">
        <v>2</v>
      </c>
      <c r="AF1" s="176"/>
      <c r="AG1" s="176"/>
      <c r="AH1" s="176"/>
      <c r="AI1" s="194"/>
      <c r="AJ1" s="4"/>
      <c r="AK1"/>
    </row>
    <row r="2" spans="1:52" s="1" customFormat="1" ht="15.75" thickBot="1">
      <c r="A2" s="2" t="s">
        <v>3</v>
      </c>
      <c r="B2" s="5" t="s">
        <v>4</v>
      </c>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c r="AN2" s="1" t="s">
        <v>355</v>
      </c>
    </row>
    <row r="3" spans="1:52">
      <c r="A3">
        <v>188</v>
      </c>
      <c r="B3" t="s">
        <v>198</v>
      </c>
      <c r="C3">
        <f t="shared" ref="C3:C66" si="0">PRODUCT($E3,3)+PRODUCT(SUM($H3:$K3),2)+PRODUCT(SUM($M3:$P3),3)+PRODUCT(SUM($S3:$V3),2)+PRODUCT(SUM($X3:$AA3), 3)+IF($AC3 &gt; 2, PRODUCT(SUM($AC3, -1),6), PRODUCT($AC3,3)) + IF($AD3 &gt; 2, PRODUCT(SUM($AD3, -1),6), PRODUCT($AD3,3)) + PRODUCT($AH3, -1)</f>
        <v>18.777777777777779</v>
      </c>
      <c r="D3">
        <f t="shared" ref="D3:D66" si="1">PRODUCT(SUM($H3:$I3), 2) + PRODUCT(SUM($M3:$N3),3) + PRODUCT(SUM($S3:$T3), 2) + PRODUCT(SUM($X3:$Y3), 3)</f>
        <v>5</v>
      </c>
      <c r="E3">
        <f>IF( COUNTIF('Raw Data'!$A$3:$A$2927,$A3)=0,0,SUMIF('Raw Data'!$A$3:$A$2927, $A3,'Raw Data'!D$3:D$2927) / COUNTIF('Raw Data'!$A$3:$A$2927,$A3))</f>
        <v>1.1111111111111112</v>
      </c>
      <c r="F3">
        <f>MAX(IF('Raw Data'!$A$3:$A$927=$A3, 'Raw Data'!$O$3:$O$927))</f>
        <v>0</v>
      </c>
      <c r="G3">
        <f>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MAX(IF('Raw Data'!$A$3:$A$927=$A3, 'Raw Data'!$Z$3:$Z$927))</f>
        <v>0</v>
      </c>
      <c r="R3">
        <f>MAX(IF('Raw Data'!$A$3:$A$927=$A3, 'Raw Data'!$T$3:$T$927))</f>
        <v>0</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MAX(IF('Raw Data'!$A$3:$A$927=$A3, 'Raw Data'!$Y$3:$Y$927))</f>
        <v>0</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 t="shared" ref="AK3:AK34" si="2">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 t="shared" ref="AL3:AL34" si="3">SUM(hHatch * SUM($H3:$K3), hHatch * SUM($S3:$V3), hRocket23 * SUM($J3:$K3), hRocket23 * SUM($U3:$V3), hSandstorm * SUM($H3:$K3), hPenalty * $AH3, hDropHatch * $AI3,hTippedBroke * SUM($AE3:$AF3), IF($E3 &lt; hNoAutoThreshold, hNoAuto), IF($AG3 &gt; hFloorHatchThreshold, hFloorHatch))</f>
        <v>1.6111111111111112</v>
      </c>
      <c r="AM3">
        <f t="shared" ref="AM3:AM34" si="4">SUM(cCargo * SUM($M3:$P3), cCargo *SUM( $X3:$AA3), cRocket23 * SUM($O3:$P3, $Z3:$AA3),cSandstorm * SUM($M3:$P3), cPenalty * $AH3, cTippedBroke * SUM($AE3:$AF3), IF($E3 &lt; cNoAutoThreshold, cNoAuto, 0))</f>
        <v>3.5555555555555554</v>
      </c>
      <c r="AN3">
        <f t="shared" ref="AN3:AN42" si="5">IFERROR(SUM(IF($E3 &gt;_2autoThreshold, _2auto), _2hatch * SUM($H3:$K3), _2cargo * SUM($M3:$P3), _2hatch * SUM( $S3:$V3), _2cargo * SUM($X3:$AA3), _2rocket23 * SUM($J3:$K3, $O3:$P3, $U3:$V3, $Z3:$AA3), IF($AD3 &gt; _2climbThreshold, _2climb * $AD3), IF($AC3 &gt; _2assistThreshold, $AC3 * _2assist), $AH3 * _2penalty, _2dropHatch * $AI3, _2tippedBroke * SUM($AE3:$AF3),  IF( $E3 &lt; _2noAutoThreshold, _2noAuto), IF($C3 &lt; _2doesNothingThreshold, _2doesNothing)), "h")</f>
        <v>2.3888888888888893</v>
      </c>
      <c r="AO3" t="b">
        <f>IF('Raw Data'!$A$3:$A$927=$A3, 'Raw Data'!$Z$3:$Z$927)</f>
        <v>0</v>
      </c>
    </row>
    <row r="4" spans="1:52">
      <c r="A4">
        <v>216</v>
      </c>
      <c r="B4" t="s">
        <v>441</v>
      </c>
      <c r="C4">
        <f t="shared" si="0"/>
        <v>0</v>
      </c>
      <c r="D4">
        <f t="shared" si="1"/>
        <v>0</v>
      </c>
      <c r="E4">
        <f>IF( COUNTIF('Raw Data'!$A$3:$A$2927,$A4)=0,0,SUMIF('Raw Data'!$A$3:$A$2927, $A4,'Raw Data'!D$3:D$2927) / COUNTIF('Raw Data'!$A$3:$A$2927,$A4))</f>
        <v>0</v>
      </c>
      <c r="F4">
        <f>MAX(IF('Raw Data'!$A$3:$A$927=$A4, 'Raw Data'!$O$3:$O$927))</f>
        <v>0</v>
      </c>
      <c r="G4">
        <f>MAX(IF('Raw Data'!$A$3:$A$927=$A4, 'Raw Data'!$I$3:$I$927))</f>
        <v>0</v>
      </c>
      <c r="H4">
        <f>IF( COUNTIF('Raw Data'!$A$3:$A$2927,$A4)=0,0,SUMIF('Raw Data'!$A$3:$A$2927, $A4,'Raw Data'!E$3:E$2927) / COUNTIF('Raw Data'!$A$3:$A$2927,$A4))</f>
        <v>0</v>
      </c>
      <c r="I4">
        <f>IF( COUNTIF('Raw Data'!$A$3:$A$2927,$A4)=0,0,SUMIF('Raw Data'!$A$3:$A$2927, $A4,'Raw Data'!F$3:F$2927) / COUNTIF('Raw Data'!$A$3:$A$2927,$A4))</f>
        <v>0</v>
      </c>
      <c r="J4">
        <f>IF( COUNTIF('Raw Data'!$A$3:$A$2927,$A4)=0,0,SUMIF('Raw Data'!$A$3:$A$2927, $A4,'Raw Data'!G$3:G$2927) / COUNTIF('Raw Data'!$A$3:$A$2927,$A4))</f>
        <v>0</v>
      </c>
      <c r="K4">
        <f>IF( COUNTIF('Raw Data'!$A$3:$A$2927,$A4)=0,0,SUMIF('Raw Data'!$A$3:$A$2927, $A4,'Raw Data'!H$3:H$2927) / COUNTIF('Raw Data'!$A$3:$A$2927,$A4))</f>
        <v>0</v>
      </c>
      <c r="L4">
        <f>MAX(IF('Raw Data'!$A$3:$A$927=$A4, 'Raw Data'!$N$3:$N$927))</f>
        <v>0</v>
      </c>
      <c r="M4">
        <f>IF( COUNTIF('Raw Data'!$A$3:$A$2927,$A4)=0,0,SUMIF('Raw Data'!$A$3:$A$2927, $A4,'Raw Data'!J$3:J$2927) / COUNTIF('Raw Data'!$A$3:$A$2927,$A4))</f>
        <v>0</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MAX(IF('Raw Data'!$A$3:$A$927=$A4, 'Raw Data'!$Z$3:$Z$927))</f>
        <v>0</v>
      </c>
      <c r="R4">
        <f>MAX(IF('Raw Data'!$A$3:$A$927=$A4, 'Raw Data'!$T$3:$T$927))</f>
        <v>0</v>
      </c>
      <c r="S4">
        <f>IF( COUNTIF('Raw Data'!$A$3:$A$2927,$A4)=0,0,SUMIF('Raw Data'!$A$3:$A$2927, $A4,'Raw Data'!P$3:P$2927) / COUNTIF('Raw Data'!$A$3:$A$2927,$A4))</f>
        <v>0</v>
      </c>
      <c r="T4">
        <f>IF( COUNTIF('Raw Data'!$A$3:$A$2927,$A4)=0,0,SUMIF('Raw Data'!$A$3:$A$2927, $A4,'Raw Data'!Q$3:Q$2927) / COUNTIF('Raw Data'!$A$3:$A$2927,$A4))</f>
        <v>0</v>
      </c>
      <c r="U4">
        <f>IF( COUNTIF('Raw Data'!$A$3:$A$2927,$A4)=0,0,SUMIF('Raw Data'!$A$3:$A$2927, $A4,'Raw Data'!R$3:R$2927) / COUNTIF('Raw Data'!$A$3:$A$2927,$A4))</f>
        <v>0</v>
      </c>
      <c r="V4">
        <f>IF( COUNTIF('Raw Data'!$A$3:$A$2927,$A4)=0,0,SUMIF('Raw Data'!$A$3:$A$2927, $A4,'Raw Data'!S$3:S$2927) / COUNTIF('Raw Data'!$A$3:$A$2927,$A4))</f>
        <v>0</v>
      </c>
      <c r="W4">
        <f>MAX(IF('Raw Data'!$A$3:$A$927=$A4, 'Raw Data'!$Y$3:$Y$927))</f>
        <v>0</v>
      </c>
      <c r="X4">
        <f>IF( COUNTIF('Raw Data'!$A$3:$A$2927,$A4)=0,0,SUMIF('Raw Data'!$A$3:$A$2927, $A4,'Raw Data'!U$3:U$2927) / COUNTIF('Raw Data'!$A$3:$A$2927,$A4))</f>
        <v>0</v>
      </c>
      <c r="Y4">
        <f>IF( COUNTIF('Raw Data'!$A$3:$A$2927,$A4)=0,0,SUMIF('Raw Data'!$A$3:$A$2927, $A4,'Raw Data'!V$3:V$2927) / COUNTIF('Raw Data'!$A$3:$A$2927,$A4))</f>
        <v>0</v>
      </c>
      <c r="Z4">
        <f>IF( COUNTIF('Raw Data'!$A$3:$A$2927,$A4)=0,0,SUMIF('Raw Data'!$A$3:$A$2927, $A4,'Raw Data'!W$3:W$2927) / COUNTIF('Raw Data'!$A$3:$A$2927,$A4))</f>
        <v>0</v>
      </c>
      <c r="AA4">
        <f>IF( COUNTIF('Raw Data'!$A$3:$A$2927,$A4)=0,0,SUMIF('Raw Data'!$A$3:$A$2927, $A4,'Raw Data'!X$3:X$2927) / COUNTIF('Raw Data'!$A$3:$A$2927,$A4))</f>
        <v>0</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0</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v>
      </c>
      <c r="AI4">
        <f>IF( COUNTIF('Raw Data'!$A$3:$A$2927,$A4)=0,0,SUMIF('Raw Data'!$A$3:$A$2927, $A4,'Raw Data'!AH$3:AH$2927) / COUNTIF('Raw Data'!$A$3:$A$2927,$A4))</f>
        <v>0</v>
      </c>
      <c r="AJ4" s="117">
        <f>COUNTIF('Raw Data'!A$3:A$2927, $A4)</f>
        <v>0</v>
      </c>
      <c r="AK4">
        <f t="shared" si="2"/>
        <v>-21</v>
      </c>
      <c r="AL4">
        <f t="shared" si="3"/>
        <v>-1.5</v>
      </c>
      <c r="AM4">
        <f t="shared" si="4"/>
        <v>-1</v>
      </c>
      <c r="AN4">
        <f t="shared" si="5"/>
        <v>-21</v>
      </c>
    </row>
    <row r="5" spans="1:52">
      <c r="A5">
        <v>244</v>
      </c>
      <c r="B5" t="s">
        <v>442</v>
      </c>
      <c r="C5">
        <f t="shared" si="0"/>
        <v>0</v>
      </c>
      <c r="D5">
        <f t="shared" si="1"/>
        <v>0</v>
      </c>
      <c r="E5">
        <f>IF( COUNTIF('Raw Data'!$A$3:$A$2927,$A5)=0,0,SUMIF('Raw Data'!$A$3:$A$2927, $A5,'Raw Data'!D$3:D$2927) / COUNTIF('Raw Data'!$A$3:$A$2927,$A5))</f>
        <v>0</v>
      </c>
      <c r="F5">
        <f>MAX(IF('Raw Data'!$A$3:$A$927=$A5, 'Raw Data'!$O$3:$O$927))</f>
        <v>0</v>
      </c>
      <c r="G5">
        <f>MAX(IF('Raw Data'!$A$3:$A$927=$A5, 'Raw Data'!$I$3:$I$927))</f>
        <v>0</v>
      </c>
      <c r="H5">
        <f>IF( COUNTIF('Raw Data'!$A$3:$A$2927,$A5)=0,0,SUMIF('Raw Data'!$A$3:$A$2927, $A5,'Raw Data'!E$3:E$2927) / COUNTIF('Raw Data'!$A$3:$A$2927,$A5))</f>
        <v>0</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MAX(IF('Raw Data'!$A$3:$A$927=$A5, 'Raw Data'!$Z$3:$Z$927))</f>
        <v>0</v>
      </c>
      <c r="R5">
        <f>MAX(IF('Raw Data'!$A$3:$A$927=$A5, 'Raw Data'!$T$3:$T$927))</f>
        <v>0</v>
      </c>
      <c r="S5">
        <f>IF( COUNTIF('Raw Data'!$A$3:$A$2927,$A5)=0,0,SUMIF('Raw Data'!$A$3:$A$2927, $A5,'Raw Data'!P$3:P$2927) / COUNTIF('Raw Data'!$A$3:$A$2927,$A5))</f>
        <v>0</v>
      </c>
      <c r="T5">
        <f>IF( COUNTIF('Raw Data'!$A$3:$A$2927,$A5)=0,0,SUMIF('Raw Data'!$A$3:$A$2927, $A5,'Raw Data'!Q$3:Q$2927) / COUNTIF('Raw Data'!$A$3:$A$2927,$A5))</f>
        <v>0</v>
      </c>
      <c r="U5">
        <f>IF( COUNTIF('Raw Data'!$A$3:$A$2927,$A5)=0,0,SUMIF('Raw Data'!$A$3:$A$2927, $A5,'Raw Data'!R$3:R$2927) / COUNTIF('Raw Data'!$A$3:$A$2927,$A5))</f>
        <v>0</v>
      </c>
      <c r="V5">
        <f>IF( COUNTIF('Raw Data'!$A$3:$A$2927,$A5)=0,0,SUMIF('Raw Data'!$A$3:$A$2927, $A5,'Raw Data'!S$3:S$2927) / COUNTIF('Raw Data'!$A$3:$A$2927,$A5))</f>
        <v>0</v>
      </c>
      <c r="W5">
        <f>MAX(IF('Raw Data'!$A$3:$A$927=$A5, 'Raw Data'!$Y$3:$Y$927))</f>
        <v>0</v>
      </c>
      <c r="X5">
        <f>IF( COUNTIF('Raw Data'!$A$3:$A$2927,$A5)=0,0,SUMIF('Raw Data'!$A$3:$A$2927, $A5,'Raw Data'!U$3:U$2927) / COUNTIF('Raw Data'!$A$3:$A$2927,$A5))</f>
        <v>0</v>
      </c>
      <c r="Y5">
        <f>IF( COUNTIF('Raw Data'!$A$3:$A$2927,$A5)=0,0,SUMIF('Raw Data'!$A$3:$A$2927, $A5,'Raw Data'!V$3:V$2927) / COUNTIF('Raw Data'!$A$3:$A$2927,$A5))</f>
        <v>0</v>
      </c>
      <c r="Z5">
        <f>IF( COUNTIF('Raw Data'!$A$3:$A$2927,$A5)=0,0,SUMIF('Raw Data'!$A$3:$A$2927, $A5,'Raw Data'!W$3:W$2927) / COUNTIF('Raw Data'!$A$3:$A$2927,$A5))</f>
        <v>0</v>
      </c>
      <c r="AA5">
        <f>IF( COUNTIF('Raw Data'!$A$3:$A$2927,$A5)=0,0,SUMIF('Raw Data'!$A$3:$A$2927, $A5,'Raw Data'!X$3:X$2927) / COUNTIF('Raw Data'!$A$3:$A$2927,$A5))</f>
        <v>0</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0</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v>
      </c>
      <c r="AI5">
        <f>IF( COUNTIF('Raw Data'!$A$3:$A$2927,$A5)=0,0,SUMIF('Raw Data'!$A$3:$A$2927, $A5,'Raw Data'!AH$3:AH$2927) / COUNTIF('Raw Data'!$A$3:$A$2927,$A5))</f>
        <v>0</v>
      </c>
      <c r="AJ5" s="117">
        <f>COUNTIF('Raw Data'!A$3:A$2927, $A5)</f>
        <v>0</v>
      </c>
      <c r="AK5">
        <f t="shared" si="2"/>
        <v>-21</v>
      </c>
      <c r="AL5">
        <f t="shared" si="3"/>
        <v>-1.5</v>
      </c>
      <c r="AM5">
        <f t="shared" si="4"/>
        <v>-1</v>
      </c>
      <c r="AN5">
        <f t="shared" si="5"/>
        <v>-21</v>
      </c>
      <c r="AP5" t="s">
        <v>289</v>
      </c>
    </row>
    <row r="6" spans="1:52">
      <c r="A6">
        <v>288</v>
      </c>
      <c r="B6" t="s">
        <v>443</v>
      </c>
      <c r="C6">
        <f t="shared" si="0"/>
        <v>0</v>
      </c>
      <c r="D6">
        <f t="shared" si="1"/>
        <v>0</v>
      </c>
      <c r="E6">
        <f>IF( COUNTIF('Raw Data'!$A$3:$A$2927,$A6)=0,0,SUMIF('Raw Data'!$A$3:$A$2927, $A6,'Raw Data'!D$3:D$2927) / COUNTIF('Raw Data'!$A$3:$A$2927,$A6))</f>
        <v>0</v>
      </c>
      <c r="F6">
        <f>MAX(IF('Raw Data'!$A$3:$A$927=$A6, 'Raw Data'!$O$3:$O$927))</f>
        <v>0</v>
      </c>
      <c r="G6">
        <f>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MAX(IF('Raw Data'!$A$3:$A$927=$A6, 'Raw Data'!$N$3:$N$927))</f>
        <v>0</v>
      </c>
      <c r="M6">
        <f>IF( COUNTIF('Raw Data'!$A$3:$A$2927,$A6)=0,0,SUMIF('Raw Data'!$A$3:$A$2927, $A6,'Raw Data'!J$3:J$2927) / COUNTIF('Raw Data'!$A$3:$A$2927,$A6))</f>
        <v>0</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MAX(IF('Raw Data'!$A$3:$A$927=$A6, 'Raw Data'!$Z$3:$Z$927))</f>
        <v>0</v>
      </c>
      <c r="R6">
        <f>MAX(IF('Raw Data'!$A$3:$A$927=$A6, 'Raw Data'!$T$3:$T$927))</f>
        <v>0</v>
      </c>
      <c r="S6">
        <f>IF( COUNTIF('Raw Data'!$A$3:$A$2927,$A6)=0,0,SUMIF('Raw Data'!$A$3:$A$2927, $A6,'Raw Data'!P$3:P$2927) / COUNTIF('Raw Data'!$A$3:$A$2927,$A6))</f>
        <v>0</v>
      </c>
      <c r="T6">
        <f>IF( COUNTIF('Raw Data'!$A$3:$A$2927,$A6)=0,0,SUMIF('Raw Data'!$A$3:$A$2927, $A6,'Raw Data'!Q$3:Q$2927) / COUNTIF('Raw Data'!$A$3:$A$2927,$A6))</f>
        <v>0</v>
      </c>
      <c r="U6">
        <f>IF( COUNTIF('Raw Data'!$A$3:$A$2927,$A6)=0,0,SUMIF('Raw Data'!$A$3:$A$2927, $A6,'Raw Data'!R$3:R$2927) / COUNTIF('Raw Data'!$A$3:$A$2927,$A6))</f>
        <v>0</v>
      </c>
      <c r="V6">
        <f>IF( COUNTIF('Raw Data'!$A$3:$A$2927,$A6)=0,0,SUMIF('Raw Data'!$A$3:$A$2927, $A6,'Raw Data'!S$3:S$2927) / COUNTIF('Raw Data'!$A$3:$A$2927,$A6))</f>
        <v>0</v>
      </c>
      <c r="W6">
        <f>MAX(IF('Raw Data'!$A$3:$A$927=$A6, 'Raw Data'!$Y$3:$Y$927))</f>
        <v>0</v>
      </c>
      <c r="X6">
        <f>IF( COUNTIF('Raw Data'!$A$3:$A$2927,$A6)=0,0,SUMIF('Raw Data'!$A$3:$A$2927, $A6,'Raw Data'!U$3:U$2927) / COUNTIF('Raw Data'!$A$3:$A$2927,$A6))</f>
        <v>0</v>
      </c>
      <c r="Y6">
        <f>IF( COUNTIF('Raw Data'!$A$3:$A$2927,$A6)=0,0,SUMIF('Raw Data'!$A$3:$A$2927, $A6,'Raw Data'!V$3:V$2927) / COUNTIF('Raw Data'!$A$3:$A$2927,$A6))</f>
        <v>0</v>
      </c>
      <c r="Z6">
        <f>IF( COUNTIF('Raw Data'!$A$3:$A$2927,$A6)=0,0,SUMIF('Raw Data'!$A$3:$A$2927, $A6,'Raw Data'!W$3:W$2927) / COUNTIF('Raw Data'!$A$3:$A$2927,$A6))</f>
        <v>0</v>
      </c>
      <c r="AA6">
        <f>IF( COUNTIF('Raw Data'!$A$3:$A$2927,$A6)=0,0,SUMIF('Raw Data'!$A$3:$A$2927, $A6,'Raw Data'!X$3:X$2927) / COUNTIF('Raw Data'!$A$3:$A$2927,$A6))</f>
        <v>0</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0</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v>
      </c>
      <c r="AJ6" s="117">
        <f>COUNTIF('Raw Data'!A$3:A$2927, $A6)</f>
        <v>0</v>
      </c>
      <c r="AK6">
        <f t="shared" si="2"/>
        <v>-21</v>
      </c>
      <c r="AL6">
        <f t="shared" si="3"/>
        <v>-1.5</v>
      </c>
      <c r="AM6">
        <f t="shared" si="4"/>
        <v>-1</v>
      </c>
      <c r="AN6">
        <f t="shared" si="5"/>
        <v>-21</v>
      </c>
      <c r="AP6" t="s">
        <v>261</v>
      </c>
    </row>
    <row r="7" spans="1:52">
      <c r="A7">
        <v>610</v>
      </c>
      <c r="B7" t="s">
        <v>199</v>
      </c>
      <c r="C7">
        <f t="shared" si="0"/>
        <v>21.555555555555554</v>
      </c>
      <c r="D7">
        <f t="shared" si="1"/>
        <v>7.333333333333333</v>
      </c>
      <c r="E7">
        <f>IF( COUNTIF('Raw Data'!$A$3:$A$2927,$A7)=0,0,SUMIF('Raw Data'!$A$3:$A$2927, $A7,'Raw Data'!D$3:D$2927) / COUNTIF('Raw Data'!$A$3:$A$2927,$A7))</f>
        <v>1.3333333333333333</v>
      </c>
      <c r="F7">
        <f>MAX(IF('Raw Data'!$A$3:$A$927=$A7, 'Raw Data'!$O$3:$O$927))</f>
        <v>0</v>
      </c>
      <c r="G7">
        <f>MAX(IF('Raw Data'!$A$3:$A$927=$A7, 'Raw Data'!$I$3:$I$927))</f>
        <v>0</v>
      </c>
      <c r="H7">
        <f>IF( COUNTIF('Raw Data'!$A$3:$A$2927,$A7)=0,0,SUMIF('Raw Data'!$A$3:$A$2927, $A7,'Raw Data'!E$3:E$2927) / COUNTIF('Raw Data'!$A$3:$A$2927,$A7))</f>
        <v>0.1111111111111111</v>
      </c>
      <c r="I7">
        <f>IF( COUNTIF('Raw Data'!$A$3:$A$2927,$A7)=0,0,SUMIF('Raw Data'!$A$3:$A$2927, $A7,'Raw Data'!F$3:F$2927) / COUNTIF('Raw Data'!$A$3:$A$2927,$A7))</f>
        <v>0.22222222222222221</v>
      </c>
      <c r="J7">
        <f>IF( COUNTIF('Raw Data'!$A$3:$A$2927,$A7)=0,0,SUMIF('Raw Data'!$A$3:$A$2927, $A7,'Raw Data'!G$3:G$2927) / COUNTIF('Raw Data'!$A$3:$A$2927,$A7))</f>
        <v>0</v>
      </c>
      <c r="K7">
        <f>IF( COUNTIF('Raw Data'!$A$3:$A$2927,$A7)=0,0,SUMIF('Raw Data'!$A$3:$A$2927, $A7,'Raw Data'!H$3:H$2927) / COUNTIF('Raw Data'!$A$3:$A$2927,$A7))</f>
        <v>0</v>
      </c>
      <c r="L7">
        <f>MAX(IF('Raw Data'!$A$3:$A$927=$A7, 'Raw Data'!$N$3:$N$927))</f>
        <v>0</v>
      </c>
      <c r="M7">
        <f>IF( COUNTIF('Raw Data'!$A$3:$A$2927,$A7)=0,0,SUMIF('Raw Data'!$A$3:$A$2927, $A7,'Raw Data'!J$3:J$2927) / COUNTIF('Raw Data'!$A$3:$A$2927,$A7))</f>
        <v>0.1111111111111111</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MAX(IF('Raw Data'!$A$3:$A$927=$A7, 'Raw Data'!$Z$3:$Z$927))</f>
        <v>0</v>
      </c>
      <c r="R7">
        <f>MAX(IF('Raw Data'!$A$3:$A$927=$A7, 'Raw Data'!$T$3:$T$927))</f>
        <v>0</v>
      </c>
      <c r="S7">
        <f>IF( COUNTIF('Raw Data'!$A$3:$A$2927,$A7)=0,0,SUMIF('Raw Data'!$A$3:$A$2927, $A7,'Raw Data'!P$3:P$2927) / COUNTIF('Raw Data'!$A$3:$A$2927,$A7))</f>
        <v>0.88888888888888884</v>
      </c>
      <c r="T7">
        <f>IF( COUNTIF('Raw Data'!$A$3:$A$2927,$A7)=0,0,SUMIF('Raw Data'!$A$3:$A$2927, $A7,'Raw Data'!Q$3:Q$2927) / COUNTIF('Raw Data'!$A$3:$A$2927,$A7))</f>
        <v>0.1111111111111111</v>
      </c>
      <c r="U7">
        <f>IF( COUNTIF('Raw Data'!$A$3:$A$2927,$A7)=0,0,SUMIF('Raw Data'!$A$3:$A$2927, $A7,'Raw Data'!R$3:R$2927) / COUNTIF('Raw Data'!$A$3:$A$2927,$A7))</f>
        <v>1</v>
      </c>
      <c r="V7">
        <f>IF( COUNTIF('Raw Data'!$A$3:$A$2927,$A7)=0,0,SUMIF('Raw Data'!$A$3:$A$2927, $A7,'Raw Data'!S$3:S$2927) / COUNTIF('Raw Data'!$A$3:$A$2927,$A7))</f>
        <v>0.44444444444444442</v>
      </c>
      <c r="W7">
        <f>MAX(IF('Raw Data'!$A$3:$A$927=$A7, 'Raw Data'!$Y$3:$Y$927))</f>
        <v>0</v>
      </c>
      <c r="X7">
        <f>IF( COUNTIF('Raw Data'!$A$3:$A$2927,$A7)=0,0,SUMIF('Raw Data'!$A$3:$A$2927, $A7,'Raw Data'!U$3:U$2927) / COUNTIF('Raw Data'!$A$3:$A$2927,$A7))</f>
        <v>1.4444444444444444</v>
      </c>
      <c r="Y7">
        <f>IF( COUNTIF('Raw Data'!$A$3:$A$2927,$A7)=0,0,SUMIF('Raw Data'!$A$3:$A$2927, $A7,'Raw Data'!V$3:V$2927) / COUNTIF('Raw Data'!$A$3:$A$2927,$A7))</f>
        <v>0</v>
      </c>
      <c r="Z7">
        <f>IF( COUNTIF('Raw Data'!$A$3:$A$2927,$A7)=0,0,SUMIF('Raw Data'!$A$3:$A$2927, $A7,'Raw Data'!W$3:W$2927) / COUNTIF('Raw Data'!$A$3:$A$2927,$A7))</f>
        <v>0.44444444444444442</v>
      </c>
      <c r="AA7">
        <f>IF( COUNTIF('Raw Data'!$A$3:$A$2927,$A7)=0,0,SUMIF('Raw Data'!$A$3:$A$2927, $A7,'Raw Data'!X$3:X$2927) / COUNTIF('Raw Data'!$A$3:$A$2927,$A7))</f>
        <v>0.22222222222222221</v>
      </c>
      <c r="AB7">
        <f>IF( COUNTIF('Raw Data'!$A$3:$A$2927,$A7)=0,0,SUMIF('Raw Data'!$A$3:$A$2927, $A7,'Raw Data'!AA$3:AA$2927) / COUNTIF('Raw Data'!$A$3:$A$2927,$A7))</f>
        <v>0</v>
      </c>
      <c r="AC7">
        <f>IF( COUNTIF('Raw Data'!$A$3:$A$2927,$A7)=0,0,SUMIF('Raw Data'!$A$3:$A$2927, $A7,'Raw Data'!AB$3:AB$2927) / COUNTIF('Raw Data'!$A$3:$A$2927,$A7))</f>
        <v>0</v>
      </c>
      <c r="AD7">
        <f>IF( COUNTIF('Raw Data'!$A$3:$A$2927,$A7)=0,0,SUMIF('Raw Data'!$A$3:$A$2927, $A7,'Raw Data'!AC$3:AC$2927) / COUNTIF('Raw Data'!$A$3:$A$2927,$A7))</f>
        <v>2</v>
      </c>
      <c r="AE7" s="117">
        <f>IF( COUNTIF('Raw Data'!$A$3:$A$2927,$A7)=0,0,SUMIF('Raw Data'!$A$3:$A$2927, $A7,'Raw Data'!AD$3:AD$2927) / COUNTIF('Raw Data'!$A$3:$A$2927,$A7))</f>
        <v>0</v>
      </c>
      <c r="AF7">
        <f>IF( COUNTIF('Raw Data'!$A$3:$A$2927,$A7)=0,0,SUMIF('Raw Data'!$A$3:$A$2927, $A7,'Raw Data'!AE$3:AE$2927) / COUNTIF('Raw Data'!$A$3:$A$2927,$A7))</f>
        <v>0</v>
      </c>
      <c r="AG7">
        <f>IF( COUNTIF('Raw Data'!$A$3:$A$2927,$A7)=0,0,SUMIF('Raw Data'!$A$3:$A$2927, $A7,'Raw Data'!AF$3:AF$2927) / COUNTIF('Raw Data'!$A$3:$A$2927,$A7))</f>
        <v>0</v>
      </c>
      <c r="AH7">
        <f>IF( COUNTIF('Raw Data'!$A$3:$A$2927,$A7)=0,0,SUMIF('Raw Data'!$A$3:$A$2927, $A7,'Raw Data'!AG$3:AG$2927) / COUNTIF('Raw Data'!$A$3:$A$2927,$A7))</f>
        <v>0.66666666666666663</v>
      </c>
      <c r="AI7">
        <f>IF( COUNTIF('Raw Data'!$A$3:$A$2927,$A7)=0,0,SUMIF('Raw Data'!$A$3:$A$2927, $A7,'Raw Data'!AH$3:AH$2927) / COUNTIF('Raw Data'!$A$3:$A$2927,$A7))</f>
        <v>0.22222222222222221</v>
      </c>
      <c r="AJ7" s="117">
        <f>COUNTIF('Raw Data'!A$3:A$2927, $A7)</f>
        <v>9</v>
      </c>
      <c r="AK7">
        <f t="shared" si="2"/>
        <v>6.522222222222223</v>
      </c>
      <c r="AL7">
        <f t="shared" si="3"/>
        <v>2.8888888888888893</v>
      </c>
      <c r="AM7">
        <f t="shared" si="4"/>
        <v>2.3633333333333333</v>
      </c>
      <c r="AN7">
        <f t="shared" si="5"/>
        <v>8.4666666666666668</v>
      </c>
      <c r="AP7" t="s">
        <v>249</v>
      </c>
    </row>
    <row r="8" spans="1:52">
      <c r="A8">
        <v>746</v>
      </c>
      <c r="B8" t="s">
        <v>416</v>
      </c>
      <c r="C8">
        <f t="shared" si="0"/>
        <v>0</v>
      </c>
      <c r="D8">
        <f t="shared" si="1"/>
        <v>0</v>
      </c>
      <c r="E8">
        <f>IF( COUNTIF('Raw Data'!$A$3:$A$2927,$A8)=0,0,SUMIF('Raw Data'!$A$3:$A$2927, $A8,'Raw Data'!D$3:D$2927) / COUNTIF('Raw Data'!$A$3:$A$2927,$A8))</f>
        <v>0</v>
      </c>
      <c r="F8">
        <f>MAX(IF('Raw Data'!$A$3:$A$927=$A8, 'Raw Data'!$O$3:$O$927))</f>
        <v>0</v>
      </c>
      <c r="G8">
        <f>MAX(IF('Raw Data'!$A$3:$A$927=$A8, 'Raw Data'!$I$3:$I$927))</f>
        <v>0</v>
      </c>
      <c r="H8">
        <f>IF( COUNTIF('Raw Data'!$A$3:$A$2927,$A8)=0,0,SUMIF('Raw Data'!$A$3:$A$2927, $A8,'Raw Data'!E$3:E$2927) / COUNTIF('Raw Data'!$A$3:$A$2927,$A8))</f>
        <v>0</v>
      </c>
      <c r="I8">
        <f>IF( COUNTIF('Raw Data'!$A$3:$A$2927,$A8)=0,0,SUMIF('Raw Data'!$A$3:$A$2927, $A8,'Raw Data'!F$3:F$2927) / COUNTIF('Raw Data'!$A$3:$A$2927,$A8))</f>
        <v>0</v>
      </c>
      <c r="J8">
        <f>IF( COUNTIF('Raw Data'!$A$3:$A$2927,$A8)=0,0,SUMIF('Raw Data'!$A$3:$A$2927, $A8,'Raw Data'!G$3:G$2927) / COUNTIF('Raw Data'!$A$3:$A$2927,$A8))</f>
        <v>0</v>
      </c>
      <c r="K8">
        <f>IF( COUNTIF('Raw Data'!$A$3:$A$2927,$A8)=0,0,SUMIF('Raw Data'!$A$3:$A$2927, $A8,'Raw Data'!H$3:H$2927) / COUNTIF('Raw Data'!$A$3:$A$2927,$A8))</f>
        <v>0</v>
      </c>
      <c r="L8">
        <f>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MAX(IF('Raw Data'!$A$3:$A$927=$A8, 'Raw Data'!$Z$3:$Z$927))</f>
        <v>0</v>
      </c>
      <c r="R8">
        <f>MAX(IF('Raw Data'!$A$3:$A$927=$A8, 'Raw Data'!$T$3:$T$927))</f>
        <v>0</v>
      </c>
      <c r="S8">
        <f>IF( COUNTIF('Raw Data'!$A$3:$A$2927,$A8)=0,0,SUMIF('Raw Data'!$A$3:$A$2927, $A8,'Raw Data'!P$3:P$2927) / COUNTIF('Raw Data'!$A$3:$A$2927,$A8))</f>
        <v>0</v>
      </c>
      <c r="T8">
        <f>IF( COUNTIF('Raw Data'!$A$3:$A$2927,$A8)=0,0,SUMIF('Raw Data'!$A$3:$A$2927, $A8,'Raw Data'!Q$3:Q$2927) / COUNTIF('Raw Data'!$A$3:$A$2927,$A8))</f>
        <v>0</v>
      </c>
      <c r="U8">
        <f>IF( COUNTIF('Raw Data'!$A$3:$A$2927,$A8)=0,0,SUMIF('Raw Data'!$A$3:$A$2927, $A8,'Raw Data'!R$3:R$2927) / COUNTIF('Raw Data'!$A$3:$A$2927,$A8))</f>
        <v>0</v>
      </c>
      <c r="V8">
        <f>IF( COUNTIF('Raw Data'!$A$3:$A$2927,$A8)=0,0,SUMIF('Raw Data'!$A$3:$A$2927, $A8,'Raw Data'!S$3:S$2927) / COUNTIF('Raw Data'!$A$3:$A$2927,$A8))</f>
        <v>0</v>
      </c>
      <c r="W8">
        <f>MAX(IF('Raw Data'!$A$3:$A$927=$A8, 'Raw Data'!$Y$3:$Y$927))</f>
        <v>0</v>
      </c>
      <c r="X8">
        <f>IF( COUNTIF('Raw Data'!$A$3:$A$2927,$A8)=0,0,SUMIF('Raw Data'!$A$3:$A$2927, $A8,'Raw Data'!U$3:U$2927) / COUNTIF('Raw Data'!$A$3:$A$2927,$A8))</f>
        <v>0</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0</v>
      </c>
      <c r="AC8">
        <f>IF( COUNTIF('Raw Data'!$A$3:$A$2927,$A8)=0,0,SUMIF('Raw Data'!$A$3:$A$2927, $A8,'Raw Data'!AB$3:AB$2927) / COUNTIF('Raw Data'!$A$3:$A$2927,$A8))</f>
        <v>0</v>
      </c>
      <c r="AD8">
        <f>IF( COUNTIF('Raw Data'!$A$3:$A$2927,$A8)=0,0,SUMIF('Raw Data'!$A$3:$A$2927, $A8,'Raw Data'!AC$3:AC$2927) / COUNTIF('Raw Data'!$A$3:$A$2927,$A8))</f>
        <v>0</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0</v>
      </c>
      <c r="AI8">
        <f>IF( COUNTIF('Raw Data'!$A$3:$A$2927,$A8)=0,0,SUMIF('Raw Data'!$A$3:$A$2927, $A8,'Raw Data'!AH$3:AH$2927) / COUNTIF('Raw Data'!$A$3:$A$2927,$A8))</f>
        <v>0</v>
      </c>
      <c r="AJ8" s="117">
        <f>COUNTIF('Raw Data'!A$3:A$2927, $A8)</f>
        <v>0</v>
      </c>
      <c r="AK8">
        <f t="shared" si="2"/>
        <v>-21</v>
      </c>
      <c r="AL8">
        <f t="shared" si="3"/>
        <v>-1.5</v>
      </c>
      <c r="AM8">
        <f t="shared" si="4"/>
        <v>-1</v>
      </c>
      <c r="AN8">
        <f t="shared" si="5"/>
        <v>-21</v>
      </c>
      <c r="AP8" t="s">
        <v>260</v>
      </c>
    </row>
    <row r="9" spans="1:52">
      <c r="A9">
        <v>781</v>
      </c>
      <c r="B9" t="s">
        <v>444</v>
      </c>
      <c r="C9">
        <f t="shared" si="0"/>
        <v>0</v>
      </c>
      <c r="D9">
        <f t="shared" si="1"/>
        <v>0</v>
      </c>
      <c r="E9">
        <f>IF( COUNTIF('Raw Data'!$A$3:$A$2927,$A9)=0,0,SUMIF('Raw Data'!$A$3:$A$2927, $A9,'Raw Data'!D$3:D$2927) / COUNTIF('Raw Data'!$A$3:$A$2927,$A9))</f>
        <v>0</v>
      </c>
      <c r="F9">
        <f>MAX(IF('Raw Data'!$A$3:$A$927=$A9, 'Raw Data'!$O$3:$O$927))</f>
        <v>0</v>
      </c>
      <c r="G9">
        <f>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MAX(IF('Raw Data'!$A$3:$A$927=$A9, 'Raw Data'!$Z$3:$Z$927))</f>
        <v>0</v>
      </c>
      <c r="R9">
        <f>MAX(IF('Raw Data'!$A$3:$A$927=$A9, 'Raw Data'!$T$3:$T$927))</f>
        <v>0</v>
      </c>
      <c r="S9">
        <f>IF( COUNTIF('Raw Data'!$A$3:$A$2927,$A9)=0,0,SUMIF('Raw Data'!$A$3:$A$2927, $A9,'Raw Data'!P$3:P$2927) / COUNTIF('Raw Data'!$A$3:$A$2927,$A9))</f>
        <v>0</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MAX(IF('Raw Data'!$A$3:$A$927=$A9, 'Raw Data'!$Y$3:$Y$927))</f>
        <v>0</v>
      </c>
      <c r="X9">
        <f>IF( COUNTIF('Raw Data'!$A$3:$A$2927,$A9)=0,0,SUMIF('Raw Data'!$A$3:$A$2927, $A9,'Raw Data'!U$3:U$2927) / COUNTIF('Raw Data'!$A$3:$A$2927,$A9))</f>
        <v>0</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0</v>
      </c>
      <c r="AE9" s="117">
        <f>IF( COUNTIF('Raw Data'!$A$3:$A$2927,$A9)=0,0,SUMIF('Raw Data'!$A$3:$A$2927, $A9,'Raw Data'!AD$3:AD$2927) / COUNTIF('Raw Data'!$A$3:$A$2927,$A9))</f>
        <v>0</v>
      </c>
      <c r="AF9">
        <f>IF( COUNTIF('Raw Data'!$A$3:$A$2927,$A9)=0,0,SUMIF('Raw Data'!$A$3:$A$2927, $A9,'Raw Data'!AE$3:AE$2927) / COUNTIF('Raw Data'!$A$3:$A$2927,$A9))</f>
        <v>0</v>
      </c>
      <c r="AG9">
        <f>IF( COUNTIF('Raw Data'!$A$3:$A$2927,$A9)=0,0,SUMIF('Raw Data'!$A$3:$A$2927, $A9,'Raw Data'!AF$3:AF$2927) / COUNTIF('Raw Data'!$A$3:$A$2927,$A9))</f>
        <v>0</v>
      </c>
      <c r="AH9">
        <f>IF( COUNTIF('Raw Data'!$A$3:$A$2927,$A9)=0,0,SUMIF('Raw Data'!$A$3:$A$2927, $A9,'Raw Data'!AG$3:AG$2927) / COUNTIF('Raw Data'!$A$3:$A$2927,$A9))</f>
        <v>0</v>
      </c>
      <c r="AI9">
        <f>IF( COUNTIF('Raw Data'!$A$3:$A$2927,$A9)=0,0,SUMIF('Raw Data'!$A$3:$A$2927, $A9,'Raw Data'!AH$3:AH$2927) / COUNTIF('Raw Data'!$A$3:$A$2927,$A9))</f>
        <v>0</v>
      </c>
      <c r="AJ9" s="117">
        <f>COUNTIF('Raw Data'!A$3:A$2927, $A9)</f>
        <v>0</v>
      </c>
      <c r="AK9">
        <f t="shared" si="2"/>
        <v>-21</v>
      </c>
      <c r="AL9">
        <f t="shared" si="3"/>
        <v>-1.5</v>
      </c>
      <c r="AM9">
        <f t="shared" si="4"/>
        <v>-1</v>
      </c>
      <c r="AN9">
        <f t="shared" si="5"/>
        <v>-21</v>
      </c>
      <c r="AP9" t="s">
        <v>250</v>
      </c>
    </row>
    <row r="10" spans="1:52">
      <c r="A10">
        <v>919</v>
      </c>
      <c r="B10" t="s">
        <v>417</v>
      </c>
      <c r="C10">
        <f t="shared" si="0"/>
        <v>0</v>
      </c>
      <c r="D10">
        <f t="shared" si="1"/>
        <v>0</v>
      </c>
      <c r="E10">
        <f>IF( COUNTIF('Raw Data'!$A$3:$A$2927,$A10)=0,0,SUMIF('Raw Data'!$A$3:$A$2927, $A10,'Raw Data'!D$3:D$2927) / COUNTIF('Raw Data'!$A$3:$A$2927,$A10))</f>
        <v>0</v>
      </c>
      <c r="F10">
        <f>MAX(IF('Raw Data'!$A$3:$A$927=$A10, 'Raw Data'!$O$3:$O$927))</f>
        <v>0</v>
      </c>
      <c r="G10">
        <f>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MAX(IF('Raw Data'!$A$3:$A$927=$A10, 'Raw Data'!$Z$3:$Z$927))</f>
        <v>0</v>
      </c>
      <c r="R10">
        <f>MAX(IF('Raw Data'!$A$3:$A$927=$A10, 'Raw Data'!$T$3:$T$927))</f>
        <v>0</v>
      </c>
      <c r="S10">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0</v>
      </c>
      <c r="AC10">
        <f>IF( COUNTIF('Raw Data'!$A$3:$A$2927,$A10)=0,0,SUMIF('Raw Data'!$A$3:$A$2927, $A10,'Raw Data'!AB$3:AB$2927) / COUNTIF('Raw Data'!$A$3:$A$2927,$A10))</f>
        <v>0</v>
      </c>
      <c r="AD10">
        <f>IF( COUNTIF('Raw Data'!$A$3:$A$2927,$A10)=0,0,SUMIF('Raw Data'!$A$3:$A$2927, $A10,'Raw Data'!AC$3:AC$2927) / COUNTIF('Raw Data'!$A$3:$A$2927,$A10))</f>
        <v>0</v>
      </c>
      <c r="AE10" s="117">
        <f>IF( COUNTIF('Raw Data'!$A$3:$A$2927,$A10)=0,0,SUMIF('Raw Data'!$A$3:$A$2927, $A10,'Raw Data'!AD$3:AD$2927) / COUNTIF('Raw Data'!$A$3:$A$2927,$A10))</f>
        <v>0</v>
      </c>
      <c r="AF10">
        <f>IF( COUNTIF('Raw Data'!$A$3:$A$2927,$A10)=0,0,SUMIF('Raw Data'!$A$3:$A$2927, $A10,'Raw Data'!AE$3:AE$2927) / COUNTIF('Raw Data'!$A$3:$A$2927,$A10))</f>
        <v>0</v>
      </c>
      <c r="AG10">
        <f>IF( COUNTIF('Raw Data'!$A$3:$A$2927,$A10)=0,0,SUMIF('Raw Data'!$A$3:$A$2927, $A10,'Raw Data'!AF$3:AF$2927) / COUNTIF('Raw Data'!$A$3:$A$2927,$A10))</f>
        <v>0</v>
      </c>
      <c r="AH10">
        <f>IF( COUNTIF('Raw Data'!$A$3:$A$2927,$A10)=0,0,SUMIF('Raw Data'!$A$3:$A$2927, $A10,'Raw Data'!AG$3:AG$2927) / COUNTIF('Raw Data'!$A$3:$A$2927,$A10))</f>
        <v>0</v>
      </c>
      <c r="AI10">
        <f>IF( COUNTIF('Raw Data'!$A$3:$A$2927,$A10)=0,0,SUMIF('Raw Data'!$A$3:$A$2927, $A10,'Raw Data'!AH$3:AH$2927) / COUNTIF('Raw Data'!$A$3:$A$2927,$A10))</f>
        <v>0</v>
      </c>
      <c r="AJ10" s="117">
        <f>COUNTIF('Raw Data'!A$3:A$2927, $A10)</f>
        <v>0</v>
      </c>
      <c r="AK10">
        <f t="shared" si="2"/>
        <v>-21</v>
      </c>
      <c r="AL10">
        <f t="shared" si="3"/>
        <v>-1.5</v>
      </c>
      <c r="AM10">
        <f t="shared" si="4"/>
        <v>-1</v>
      </c>
      <c r="AN10">
        <f t="shared" si="5"/>
        <v>-21</v>
      </c>
      <c r="AP10" t="s">
        <v>251</v>
      </c>
    </row>
    <row r="11" spans="1:52">
      <c r="A11">
        <v>1246</v>
      </c>
      <c r="B11" t="s">
        <v>418</v>
      </c>
      <c r="C11">
        <f t="shared" si="0"/>
        <v>12.818181818181818</v>
      </c>
      <c r="D11">
        <f t="shared" si="1"/>
        <v>7.0909090909090899</v>
      </c>
      <c r="E11">
        <f>IF( COUNTIF('Raw Data'!$A$3:$A$2927,$A11)=0,0,SUMIF('Raw Data'!$A$3:$A$2927, $A11,'Raw Data'!D$3:D$2927) / COUNTIF('Raw Data'!$A$3:$A$2927,$A11))</f>
        <v>1.0909090909090908</v>
      </c>
      <c r="F11">
        <f>MAX(IF('Raw Data'!$A$3:$A$927=$A11, 'Raw Data'!$O$3:$O$927))</f>
        <v>0</v>
      </c>
      <c r="G11">
        <f>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MAX(IF('Raw Data'!$A$3:$A$927=$A11, 'Raw Data'!$N$3:$N$927))</f>
        <v>0</v>
      </c>
      <c r="M11">
        <f>IF( COUNTIF('Raw Data'!$A$3:$A$2927,$A11)=0,0,SUMIF('Raw Data'!$A$3:$A$2927, $A11,'Raw Data'!J$3:J$2927) / COUNTIF('Raw Data'!$A$3:$A$2927,$A11))</f>
        <v>9.0909090909090912E-2</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MAX(IF('Raw Data'!$A$3:$A$927=$A11, 'Raw Data'!$Z$3:$Z$927))</f>
        <v>0</v>
      </c>
      <c r="R11">
        <f>MAX(IF('Raw Data'!$A$3:$A$927=$A11, 'Raw Data'!$T$3:$T$927))</f>
        <v>0</v>
      </c>
      <c r="S11">
        <f>IF( COUNTIF('Raw Data'!$A$3:$A$2927,$A11)=0,0,SUMIF('Raw Data'!$A$3:$A$2927, $A11,'Raw Data'!P$3:P$2927) / COUNTIF('Raw Data'!$A$3:$A$2927,$A11))</f>
        <v>0</v>
      </c>
      <c r="T11">
        <f>IF( COUNTIF('Raw Data'!$A$3:$A$2927,$A11)=0,0,SUMIF('Raw Data'!$A$3:$A$2927, $A11,'Raw Data'!Q$3:Q$2927) / COUNTIF('Raw Data'!$A$3:$A$2927,$A11))</f>
        <v>0</v>
      </c>
      <c r="U11">
        <f>IF( COUNTIF('Raw Data'!$A$3:$A$2927,$A11)=0,0,SUMIF('Raw Data'!$A$3:$A$2927, $A11,'Raw Data'!R$3:R$2927) / COUNTIF('Raw Data'!$A$3:$A$2927,$A11))</f>
        <v>0</v>
      </c>
      <c r="V11">
        <f>IF( COUNTIF('Raw Data'!$A$3:$A$2927,$A11)=0,0,SUMIF('Raw Data'!$A$3:$A$2927, $A11,'Raw Data'!S$3:S$2927) / COUNTIF('Raw Data'!$A$3:$A$2927,$A11))</f>
        <v>0</v>
      </c>
      <c r="W11">
        <f>MAX(IF('Raw Data'!$A$3:$A$927=$A11, 'Raw Data'!$Y$3:$Y$927))</f>
        <v>0</v>
      </c>
      <c r="X11">
        <f>IF( COUNTIF('Raw Data'!$A$3:$A$2927,$A11)=0,0,SUMIF('Raw Data'!$A$3:$A$2927, $A11,'Raw Data'!U$3:U$2927) / COUNTIF('Raw Data'!$A$3:$A$2927,$A11))</f>
        <v>2.1818181818181817</v>
      </c>
      <c r="Y11">
        <f>IF( COUNTIF('Raw Data'!$A$3:$A$2927,$A11)=0,0,SUMIF('Raw Data'!$A$3:$A$2927, $A11,'Raw Data'!V$3:V$2927) / COUNTIF('Raw Data'!$A$3:$A$2927,$A11))</f>
        <v>9.0909090909090912E-2</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30.90909090909091</v>
      </c>
      <c r="AC11">
        <f>IF( COUNTIF('Raw Data'!$A$3:$A$2927,$A11)=0,0,SUMIF('Raw Data'!$A$3:$A$2927, $A11,'Raw Data'!AB$3:AB$2927) / COUNTIF('Raw Data'!$A$3:$A$2927,$A11))</f>
        <v>0</v>
      </c>
      <c r="AD11">
        <f>IF( COUNTIF('Raw Data'!$A$3:$A$2927,$A11)=0,0,SUMIF('Raw Data'!$A$3:$A$2927, $A11,'Raw Data'!AC$3:AC$2927) / COUNTIF('Raw Data'!$A$3:$A$2927,$A11))</f>
        <v>0.81818181818181823</v>
      </c>
      <c r="AE11" s="117">
        <f>IF( COUNTIF('Raw Data'!$A$3:$A$2927,$A11)=0,0,SUMIF('Raw Data'!$A$3:$A$2927, $A11,'Raw Data'!AD$3:AD$2927) / COUNTIF('Raw Data'!$A$3:$A$2927,$A11))</f>
        <v>0</v>
      </c>
      <c r="AF11">
        <f>IF( COUNTIF('Raw Data'!$A$3:$A$2927,$A11)=0,0,SUMIF('Raw Data'!$A$3:$A$2927, $A11,'Raw Data'!AE$3:AE$2927) / COUNTIF('Raw Data'!$A$3:$A$2927,$A11))</f>
        <v>9.0909090909090912E-2</v>
      </c>
      <c r="AG11">
        <f>IF( COUNTIF('Raw Data'!$A$3:$A$2927,$A11)=0,0,SUMIF('Raw Data'!$A$3:$A$2927, $A11,'Raw Data'!AF$3:AF$2927) / COUNTIF('Raw Data'!$A$3:$A$2927,$A11))</f>
        <v>0</v>
      </c>
      <c r="AH11">
        <f>IF( COUNTIF('Raw Data'!$A$3:$A$2927,$A11)=0,0,SUMIF('Raw Data'!$A$3:$A$2927, $A11,'Raw Data'!AG$3:AG$2927) / COUNTIF('Raw Data'!$A$3:$A$2927,$A11))</f>
        <v>0</v>
      </c>
      <c r="AI11">
        <f>IF( COUNTIF('Raw Data'!$A$3:$A$2927,$A11)=0,0,SUMIF('Raw Data'!$A$3:$A$2927, $A11,'Raw Data'!AH$3:AH$2927) / COUNTIF('Raw Data'!$A$3:$A$2927,$A11))</f>
        <v>0</v>
      </c>
      <c r="AJ11" s="117">
        <f>COUNTIF('Raw Data'!A$3:A$2927, $A11)</f>
        <v>11</v>
      </c>
      <c r="AK11">
        <f t="shared" si="2"/>
        <v>1.3781818181818182</v>
      </c>
      <c r="AL11">
        <f t="shared" si="3"/>
        <v>-0.18181818181818182</v>
      </c>
      <c r="AM11">
        <f t="shared" si="4"/>
        <v>2.2045454545454546</v>
      </c>
      <c r="AN11">
        <f t="shared" si="5"/>
        <v>1.3781818181818182</v>
      </c>
    </row>
    <row r="12" spans="1:52">
      <c r="A12">
        <v>1285</v>
      </c>
      <c r="B12" t="s">
        <v>419</v>
      </c>
      <c r="C12">
        <f t="shared" si="0"/>
        <v>0</v>
      </c>
      <c r="D12">
        <f t="shared" si="1"/>
        <v>0</v>
      </c>
      <c r="E12">
        <f>IF( COUNTIF('Raw Data'!$A$3:$A$2927,$A12)=0,0,SUMIF('Raw Data'!$A$3:$A$2927, $A12,'Raw Data'!D$3:D$2927) / COUNTIF('Raw Data'!$A$3:$A$2927,$A12))</f>
        <v>0</v>
      </c>
      <c r="F12">
        <f>MAX(IF('Raw Data'!$A$3:$A$927=$A12, 'Raw Data'!$O$3:$O$927))</f>
        <v>0</v>
      </c>
      <c r="G12">
        <f>MAX(IF('Raw Data'!$A$3:$A$927=$A12, 'Raw Data'!$I$3:$I$927))</f>
        <v>0</v>
      </c>
      <c r="H12">
        <f>IF( COUNTIF('Raw Data'!$A$3:$A$2927,$A12)=0,0,SUMIF('Raw Data'!$A$3:$A$2927, $A12,'Raw Data'!E$3:E$2927) / COUNTIF('Raw Data'!$A$3:$A$2927,$A12))</f>
        <v>0</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MAX(IF('Raw Data'!$A$3:$A$927=$A12, 'Raw Data'!$N$3:$N$927))</f>
        <v>0</v>
      </c>
      <c r="M12">
        <f>IF( COUNTIF('Raw Data'!$A$3:$A$2927,$A12)=0,0,SUMIF('Raw Data'!$A$3:$A$2927, $A12,'Raw Data'!J$3:J$2927) / COUNTIF('Raw Data'!$A$3:$A$2927,$A12))</f>
        <v>0</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MAX(IF('Raw Data'!$A$3:$A$927=$A12, 'Raw Data'!$Z$3:$Z$927))</f>
        <v>0</v>
      </c>
      <c r="R12">
        <f>MAX(IF('Raw Data'!$A$3:$A$927=$A12, 'Raw Data'!$T$3:$T$927))</f>
        <v>0</v>
      </c>
      <c r="S12">
        <f>IF( COUNTIF('Raw Data'!$A$3:$A$2927,$A12)=0,0,SUMIF('Raw Data'!$A$3:$A$2927, $A12,'Raw Data'!P$3:P$2927) / COUNTIF('Raw Data'!$A$3:$A$2927,$A12))</f>
        <v>0</v>
      </c>
      <c r="T12">
        <f>IF( COUNTIF('Raw Data'!$A$3:$A$2927,$A12)=0,0,SUMIF('Raw Data'!$A$3:$A$2927, $A12,'Raw Data'!Q$3:Q$2927) / COUNTIF('Raw Data'!$A$3:$A$2927,$A12))</f>
        <v>0</v>
      </c>
      <c r="U12">
        <f>IF( COUNTIF('Raw Data'!$A$3:$A$2927,$A12)=0,0,SUMIF('Raw Data'!$A$3:$A$2927, $A12,'Raw Data'!R$3:R$2927) / COUNTIF('Raw Data'!$A$3:$A$2927,$A12))</f>
        <v>0</v>
      </c>
      <c r="V12">
        <f>IF( COUNTIF('Raw Data'!$A$3:$A$2927,$A12)=0,0,SUMIF('Raw Data'!$A$3:$A$2927, $A12,'Raw Data'!S$3:S$2927) / COUNTIF('Raw Data'!$A$3:$A$2927,$A12))</f>
        <v>0</v>
      </c>
      <c r="W12">
        <f>MAX(IF('Raw Data'!$A$3:$A$927=$A12, 'Raw Data'!$Y$3:$Y$927))</f>
        <v>0</v>
      </c>
      <c r="X12">
        <f>IF( COUNTIF('Raw Data'!$A$3:$A$2927,$A12)=0,0,SUMIF('Raw Data'!$A$3:$A$2927, $A12,'Raw Data'!U$3:U$2927) / COUNTIF('Raw Data'!$A$3:$A$2927,$A12))</f>
        <v>0</v>
      </c>
      <c r="Y12">
        <f>IF( COUNTIF('Raw Data'!$A$3:$A$2927,$A12)=0,0,SUMIF('Raw Data'!$A$3:$A$2927, $A12,'Raw Data'!V$3:V$2927) / COUNTIF('Raw Data'!$A$3:$A$2927,$A12))</f>
        <v>0</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0</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v>
      </c>
      <c r="AI12">
        <f>IF( COUNTIF('Raw Data'!$A$3:$A$2927,$A12)=0,0,SUMIF('Raw Data'!$A$3:$A$2927, $A12,'Raw Data'!AH$3:AH$2927) / COUNTIF('Raw Data'!$A$3:$A$2927,$A12))</f>
        <v>0</v>
      </c>
      <c r="AJ12" s="117">
        <f>COUNTIF('Raw Data'!A$3:A$2927, $A12)</f>
        <v>0</v>
      </c>
      <c r="AK12">
        <f t="shared" si="2"/>
        <v>-21</v>
      </c>
      <c r="AL12">
        <f t="shared" si="3"/>
        <v>-1.5</v>
      </c>
      <c r="AM12">
        <f t="shared" si="4"/>
        <v>-1</v>
      </c>
      <c r="AN12">
        <f t="shared" si="5"/>
        <v>-21</v>
      </c>
      <c r="AP12" t="s">
        <v>252</v>
      </c>
    </row>
    <row r="13" spans="1:52">
      <c r="A13">
        <v>1305</v>
      </c>
      <c r="B13" t="s">
        <v>445</v>
      </c>
      <c r="C13">
        <f t="shared" si="0"/>
        <v>29</v>
      </c>
      <c r="D13">
        <f t="shared" si="1"/>
        <v>9.6666666666666679</v>
      </c>
      <c r="E13">
        <f>IF( COUNTIF('Raw Data'!$A$3:$A$2927,$A13)=0,0,SUMIF('Raw Data'!$A$3:$A$2927, $A13,'Raw Data'!D$3:D$2927) / COUNTIF('Raw Data'!$A$3:$A$2927,$A13))</f>
        <v>1</v>
      </c>
      <c r="F13">
        <f>MAX(IF('Raw Data'!$A$3:$A$927=$A13, 'Raw Data'!$O$3:$O$927))</f>
        <v>0</v>
      </c>
      <c r="G13">
        <f>MAX(IF('Raw Data'!$A$3:$A$927=$A13, 'Raw Data'!$I$3:$I$927))</f>
        <v>0</v>
      </c>
      <c r="H13">
        <f>IF( COUNTIF('Raw Data'!$A$3:$A$2927,$A13)=0,0,SUMIF('Raw Data'!$A$3:$A$2927, $A13,'Raw Data'!E$3:E$2927) / COUNTIF('Raw Data'!$A$3:$A$2927,$A13))</f>
        <v>0.22222222222222221</v>
      </c>
      <c r="I13">
        <f>IF( COUNTIF('Raw Data'!$A$3:$A$2927,$A13)=0,0,SUMIF('Raw Data'!$A$3:$A$2927, $A13,'Raw Data'!F$3:F$2927) / COUNTIF('Raw Data'!$A$3:$A$2927,$A13))</f>
        <v>0.66666666666666663</v>
      </c>
      <c r="J13">
        <f>IF( COUNTIF('Raw Data'!$A$3:$A$2927,$A13)=0,0,SUMIF('Raw Data'!$A$3:$A$2927, $A13,'Raw Data'!G$3:G$2927) / COUNTIF('Raw Data'!$A$3:$A$2927,$A13))</f>
        <v>0</v>
      </c>
      <c r="K13">
        <f>IF( COUNTIF('Raw Data'!$A$3:$A$2927,$A13)=0,0,SUMIF('Raw Data'!$A$3:$A$2927, $A13,'Raw Data'!H$3:H$2927) / COUNTIF('Raw Data'!$A$3:$A$2927,$A13))</f>
        <v>0</v>
      </c>
      <c r="L13">
        <f>MAX(IF('Raw Data'!$A$3:$A$927=$A13, 'Raw Data'!$N$3:$N$927))</f>
        <v>0</v>
      </c>
      <c r="M13">
        <f>IF( COUNTIF('Raw Data'!$A$3:$A$2927,$A13)=0,0,SUMIF('Raw Data'!$A$3:$A$2927, $A13,'Raw Data'!J$3:J$2927) / COUNTIF('Raw Data'!$A$3:$A$2927,$A13))</f>
        <v>0</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MAX(IF('Raw Data'!$A$3:$A$927=$A13, 'Raw Data'!$Z$3:$Z$927))</f>
        <v>0</v>
      </c>
      <c r="R13">
        <f>MAX(IF('Raw Data'!$A$3:$A$927=$A13, 'Raw Data'!$T$3:$T$927))</f>
        <v>0</v>
      </c>
      <c r="S13">
        <f>IF( COUNTIF('Raw Data'!$A$3:$A$2927,$A13)=0,0,SUMIF('Raw Data'!$A$3:$A$2927, $A13,'Raw Data'!P$3:P$2927) / COUNTIF('Raw Data'!$A$3:$A$2927,$A13))</f>
        <v>0.1111111111111111</v>
      </c>
      <c r="T13">
        <f>IF( COUNTIF('Raw Data'!$A$3:$A$2927,$A13)=0,0,SUMIF('Raw Data'!$A$3:$A$2927, $A13,'Raw Data'!Q$3:Q$2927) / COUNTIF('Raw Data'!$A$3:$A$2927,$A13))</f>
        <v>1.6666666666666667</v>
      </c>
      <c r="U13">
        <f>IF( COUNTIF('Raw Data'!$A$3:$A$2927,$A13)=0,0,SUMIF('Raw Data'!$A$3:$A$2927, $A13,'Raw Data'!R$3:R$2927) / COUNTIF('Raw Data'!$A$3:$A$2927,$A13))</f>
        <v>0.77777777777777779</v>
      </c>
      <c r="V13">
        <f>IF( COUNTIF('Raw Data'!$A$3:$A$2927,$A13)=0,0,SUMIF('Raw Data'!$A$3:$A$2927, $A13,'Raw Data'!S$3:S$2927) / COUNTIF('Raw Data'!$A$3:$A$2927,$A13))</f>
        <v>0.22222222222222221</v>
      </c>
      <c r="W13">
        <f>MAX(IF('Raw Data'!$A$3:$A$927=$A13, 'Raw Data'!$Y$3:$Y$927))</f>
        <v>0</v>
      </c>
      <c r="X13">
        <f>IF( COUNTIF('Raw Data'!$A$3:$A$2927,$A13)=0,0,SUMIF('Raw Data'!$A$3:$A$2927, $A13,'Raw Data'!U$3:U$2927) / COUNTIF('Raw Data'!$A$3:$A$2927,$A13))</f>
        <v>0</v>
      </c>
      <c r="Y13">
        <f>IF( COUNTIF('Raw Data'!$A$3:$A$2927,$A13)=0,0,SUMIF('Raw Data'!$A$3:$A$2927, $A13,'Raw Data'!V$3:V$2927) / COUNTIF('Raw Data'!$A$3:$A$2927,$A13))</f>
        <v>1.4444444444444444</v>
      </c>
      <c r="Z13">
        <f>IF( COUNTIF('Raw Data'!$A$3:$A$2927,$A13)=0,0,SUMIF('Raw Data'!$A$3:$A$2927, $A13,'Raw Data'!W$3:W$2927) / COUNTIF('Raw Data'!$A$3:$A$2927,$A13))</f>
        <v>0.77777777777777779</v>
      </c>
      <c r="AA13">
        <f>IF( COUNTIF('Raw Data'!$A$3:$A$2927,$A13)=0,0,SUMIF('Raw Data'!$A$3:$A$2927, $A13,'Raw Data'!X$3:X$2927) / COUNTIF('Raw Data'!$A$3:$A$2927,$A13))</f>
        <v>0</v>
      </c>
      <c r="AB13">
        <f>IF( COUNTIF('Raw Data'!$A$3:$A$2927,$A13)=0,0,SUMIF('Raw Data'!$A$3:$A$2927, $A13,'Raw Data'!AA$3:AA$2927) / COUNTIF('Raw Data'!$A$3:$A$2927,$A13))</f>
        <v>0.33333333333333331</v>
      </c>
      <c r="AC13">
        <f>IF( COUNTIF('Raw Data'!$A$3:$A$2927,$A13)=0,0,SUMIF('Raw Data'!$A$3:$A$2927, $A13,'Raw Data'!AB$3:AB$2927) / COUNTIF('Raw Data'!$A$3:$A$2927,$A13))</f>
        <v>0</v>
      </c>
      <c r="AD13">
        <f>IF( COUNTIF('Raw Data'!$A$3:$A$2927,$A13)=0,0,SUMIF('Raw Data'!$A$3:$A$2927, $A13,'Raw Data'!AC$3:AC$2927) / COUNTIF('Raw Data'!$A$3:$A$2927,$A13))</f>
        <v>3</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0</v>
      </c>
      <c r="AH13">
        <f>IF( COUNTIF('Raw Data'!$A$3:$A$2927,$A13)=0,0,SUMIF('Raw Data'!$A$3:$A$2927, $A13,'Raw Data'!AG$3:AG$2927) / COUNTIF('Raw Data'!$A$3:$A$2927,$A13))</f>
        <v>0</v>
      </c>
      <c r="AI13">
        <f>IF( COUNTIF('Raw Data'!$A$3:$A$2927,$A13)=0,0,SUMIF('Raw Data'!$A$3:$A$2927, $A13,'Raw Data'!AH$3:AH$2927) / COUNTIF('Raw Data'!$A$3:$A$2927,$A13))</f>
        <v>0.55555555555555558</v>
      </c>
      <c r="AJ13" s="117">
        <f>COUNTIF('Raw Data'!A$3:A$2927, $A13)</f>
        <v>9</v>
      </c>
      <c r="AK13">
        <f t="shared" si="2"/>
        <v>11.911111111111111</v>
      </c>
      <c r="AL13">
        <f t="shared" si="3"/>
        <v>3.5000000000000004</v>
      </c>
      <c r="AM13">
        <f t="shared" si="4"/>
        <v>2.6111111111111112</v>
      </c>
      <c r="AN13">
        <f t="shared" si="5"/>
        <v>11.522222222222222</v>
      </c>
      <c r="AP13" s="176" t="s">
        <v>356</v>
      </c>
      <c r="AQ13" s="176"/>
      <c r="AS13" s="176" t="s">
        <v>118</v>
      </c>
      <c r="AT13" s="176"/>
      <c r="AV13" s="176" t="s">
        <v>117</v>
      </c>
      <c r="AW13" s="176"/>
      <c r="AY13" s="176" t="s">
        <v>357</v>
      </c>
      <c r="AZ13" s="176"/>
    </row>
    <row r="14" spans="1:52">
      <c r="A14">
        <v>1325</v>
      </c>
      <c r="B14" t="s">
        <v>446</v>
      </c>
      <c r="C14">
        <f t="shared" si="0"/>
        <v>0</v>
      </c>
      <c r="D14">
        <f t="shared" si="1"/>
        <v>0</v>
      </c>
      <c r="E14">
        <f>IF( COUNTIF('Raw Data'!$A$3:$A$2927,$A14)=0,0,SUMIF('Raw Data'!$A$3:$A$2927, $A14,'Raw Data'!D$3:D$2927) / COUNTIF('Raw Data'!$A$3:$A$2927,$A14))</f>
        <v>0</v>
      </c>
      <c r="F14">
        <f>MAX(IF('Raw Data'!$A$3:$A$927=$A14, 'Raw Data'!$O$3:$O$927))</f>
        <v>0</v>
      </c>
      <c r="G14">
        <f>MAX(IF('Raw Data'!$A$3:$A$927=$A14, 'Raw Data'!$I$3:$I$927))</f>
        <v>0</v>
      </c>
      <c r="H14">
        <f>IF( COUNTIF('Raw Data'!$A$3:$A$2927,$A14)=0,0,SUMIF('Raw Data'!$A$3:$A$2927, $A14,'Raw Data'!E$3:E$2927) / COUNTIF('Raw Data'!$A$3:$A$2927,$A14))</f>
        <v>0</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MAX(IF('Raw Data'!$A$3:$A$927=$A14, 'Raw Data'!$N$3:$N$927))</f>
        <v>0</v>
      </c>
      <c r="M14">
        <f>IF( COUNTIF('Raw Data'!$A$3:$A$2927,$A14)=0,0,SUMIF('Raw Data'!$A$3:$A$2927, $A14,'Raw Data'!J$3:J$2927) / COUNTIF('Raw Data'!$A$3:$A$2927,$A14))</f>
        <v>0</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MAX(IF('Raw Data'!$A$3:$A$927=$A14, 'Raw Data'!$Z$3:$Z$927))</f>
        <v>0</v>
      </c>
      <c r="R14">
        <f>MAX(IF('Raw Data'!$A$3:$A$927=$A14, 'Raw Data'!$T$3:$T$927))</f>
        <v>0</v>
      </c>
      <c r="S14">
        <f>IF( COUNTIF('Raw Data'!$A$3:$A$2927,$A14)=0,0,SUMIF('Raw Data'!$A$3:$A$2927, $A14,'Raw Data'!P$3:P$2927) / COUNTIF('Raw Data'!$A$3:$A$2927,$A14))</f>
        <v>0</v>
      </c>
      <c r="T14">
        <f>IF( COUNTIF('Raw Data'!$A$3:$A$2927,$A14)=0,0,SUMIF('Raw Data'!$A$3:$A$2927, $A14,'Raw Data'!Q$3:Q$2927) / COUNTIF('Raw Data'!$A$3:$A$2927,$A14))</f>
        <v>0</v>
      </c>
      <c r="U14">
        <f>IF( COUNTIF('Raw Data'!$A$3:$A$2927,$A14)=0,0,SUMIF('Raw Data'!$A$3:$A$2927, $A14,'Raw Data'!R$3:R$2927) / COUNTIF('Raw Data'!$A$3:$A$2927,$A14))</f>
        <v>0</v>
      </c>
      <c r="V14">
        <f>IF( COUNTIF('Raw Data'!$A$3:$A$2927,$A14)=0,0,SUMIF('Raw Data'!$A$3:$A$2927, $A14,'Raw Data'!S$3:S$2927) / COUNTIF('Raw Data'!$A$3:$A$2927,$A14))</f>
        <v>0</v>
      </c>
      <c r="W14">
        <f>MAX(IF('Raw Data'!$A$3:$A$927=$A14, 'Raw Data'!$Y$3:$Y$927))</f>
        <v>0</v>
      </c>
      <c r="X14">
        <f>IF( COUNTIF('Raw Data'!$A$3:$A$2927,$A14)=0,0,SUMIF('Raw Data'!$A$3:$A$2927, $A14,'Raw Data'!U$3:U$2927) / COUNTIF('Raw Data'!$A$3:$A$2927,$A14))</f>
        <v>0</v>
      </c>
      <c r="Y14">
        <f>IF( COUNTIF('Raw Data'!$A$3:$A$2927,$A14)=0,0,SUMIF('Raw Data'!$A$3:$A$2927, $A14,'Raw Data'!V$3:V$2927) / COUNTIF('Raw Data'!$A$3:$A$2927,$A14))</f>
        <v>0</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0</v>
      </c>
      <c r="AC14">
        <f>IF( COUNTIF('Raw Data'!$A$3:$A$2927,$A14)=0,0,SUMIF('Raw Data'!$A$3:$A$2927, $A14,'Raw Data'!AB$3:AB$2927) / COUNTIF('Raw Data'!$A$3:$A$2927,$A14))</f>
        <v>0</v>
      </c>
      <c r="AD14">
        <f>IF( COUNTIF('Raw Data'!$A$3:$A$2927,$A14)=0,0,SUMIF('Raw Data'!$A$3:$A$2927, $A14,'Raw Data'!AC$3:AC$2927) / COUNTIF('Raw Data'!$A$3:$A$2927,$A14))</f>
        <v>0</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0</v>
      </c>
      <c r="AI14">
        <f>IF( COUNTIF('Raw Data'!$A$3:$A$2927,$A14)=0,0,SUMIF('Raw Data'!$A$3:$A$2927, $A14,'Raw Data'!AH$3:AH$2927) / COUNTIF('Raw Data'!$A$3:$A$2927,$A14))</f>
        <v>0</v>
      </c>
      <c r="AJ14" s="117">
        <f>COUNTIF('Raw Data'!A$3:A$2927, $A14)</f>
        <v>0</v>
      </c>
      <c r="AK14">
        <f t="shared" si="2"/>
        <v>-21</v>
      </c>
      <c r="AL14">
        <f t="shared" si="3"/>
        <v>-1.5</v>
      </c>
      <c r="AM14">
        <f t="shared" si="4"/>
        <v>-1</v>
      </c>
      <c r="AN14">
        <f t="shared" si="5"/>
        <v>-21</v>
      </c>
      <c r="AP14" t="s">
        <v>259</v>
      </c>
      <c r="AQ14">
        <v>1</v>
      </c>
      <c r="AS14" t="s">
        <v>270</v>
      </c>
      <c r="AT14">
        <v>1</v>
      </c>
      <c r="AV14" t="s">
        <v>273</v>
      </c>
      <c r="AW14">
        <v>1</v>
      </c>
      <c r="AY14" t="s">
        <v>358</v>
      </c>
      <c r="AZ14">
        <v>1</v>
      </c>
    </row>
    <row r="15" spans="1:52">
      <c r="A15">
        <v>1334</v>
      </c>
      <c r="B15" t="s">
        <v>420</v>
      </c>
      <c r="C15">
        <f t="shared" si="0"/>
        <v>10.727272727272727</v>
      </c>
      <c r="D15">
        <f t="shared" si="1"/>
        <v>4.454545454545455</v>
      </c>
      <c r="E15">
        <f>IF( COUNTIF('Raw Data'!$A$3:$A$2927,$A15)=0,0,SUMIF('Raw Data'!$A$3:$A$2927, $A15,'Raw Data'!D$3:D$2927) / COUNTIF('Raw Data'!$A$3:$A$2927,$A15))</f>
        <v>1.0909090909090908</v>
      </c>
      <c r="F15">
        <f>MAX(IF('Raw Data'!$A$3:$A$927=$A15, 'Raw Data'!$O$3:$O$927))</f>
        <v>0</v>
      </c>
      <c r="G15">
        <f>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MAX(IF('Raw Data'!$A$3:$A$927=$A15, 'Raw Data'!$Z$3:$Z$927))</f>
        <v>0</v>
      </c>
      <c r="R15">
        <f>MAX(IF('Raw Data'!$A$3:$A$927=$A15, 'Raw Data'!$T$3:$T$927))</f>
        <v>0</v>
      </c>
      <c r="S15">
        <f>IF( COUNTIF('Raw Data'!$A$3:$A$2927,$A15)=0,0,SUMIF('Raw Data'!$A$3:$A$2927, $A15,'Raw Data'!P$3:P$2927) / COUNTIF('Raw Data'!$A$3:$A$2927,$A15))</f>
        <v>0.54545454545454541</v>
      </c>
      <c r="T15">
        <f>IF( COUNTIF('Raw Data'!$A$3:$A$2927,$A15)=0,0,SUMIF('Raw Data'!$A$3:$A$2927, $A15,'Raw Data'!Q$3:Q$2927) / COUNTIF('Raw Data'!$A$3:$A$2927,$A15))</f>
        <v>0.18181818181818182</v>
      </c>
      <c r="U15">
        <f>IF( COUNTIF('Raw Data'!$A$3:$A$2927,$A15)=0,0,SUMIF('Raw Data'!$A$3:$A$2927, $A15,'Raw Data'!R$3:R$2927) / COUNTIF('Raw Data'!$A$3:$A$2927,$A15))</f>
        <v>0</v>
      </c>
      <c r="V15">
        <f>IF( COUNTIF('Raw Data'!$A$3:$A$2927,$A15)=0,0,SUMIF('Raw Data'!$A$3:$A$2927, $A15,'Raw Data'!S$3:S$2927) / COUNTIF('Raw Data'!$A$3:$A$2927,$A15))</f>
        <v>0</v>
      </c>
      <c r="W15">
        <f>MAX(IF('Raw Data'!$A$3:$A$927=$A15, 'Raw Data'!$Y$3:$Y$927))</f>
        <v>0</v>
      </c>
      <c r="X15">
        <f>IF( COUNTIF('Raw Data'!$A$3:$A$2927,$A15)=0,0,SUMIF('Raw Data'!$A$3:$A$2927, $A15,'Raw Data'!U$3:U$2927) / COUNTIF('Raw Data'!$A$3:$A$2927,$A15))</f>
        <v>1</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7.7272727272727275</v>
      </c>
      <c r="AC15">
        <f>IF( COUNTIF('Raw Data'!$A$3:$A$2927,$A15)=0,0,SUMIF('Raw Data'!$A$3:$A$2927, $A15,'Raw Data'!AB$3:AB$2927) / COUNTIF('Raw Data'!$A$3:$A$2927,$A15))</f>
        <v>0</v>
      </c>
      <c r="AD15">
        <f>IF( COUNTIF('Raw Data'!$A$3:$A$2927,$A15)=0,0,SUMIF('Raw Data'!$A$3:$A$2927, $A15,'Raw Data'!AC$3:AC$2927) / COUNTIF('Raw Data'!$A$3:$A$2927,$A15))</f>
        <v>1</v>
      </c>
      <c r="AE15" s="117">
        <f>IF( COUNTIF('Raw Data'!$A$3:$A$2927,$A15)=0,0,SUMIF('Raw Data'!$A$3:$A$2927, $A15,'Raw Data'!AD$3:AD$2927) / COUNTIF('Raw Data'!$A$3:$A$2927,$A15))</f>
        <v>9.0909090909090912E-2</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0</v>
      </c>
      <c r="AI15">
        <f>IF( COUNTIF('Raw Data'!$A$3:$A$2927,$A15)=0,0,SUMIF('Raw Data'!$A$3:$A$2927, $A15,'Raw Data'!AH$3:AH$2927) / COUNTIF('Raw Data'!$A$3:$A$2927,$A15))</f>
        <v>9.0909090909090912E-2</v>
      </c>
      <c r="AJ15" s="117">
        <f>COUNTIF('Raw Data'!A$3:A$2927, $A15)</f>
        <v>11</v>
      </c>
      <c r="AK15">
        <f t="shared" si="2"/>
        <v>1.0236363636363635</v>
      </c>
      <c r="AL15">
        <f t="shared" si="3"/>
        <v>0.36363636363636359</v>
      </c>
      <c r="AM15">
        <f t="shared" si="4"/>
        <v>0.81818181818181812</v>
      </c>
      <c r="AN15">
        <f t="shared" si="5"/>
        <v>1.0236363636363635</v>
      </c>
      <c r="AP15" t="s">
        <v>278</v>
      </c>
      <c r="AQ15">
        <v>1.5</v>
      </c>
      <c r="AS15" t="s">
        <v>285</v>
      </c>
      <c r="AT15">
        <v>0.5</v>
      </c>
      <c r="AV15" t="s">
        <v>287</v>
      </c>
      <c r="AW15">
        <v>0.5</v>
      </c>
      <c r="AY15" t="s">
        <v>359</v>
      </c>
      <c r="AZ15">
        <v>1.5</v>
      </c>
    </row>
    <row r="16" spans="1:52">
      <c r="A16">
        <v>2013</v>
      </c>
      <c r="B16" t="s">
        <v>447</v>
      </c>
      <c r="C16">
        <f t="shared" si="0"/>
        <v>0.75</v>
      </c>
      <c r="D16">
        <f t="shared" si="1"/>
        <v>0.75</v>
      </c>
      <c r="E16">
        <f>IF( COUNTIF('Raw Data'!$A$3:$A$2927,$A16)=0,0,SUMIF('Raw Data'!$A$3:$A$2927, $A16,'Raw Data'!D$3:D$2927) / COUNTIF('Raw Data'!$A$3:$A$2927,$A16))</f>
        <v>1.125</v>
      </c>
      <c r="F16">
        <f>MAX(IF('Raw Data'!$A$3:$A$927=$A16, 'Raw Data'!$O$3:$O$927))</f>
        <v>0</v>
      </c>
      <c r="G16">
        <f>MAX(IF('Raw Data'!$A$3:$A$927=$A16, 'Raw Data'!$I$3:$I$927))</f>
        <v>0</v>
      </c>
      <c r="H16">
        <f>IF( COUNTIF('Raw Data'!$A$3:$A$2927,$A16)=0,0,SUMIF('Raw Data'!$A$3:$A$2927, $A16,'Raw Data'!E$3:E$2927) / COUNTIF('Raw Data'!$A$3:$A$2927,$A16))</f>
        <v>0</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MAX(IF('Raw Data'!$A$3:$A$927=$A16, 'Raw Data'!$Z$3:$Z$927))</f>
        <v>0</v>
      </c>
      <c r="R16">
        <f>MAX(IF('Raw Data'!$A$3:$A$927=$A16, 'Raw Data'!$T$3:$T$927))</f>
        <v>0</v>
      </c>
      <c r="S16">
        <f>IF( COUNTIF('Raw Data'!$A$3:$A$2927,$A16)=0,0,SUMIF('Raw Data'!$A$3:$A$2927, $A16,'Raw Data'!P$3:P$2927) / COUNTIF('Raw Data'!$A$3:$A$2927,$A16))</f>
        <v>0</v>
      </c>
      <c r="T16">
        <f>IF( COUNTIF('Raw Data'!$A$3:$A$2927,$A16)=0,0,SUMIF('Raw Data'!$A$3:$A$2927, $A16,'Raw Data'!Q$3:Q$2927) / COUNTIF('Raw Data'!$A$3:$A$2927,$A16))</f>
        <v>0</v>
      </c>
      <c r="U16">
        <f>IF( COUNTIF('Raw Data'!$A$3:$A$2927,$A16)=0,0,SUMIF('Raw Data'!$A$3:$A$2927, $A16,'Raw Data'!R$3:R$2927) / COUNTIF('Raw Data'!$A$3:$A$2927,$A16))</f>
        <v>0</v>
      </c>
      <c r="V16">
        <f>IF( COUNTIF('Raw Data'!$A$3:$A$2927,$A16)=0,0,SUMIF('Raw Data'!$A$3:$A$2927, $A16,'Raw Data'!S$3:S$2927) / COUNTIF('Raw Data'!$A$3:$A$2927,$A16))</f>
        <v>0</v>
      </c>
      <c r="W16">
        <f>MAX(IF('Raw Data'!$A$3:$A$927=$A16, 'Raw Data'!$Y$3:$Y$927))</f>
        <v>0</v>
      </c>
      <c r="X16">
        <f>IF( COUNTIF('Raw Data'!$A$3:$A$2927,$A16)=0,0,SUMIF('Raw Data'!$A$3:$A$2927, $A16,'Raw Data'!U$3:U$2927) / COUNTIF('Raw Data'!$A$3:$A$2927,$A16))</f>
        <v>0.25</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v>
      </c>
      <c r="AB16">
        <f>IF( COUNTIF('Raw Data'!$A$3:$A$2927,$A16)=0,0,SUMIF('Raw Data'!$A$3:$A$2927, $A16,'Raw Data'!AA$3:AA$2927) / COUNTIF('Raw Data'!$A$3:$A$2927,$A16))</f>
        <v>36.625</v>
      </c>
      <c r="AC16">
        <f>IF( COUNTIF('Raw Data'!$A$3:$A$2927,$A16)=0,0,SUMIF('Raw Data'!$A$3:$A$2927, $A16,'Raw Data'!AB$3:AB$2927) / COUNTIF('Raw Data'!$A$3:$A$2927,$A16))</f>
        <v>0</v>
      </c>
      <c r="AD16">
        <f>IF( COUNTIF('Raw Data'!$A$3:$A$2927,$A16)=0,0,SUMIF('Raw Data'!$A$3:$A$2927, $A16,'Raw Data'!AC$3:AC$2927) / COUNTIF('Raw Data'!$A$3:$A$2927,$A16))</f>
        <v>0.75</v>
      </c>
      <c r="AE16" s="117">
        <f>IF( COUNTIF('Raw Data'!$A$3:$A$2927,$A16)=0,0,SUMIF('Raw Data'!$A$3:$A$2927, $A16,'Raw Data'!AD$3:AD$2927) / COUNTIF('Raw Data'!$A$3:$A$2927,$A16))</f>
        <v>0</v>
      </c>
      <c r="AF16">
        <f>IF( COUNTIF('Raw Data'!$A$3:$A$2927,$A16)=0,0,SUMIF('Raw Data'!$A$3:$A$2927, $A16,'Raw Data'!AE$3:AE$2927) / COUNTIF('Raw Data'!$A$3:$A$2927,$A16))</f>
        <v>0.125</v>
      </c>
      <c r="AG16">
        <f>IF( COUNTIF('Raw Data'!$A$3:$A$2927,$A16)=0,0,SUMIF('Raw Data'!$A$3:$A$2927, $A16,'Raw Data'!AF$3:AF$2927) / COUNTIF('Raw Data'!$A$3:$A$2927,$A16))</f>
        <v>0</v>
      </c>
      <c r="AH16">
        <f>IF( COUNTIF('Raw Data'!$A$3:$A$2927,$A16)=0,0,SUMIF('Raw Data'!$A$3:$A$2927, $A16,'Raw Data'!AG$3:AG$2927) / COUNTIF('Raw Data'!$A$3:$A$2927,$A16))</f>
        <v>5.625</v>
      </c>
      <c r="AI16">
        <f>IF( COUNTIF('Raw Data'!$A$3:$A$2927,$A16)=0,0,SUMIF('Raw Data'!$A$3:$A$2927, $A16,'Raw Data'!AH$3:AH$2927) / COUNTIF('Raw Data'!$A$3:$A$2927,$A16))</f>
        <v>0</v>
      </c>
      <c r="AJ16" s="117">
        <f>COUNTIF('Raw Data'!A$3:A$2927, $A16)</f>
        <v>8</v>
      </c>
      <c r="AK16">
        <f t="shared" si="2"/>
        <v>-22.897500000000001</v>
      </c>
      <c r="AL16">
        <f t="shared" si="3"/>
        <v>-3.0625</v>
      </c>
      <c r="AM16">
        <f t="shared" si="4"/>
        <v>-1.8562500000000002</v>
      </c>
      <c r="AN16">
        <f t="shared" si="5"/>
        <v>-22.897500000000001</v>
      </c>
      <c r="AP16" t="s">
        <v>253</v>
      </c>
      <c r="AQ16">
        <v>1</v>
      </c>
      <c r="AS16" t="s">
        <v>262</v>
      </c>
      <c r="AT16">
        <v>0.5</v>
      </c>
      <c r="AV16" t="s">
        <v>274</v>
      </c>
      <c r="AW16">
        <v>0.25</v>
      </c>
      <c r="AY16" t="s">
        <v>360</v>
      </c>
      <c r="AZ16">
        <v>1</v>
      </c>
    </row>
    <row r="17" spans="1:52">
      <c r="A17">
        <v>2200</v>
      </c>
      <c r="B17" t="s">
        <v>200</v>
      </c>
      <c r="C17">
        <f t="shared" si="0"/>
        <v>28.125</v>
      </c>
      <c r="D17">
        <f t="shared" si="1"/>
        <v>15</v>
      </c>
      <c r="E17">
        <f>IF( COUNTIF('Raw Data'!$A$3:$A$2927,$A17)=0,0,SUMIF('Raw Data'!$A$3:$A$2927, $A17,'Raw Data'!D$3:D$2927) / COUNTIF('Raw Data'!$A$3:$A$2927,$A17))</f>
        <v>0.875</v>
      </c>
      <c r="F17">
        <f>MAX(IF('Raw Data'!$A$3:$A$927=$A17, 'Raw Data'!$O$3:$O$927))</f>
        <v>0</v>
      </c>
      <c r="G17">
        <f>MAX(IF('Raw Data'!$A$3:$A$927=$A17, 'Raw Data'!$I$3:$I$927))</f>
        <v>0</v>
      </c>
      <c r="H17">
        <f>IF( COUNTIF('Raw Data'!$A$3:$A$2927,$A17)=0,0,SUMIF('Raw Data'!$A$3:$A$2927, $A17,'Raw Data'!E$3:E$2927) / COUNTIF('Raw Data'!$A$3:$A$2927,$A17))</f>
        <v>0.75</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MAX(IF('Raw Data'!$A$3:$A$927=$A17, 'Raw Data'!$Z$3:$Z$927))</f>
        <v>0</v>
      </c>
      <c r="R17">
        <f>MAX(IF('Raw Data'!$A$3:$A$927=$A17, 'Raw Data'!$T$3:$T$927))</f>
        <v>0</v>
      </c>
      <c r="S17">
        <f>IF( COUNTIF('Raw Data'!$A$3:$A$2927,$A17)=0,0,SUMIF('Raw Data'!$A$3:$A$2927, $A17,'Raw Data'!P$3:P$2927) / COUNTIF('Raw Data'!$A$3:$A$2927,$A17))</f>
        <v>1</v>
      </c>
      <c r="T17">
        <f>IF( COUNTIF('Raw Data'!$A$3:$A$2927,$A17)=0,0,SUMIF('Raw Data'!$A$3:$A$2927, $A17,'Raw Data'!Q$3:Q$2927) / COUNTIF('Raw Data'!$A$3:$A$2927,$A17))</f>
        <v>0.875</v>
      </c>
      <c r="U17">
        <f>IF( COUNTIF('Raw Data'!$A$3:$A$2927,$A17)=0,0,SUMIF('Raw Data'!$A$3:$A$2927, $A17,'Raw Data'!R$3:R$2927) / COUNTIF('Raw Data'!$A$3:$A$2927,$A17))</f>
        <v>0.125</v>
      </c>
      <c r="V17">
        <f>IF( COUNTIF('Raw Data'!$A$3:$A$2927,$A17)=0,0,SUMIF('Raw Data'!$A$3:$A$2927, $A17,'Raw Data'!S$3:S$2927) / COUNTIF('Raw Data'!$A$3:$A$2927,$A17))</f>
        <v>0.25</v>
      </c>
      <c r="W17">
        <f>MAX(IF('Raw Data'!$A$3:$A$927=$A17, 'Raw Data'!$Y$3:$Y$927))</f>
        <v>0</v>
      </c>
      <c r="X17">
        <f>IF( COUNTIF('Raw Data'!$A$3:$A$2927,$A17)=0,0,SUMIF('Raw Data'!$A$3:$A$2927, $A17,'Raw Data'!U$3:U$2927) / COUNTIF('Raw Data'!$A$3:$A$2927,$A17))</f>
        <v>3</v>
      </c>
      <c r="Y17">
        <f>IF( COUNTIF('Raw Data'!$A$3:$A$2927,$A17)=0,0,SUMIF('Raw Data'!$A$3:$A$2927, $A17,'Raw Data'!V$3:V$2927) / COUNTIF('Raw Data'!$A$3:$A$2927,$A17))</f>
        <v>0.25</v>
      </c>
      <c r="Z17">
        <f>IF( COUNTIF('Raw Data'!$A$3:$A$2927,$A17)=0,0,SUMIF('Raw Data'!$A$3:$A$2927, $A17,'Raw Data'!W$3:W$2927) / COUNTIF('Raw Data'!$A$3:$A$2927,$A17))</f>
        <v>0</v>
      </c>
      <c r="AA17">
        <f>IF( COUNTIF('Raw Data'!$A$3:$A$2927,$A17)=0,0,SUMIF('Raw Data'!$A$3:$A$2927, $A17,'Raw Data'!X$3:X$2927) / COUNTIF('Raw Data'!$A$3:$A$2927,$A17))</f>
        <v>0.25</v>
      </c>
      <c r="AB17">
        <f>IF( COUNTIF('Raw Data'!$A$3:$A$2927,$A17)=0,0,SUMIF('Raw Data'!$A$3:$A$2927, $A17,'Raw Data'!AA$3:AA$2927) / COUNTIF('Raw Data'!$A$3:$A$2927,$A17))</f>
        <v>0</v>
      </c>
      <c r="AC17">
        <f>IF( COUNTIF('Raw Data'!$A$3:$A$2927,$A17)=0,0,SUMIF('Raw Data'!$A$3:$A$2927, $A17,'Raw Data'!AB$3:AB$2927) / COUNTIF('Raw Data'!$A$3:$A$2927,$A17))</f>
        <v>0</v>
      </c>
      <c r="AD17">
        <f>IF( COUNTIF('Raw Data'!$A$3:$A$2927,$A17)=0,0,SUMIF('Raw Data'!$A$3:$A$2927, $A17,'Raw Data'!AC$3:AC$2927) / COUNTIF('Raw Data'!$A$3:$A$2927,$A17))</f>
        <v>2.625</v>
      </c>
      <c r="AE17" s="117">
        <f>IF( COUNTIF('Raw Data'!$A$3:$A$2927,$A17)=0,0,SUMIF('Raw Data'!$A$3:$A$2927, $A17,'Raw Data'!AD$3:AD$2927) / COUNTIF('Raw Data'!$A$3:$A$2927,$A17))</f>
        <v>0</v>
      </c>
      <c r="AF17">
        <f>IF( COUNTIF('Raw Data'!$A$3:$A$2927,$A17)=0,0,SUMIF('Raw Data'!$A$3:$A$2927, $A17,'Raw Data'!AE$3:AE$2927) / COUNTIF('Raw Data'!$A$3:$A$2927,$A17))</f>
        <v>0</v>
      </c>
      <c r="AG17">
        <f>IF( COUNTIF('Raw Data'!$A$3:$A$2927,$A17)=0,0,SUMIF('Raw Data'!$A$3:$A$2927, $A17,'Raw Data'!AF$3:AF$2927) / COUNTIF('Raw Data'!$A$3:$A$2927,$A17))</f>
        <v>0</v>
      </c>
      <c r="AH17">
        <f>IF( COUNTIF('Raw Data'!$A$3:$A$2927,$A17)=0,0,SUMIF('Raw Data'!$A$3:$A$2927, $A17,'Raw Data'!AG$3:AG$2927) / COUNTIF('Raw Data'!$A$3:$A$2927,$A17))</f>
        <v>0.75</v>
      </c>
      <c r="AI17">
        <f>IF( COUNTIF('Raw Data'!$A$3:$A$2927,$A17)=0,0,SUMIF('Raw Data'!$A$3:$A$2927, $A17,'Raw Data'!AH$3:AH$2927) / COUNTIF('Raw Data'!$A$3:$A$2927,$A17))</f>
        <v>0.125</v>
      </c>
      <c r="AJ17" s="117">
        <f>COUNTIF('Raw Data'!A$3:A$2927, $A17)</f>
        <v>8</v>
      </c>
      <c r="AK17">
        <f t="shared" si="2"/>
        <v>10.9975</v>
      </c>
      <c r="AL17">
        <f t="shared" si="3"/>
        <v>1.4375</v>
      </c>
      <c r="AM17">
        <f t="shared" si="4"/>
        <v>2.3774999999999999</v>
      </c>
      <c r="AN17">
        <f t="shared" si="5"/>
        <v>10.2475</v>
      </c>
      <c r="AP17" t="s">
        <v>254</v>
      </c>
      <c r="AQ17">
        <v>0.66</v>
      </c>
      <c r="AS17" t="s">
        <v>263</v>
      </c>
      <c r="AT17">
        <v>-0.5</v>
      </c>
      <c r="AV17" t="s">
        <v>275</v>
      </c>
      <c r="AW17">
        <v>-0.33</v>
      </c>
      <c r="AY17" t="s">
        <v>361</v>
      </c>
      <c r="AZ17">
        <v>0.66</v>
      </c>
    </row>
    <row r="18" spans="1:52">
      <c r="A18">
        <v>2386</v>
      </c>
      <c r="B18" t="s">
        <v>201</v>
      </c>
      <c r="C18">
        <f t="shared" si="0"/>
        <v>28</v>
      </c>
      <c r="D18">
        <f t="shared" si="1"/>
        <v>9.1111111111111107</v>
      </c>
      <c r="E18">
        <f>IF( COUNTIF('Raw Data'!$A$3:$A$2927,$A18)=0,0,SUMIF('Raw Data'!$A$3:$A$2927, $A18,'Raw Data'!D$3:D$2927) / COUNTIF('Raw Data'!$A$3:$A$2927,$A18))</f>
        <v>1.8888888888888888</v>
      </c>
      <c r="F18">
        <f>MAX(IF('Raw Data'!$A$3:$A$927=$A18, 'Raw Data'!$O$3:$O$927))</f>
        <v>0</v>
      </c>
      <c r="G18">
        <f>MAX(IF('Raw Data'!$A$3:$A$927=$A18, 'Raw Data'!$I$3:$I$927))</f>
        <v>0</v>
      </c>
      <c r="H18">
        <f>IF( COUNTIF('Raw Data'!$A$3:$A$2927,$A18)=0,0,SUMIF('Raw Data'!$A$3:$A$2927, $A18,'Raw Data'!E$3:E$2927) / COUNTIF('Raw Data'!$A$3:$A$2927,$A18))</f>
        <v>0</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v>
      </c>
      <c r="L18">
        <f>MAX(IF('Raw Data'!$A$3:$A$927=$A18, 'Raw Data'!$N$3:$N$927))</f>
        <v>0</v>
      </c>
      <c r="M18">
        <f>IF( COUNTIF('Raw Data'!$A$3:$A$2927,$A18)=0,0,SUMIF('Raw Data'!$A$3:$A$2927, $A18,'Raw Data'!J$3:J$2927) / COUNTIF('Raw Data'!$A$3:$A$2927,$A18))</f>
        <v>0.55555555555555558</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MAX(IF('Raw Data'!$A$3:$A$927=$A18, 'Raw Data'!$Z$3:$Z$927))</f>
        <v>0</v>
      </c>
      <c r="R18">
        <f>MAX(IF('Raw Data'!$A$3:$A$927=$A18, 'Raw Data'!$T$3:$T$927))</f>
        <v>0</v>
      </c>
      <c r="S18">
        <f>IF( COUNTIF('Raw Data'!$A$3:$A$2927,$A18)=0,0,SUMIF('Raw Data'!$A$3:$A$2927, $A18,'Raw Data'!P$3:P$2927) / COUNTIF('Raw Data'!$A$3:$A$2927,$A18))</f>
        <v>0.33333333333333331</v>
      </c>
      <c r="T18">
        <f>IF( COUNTIF('Raw Data'!$A$3:$A$2927,$A18)=0,0,SUMIF('Raw Data'!$A$3:$A$2927, $A18,'Raw Data'!Q$3:Q$2927) / COUNTIF('Raw Data'!$A$3:$A$2927,$A18))</f>
        <v>0.22222222222222221</v>
      </c>
      <c r="U18">
        <f>IF( COUNTIF('Raw Data'!$A$3:$A$2927,$A18)=0,0,SUMIF('Raw Data'!$A$3:$A$2927, $A18,'Raw Data'!R$3:R$2927) / COUNTIF('Raw Data'!$A$3:$A$2927,$A18))</f>
        <v>0</v>
      </c>
      <c r="V18">
        <f>IF( COUNTIF('Raw Data'!$A$3:$A$2927,$A18)=0,0,SUMIF('Raw Data'!$A$3:$A$2927, $A18,'Raw Data'!S$3:S$2927) / COUNTIF('Raw Data'!$A$3:$A$2927,$A18))</f>
        <v>0.44444444444444442</v>
      </c>
      <c r="W18">
        <f>MAX(IF('Raw Data'!$A$3:$A$927=$A18, 'Raw Data'!$Y$3:$Y$927))</f>
        <v>0</v>
      </c>
      <c r="X18">
        <f>IF( COUNTIF('Raw Data'!$A$3:$A$2927,$A18)=0,0,SUMIF('Raw Data'!$A$3:$A$2927, $A18,'Raw Data'!U$3:U$2927) / COUNTIF('Raw Data'!$A$3:$A$2927,$A18))</f>
        <v>1.7777777777777777</v>
      </c>
      <c r="Y18">
        <f>IF( COUNTIF('Raw Data'!$A$3:$A$2927,$A18)=0,0,SUMIF('Raw Data'!$A$3:$A$2927, $A18,'Raw Data'!V$3:V$2927) / COUNTIF('Raw Data'!$A$3:$A$2927,$A18))</f>
        <v>0.33333333333333331</v>
      </c>
      <c r="Z18">
        <f>IF( COUNTIF('Raw Data'!$A$3:$A$2927,$A18)=0,0,SUMIF('Raw Data'!$A$3:$A$2927, $A18,'Raw Data'!W$3:W$2927) / COUNTIF('Raw Data'!$A$3:$A$2927,$A18))</f>
        <v>0</v>
      </c>
      <c r="AA18">
        <f>IF( COUNTIF('Raw Data'!$A$3:$A$2927,$A18)=0,0,SUMIF('Raw Data'!$A$3:$A$2927, $A18,'Raw Data'!X$3:X$2927) / COUNTIF('Raw Data'!$A$3:$A$2927,$A18))</f>
        <v>0.1111111111111111</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3</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v>
      </c>
      <c r="AI18">
        <f>IF( COUNTIF('Raw Data'!$A$3:$A$2927,$A18)=0,0,SUMIF('Raw Data'!$A$3:$A$2927, $A18,'Raw Data'!AH$3:AH$2927) / COUNTIF('Raw Data'!$A$3:$A$2927,$A18))</f>
        <v>0.44444444444444442</v>
      </c>
      <c r="AJ18" s="117">
        <f>COUNTIF('Raw Data'!A$3:A$2927, $A18)</f>
        <v>9</v>
      </c>
      <c r="AK18">
        <f t="shared" si="2"/>
        <v>10.222222222222221</v>
      </c>
      <c r="AL18">
        <f t="shared" si="3"/>
        <v>0.33333333333333348</v>
      </c>
      <c r="AM18">
        <f t="shared" si="4"/>
        <v>2.9722222222222219</v>
      </c>
      <c r="AN18">
        <f t="shared" si="5"/>
        <v>10.444444444444445</v>
      </c>
      <c r="AP18" t="s">
        <v>286</v>
      </c>
      <c r="AQ18">
        <v>0.5</v>
      </c>
      <c r="AR18" t="s">
        <v>255</v>
      </c>
      <c r="AS18" t="s">
        <v>271</v>
      </c>
      <c r="AT18">
        <v>-2</v>
      </c>
      <c r="AV18" t="s">
        <v>288</v>
      </c>
      <c r="AW18">
        <v>-2</v>
      </c>
      <c r="AY18" t="s">
        <v>362</v>
      </c>
      <c r="AZ18" s="136">
        <v>0</v>
      </c>
    </row>
    <row r="19" spans="1:52">
      <c r="A19">
        <v>2634</v>
      </c>
      <c r="B19" t="s">
        <v>448</v>
      </c>
      <c r="C19">
        <f t="shared" si="0"/>
        <v>0</v>
      </c>
      <c r="D19">
        <f t="shared" si="1"/>
        <v>0</v>
      </c>
      <c r="E19">
        <f>IF( COUNTIF('Raw Data'!$A$3:$A$2927,$A19)=0,0,SUMIF('Raw Data'!$A$3:$A$2927, $A19,'Raw Data'!D$3:D$2927) / COUNTIF('Raw Data'!$A$3:$A$2927,$A19))</f>
        <v>0</v>
      </c>
      <c r="F19">
        <f>MAX(IF('Raw Data'!$A$3:$A$927=$A19, 'Raw Data'!$O$3:$O$927))</f>
        <v>0</v>
      </c>
      <c r="G19">
        <f>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MAX(IF('Raw Data'!$A$3:$A$927=$A19, 'Raw Data'!$Z$3:$Z$927))</f>
        <v>0</v>
      </c>
      <c r="R19">
        <f>MAX(IF('Raw Data'!$A$3:$A$927=$A19, 'Raw Data'!$T$3:$T$927))</f>
        <v>0</v>
      </c>
      <c r="S19">
        <f>IF( COUNTIF('Raw Data'!$A$3:$A$2927,$A19)=0,0,SUMIF('Raw Data'!$A$3:$A$2927, $A19,'Raw Data'!P$3:P$2927) / COUNTIF('Raw Data'!$A$3:$A$2927,$A19))</f>
        <v>0</v>
      </c>
      <c r="T19">
        <f>IF( COUNTIF('Raw Data'!$A$3:$A$2927,$A19)=0,0,SUMIF('Raw Data'!$A$3:$A$2927, $A19,'Raw Data'!Q$3:Q$2927) / COUNTIF('Raw Data'!$A$3:$A$2927,$A19))</f>
        <v>0</v>
      </c>
      <c r="U19">
        <f>IF( COUNTIF('Raw Data'!$A$3:$A$2927,$A19)=0,0,SUMIF('Raw Data'!$A$3:$A$2927, $A19,'Raw Data'!R$3:R$2927) / COUNTIF('Raw Data'!$A$3:$A$2927,$A19))</f>
        <v>0</v>
      </c>
      <c r="V19">
        <f>IF( COUNTIF('Raw Data'!$A$3:$A$2927,$A19)=0,0,SUMIF('Raw Data'!$A$3:$A$2927, $A19,'Raw Data'!S$3:S$2927) / COUNTIF('Raw Data'!$A$3:$A$2927,$A19))</f>
        <v>0</v>
      </c>
      <c r="W19">
        <f>MAX(IF('Raw Data'!$A$3:$A$927=$A19, 'Raw Data'!$Y$3:$Y$927))</f>
        <v>0</v>
      </c>
      <c r="X19">
        <f>IF( COUNTIF('Raw Data'!$A$3:$A$2927,$A19)=0,0,SUMIF('Raw Data'!$A$3:$A$2927, $A19,'Raw Data'!U$3:U$2927) / COUNTIF('Raw Data'!$A$3:$A$2927,$A19))</f>
        <v>0</v>
      </c>
      <c r="Y19">
        <f>IF( COUNTIF('Raw Data'!$A$3:$A$2927,$A19)=0,0,SUMIF('Raw Data'!$A$3:$A$2927, $A19,'Raw Data'!V$3:V$2927) / COUNTIF('Raw Data'!$A$3:$A$2927,$A19))</f>
        <v>0</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v>
      </c>
      <c r="AI19">
        <f>IF( COUNTIF('Raw Data'!$A$3:$A$2927,$A19)=0,0,SUMIF('Raw Data'!$A$3:$A$2927, $A19,'Raw Data'!AH$3:AH$2927) / COUNTIF('Raw Data'!$A$3:$A$2927,$A19))</f>
        <v>0</v>
      </c>
      <c r="AJ19" s="117">
        <f>COUNTIF('Raw Data'!A$3:A$2927, $A19)</f>
        <v>0</v>
      </c>
      <c r="AK19">
        <f t="shared" si="2"/>
        <v>-21</v>
      </c>
      <c r="AL19">
        <f t="shared" si="3"/>
        <v>-1.5</v>
      </c>
      <c r="AM19">
        <f t="shared" si="4"/>
        <v>-1</v>
      </c>
      <c r="AN19">
        <f t="shared" si="5"/>
        <v>-21</v>
      </c>
      <c r="AP19" t="s">
        <v>256</v>
      </c>
      <c r="AQ19">
        <v>5</v>
      </c>
      <c r="AS19" t="s">
        <v>284</v>
      </c>
      <c r="AT19">
        <v>-2</v>
      </c>
      <c r="AV19" t="s">
        <v>276</v>
      </c>
      <c r="AW19">
        <v>-1</v>
      </c>
      <c r="AY19" t="s">
        <v>363</v>
      </c>
      <c r="AZ19" s="136">
        <v>2.5</v>
      </c>
    </row>
    <row r="20" spans="1:52">
      <c r="A20">
        <v>2706</v>
      </c>
      <c r="B20" t="s">
        <v>421</v>
      </c>
      <c r="C20">
        <f t="shared" si="0"/>
        <v>13.363636363636363</v>
      </c>
      <c r="D20">
        <f t="shared" si="1"/>
        <v>6.7272727272727266</v>
      </c>
      <c r="E20">
        <f>IF( COUNTIF('Raw Data'!$A$3:$A$2927,$A20)=0,0,SUMIF('Raw Data'!$A$3:$A$2927, $A20,'Raw Data'!D$3:D$2927) / COUNTIF('Raw Data'!$A$3:$A$2927,$A20))</f>
        <v>1</v>
      </c>
      <c r="F20">
        <f>MAX(IF('Raw Data'!$A$3:$A$927=$A20, 'Raw Data'!$O$3:$O$927))</f>
        <v>0</v>
      </c>
      <c r="G20">
        <f>MAX(IF('Raw Data'!$A$3:$A$927=$A20, 'Raw Data'!$I$3:$I$927))</f>
        <v>0</v>
      </c>
      <c r="H20">
        <f>IF( COUNTIF('Raw Data'!$A$3:$A$2927,$A20)=0,0,SUMIF('Raw Data'!$A$3:$A$2927, $A20,'Raw Data'!E$3:E$2927) / COUNTIF('Raw Data'!$A$3:$A$2927,$A20))</f>
        <v>0.45454545454545453</v>
      </c>
      <c r="I20">
        <f>IF( COUNTIF('Raw Data'!$A$3:$A$2927,$A20)=0,0,SUMIF('Raw Data'!$A$3:$A$2927, $A20,'Raw Data'!F$3:F$2927) / COUNTIF('Raw Data'!$A$3:$A$2927,$A20))</f>
        <v>0</v>
      </c>
      <c r="J20">
        <f>IF( COUNTIF('Raw Data'!$A$3:$A$2927,$A20)=0,0,SUMIF('Raw Data'!$A$3:$A$2927, $A20,'Raw Data'!G$3:G$2927) / COUNTIF('Raw Data'!$A$3:$A$2927,$A20))</f>
        <v>0</v>
      </c>
      <c r="K20">
        <f>IF( COUNTIF('Raw Data'!$A$3:$A$2927,$A20)=0,0,SUMIF('Raw Data'!$A$3:$A$2927, $A20,'Raw Data'!H$3:H$2927) / COUNTIF('Raw Data'!$A$3:$A$2927,$A20))</f>
        <v>0</v>
      </c>
      <c r="L20">
        <f>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MAX(IF('Raw Data'!$A$3:$A$927=$A20, 'Raw Data'!$Z$3:$Z$927))</f>
        <v>0</v>
      </c>
      <c r="R20">
        <f>MAX(IF('Raw Data'!$A$3:$A$927=$A20, 'Raw Data'!$T$3:$T$927))</f>
        <v>0</v>
      </c>
      <c r="S20">
        <f>IF( COUNTIF('Raw Data'!$A$3:$A$2927,$A20)=0,0,SUMIF('Raw Data'!$A$3:$A$2927, $A20,'Raw Data'!P$3:P$2927) / COUNTIF('Raw Data'!$A$3:$A$2927,$A20))</f>
        <v>0.27272727272727271</v>
      </c>
      <c r="T20">
        <f>IF( COUNTIF('Raw Data'!$A$3:$A$2927,$A20)=0,0,SUMIF('Raw Data'!$A$3:$A$2927, $A20,'Raw Data'!Q$3:Q$2927) / COUNTIF('Raw Data'!$A$3:$A$2927,$A20))</f>
        <v>0.45454545454545453</v>
      </c>
      <c r="U20">
        <f>IF( COUNTIF('Raw Data'!$A$3:$A$2927,$A20)=0,0,SUMIF('Raw Data'!$A$3:$A$2927, $A20,'Raw Data'!R$3:R$2927) / COUNTIF('Raw Data'!$A$3:$A$2927,$A20))</f>
        <v>0.18181818181818182</v>
      </c>
      <c r="V20">
        <f>IF( COUNTIF('Raw Data'!$A$3:$A$2927,$A20)=0,0,SUMIF('Raw Data'!$A$3:$A$2927, $A20,'Raw Data'!S$3:S$2927) / COUNTIF('Raw Data'!$A$3:$A$2927,$A20))</f>
        <v>0.54545454545454541</v>
      </c>
      <c r="W20">
        <f>MAX(IF('Raw Data'!$A$3:$A$927=$A20, 'Raw Data'!$Y$3:$Y$927))</f>
        <v>0</v>
      </c>
      <c r="X20">
        <f>IF( COUNTIF('Raw Data'!$A$3:$A$2927,$A20)=0,0,SUMIF('Raw Data'!$A$3:$A$2927, $A20,'Raw Data'!U$3:U$2927) / COUNTIF('Raw Data'!$A$3:$A$2927,$A20))</f>
        <v>1.1818181818181819</v>
      </c>
      <c r="Y20">
        <f>IF( COUNTIF('Raw Data'!$A$3:$A$2927,$A20)=0,0,SUMIF('Raw Data'!$A$3:$A$2927, $A20,'Raw Data'!V$3:V$2927) / COUNTIF('Raw Data'!$A$3:$A$2927,$A20))</f>
        <v>0.27272727272727271</v>
      </c>
      <c r="Z20">
        <f>IF( COUNTIF('Raw Data'!$A$3:$A$2927,$A20)=0,0,SUMIF('Raw Data'!$A$3:$A$2927, $A20,'Raw Data'!W$3:W$2927) / COUNTIF('Raw Data'!$A$3:$A$2927,$A20))</f>
        <v>0</v>
      </c>
      <c r="AA20">
        <f>IF( COUNTIF('Raw Data'!$A$3:$A$2927,$A20)=0,0,SUMIF('Raw Data'!$A$3:$A$2927, $A20,'Raw Data'!X$3:X$2927) / COUNTIF('Raw Data'!$A$3:$A$2927,$A20))</f>
        <v>0</v>
      </c>
      <c r="AB20">
        <f>IF( COUNTIF('Raw Data'!$A$3:$A$2927,$A20)=0,0,SUMIF('Raw Data'!$A$3:$A$2927, $A20,'Raw Data'!AA$3:AA$2927) / COUNTIF('Raw Data'!$A$3:$A$2927,$A20))</f>
        <v>7.7272727272727275</v>
      </c>
      <c r="AC20">
        <f>IF( COUNTIF('Raw Data'!$A$3:$A$2927,$A20)=0,0,SUMIF('Raw Data'!$A$3:$A$2927, $A20,'Raw Data'!AB$3:AB$2927) / COUNTIF('Raw Data'!$A$3:$A$2927,$A20))</f>
        <v>0</v>
      </c>
      <c r="AD20">
        <f>IF( COUNTIF('Raw Data'!$A$3:$A$2927,$A20)=0,0,SUMIF('Raw Data'!$A$3:$A$2927, $A20,'Raw Data'!AC$3:AC$2927) / COUNTIF('Raw Data'!$A$3:$A$2927,$A20))</f>
        <v>0.72727272727272729</v>
      </c>
      <c r="AE20" s="117">
        <f>IF( COUNTIF('Raw Data'!$A$3:$A$2927,$A20)=0,0,SUMIF('Raw Data'!$A$3:$A$2927, $A20,'Raw Data'!AD$3:AD$2927) / COUNTIF('Raw Data'!$A$3:$A$2927,$A20))</f>
        <v>0</v>
      </c>
      <c r="AF20">
        <f>IF( COUNTIF('Raw Data'!$A$3:$A$2927,$A20)=0,0,SUMIF('Raw Data'!$A$3:$A$2927, $A20,'Raw Data'!AE$3:AE$2927) / COUNTIF('Raw Data'!$A$3:$A$2927,$A20))</f>
        <v>9.0909090909090912E-2</v>
      </c>
      <c r="AG20">
        <f>IF( COUNTIF('Raw Data'!$A$3:$A$2927,$A20)=0,0,SUMIF('Raw Data'!$A$3:$A$2927, $A20,'Raw Data'!AF$3:AF$2927) / COUNTIF('Raw Data'!$A$3:$A$2927,$A20))</f>
        <v>0</v>
      </c>
      <c r="AH20">
        <f>IF( COUNTIF('Raw Data'!$A$3:$A$2927,$A20)=0,0,SUMIF('Raw Data'!$A$3:$A$2927, $A20,'Raw Data'!AG$3:AG$2927) / COUNTIF('Raw Data'!$A$3:$A$2927,$A20))</f>
        <v>0</v>
      </c>
      <c r="AI20">
        <f>IF( COUNTIF('Raw Data'!$A$3:$A$2927,$A20)=0,0,SUMIF('Raw Data'!$A$3:$A$2927, $A20,'Raw Data'!AH$3:AH$2927) / COUNTIF('Raw Data'!$A$3:$A$2927,$A20))</f>
        <v>0.18181818181818182</v>
      </c>
      <c r="AJ20" s="117">
        <f>COUNTIF('Raw Data'!A$3:A$2927, $A20)</f>
        <v>11</v>
      </c>
      <c r="AK20">
        <f t="shared" si="2"/>
        <v>2.6872727272727275</v>
      </c>
      <c r="AL20">
        <f t="shared" si="3"/>
        <v>1.9545454545454544</v>
      </c>
      <c r="AM20">
        <f t="shared" si="4"/>
        <v>1.2727272727272727</v>
      </c>
      <c r="AN20">
        <f t="shared" si="5"/>
        <v>2.3236363636363637</v>
      </c>
      <c r="AP20" t="s">
        <v>279</v>
      </c>
      <c r="AQ20">
        <v>2.4500000000000002</v>
      </c>
      <c r="AS20" t="s">
        <v>272</v>
      </c>
      <c r="AT20">
        <v>-1.5</v>
      </c>
      <c r="AV20" t="s">
        <v>277</v>
      </c>
      <c r="AW20">
        <v>1</v>
      </c>
      <c r="AY20" t="s">
        <v>364</v>
      </c>
      <c r="AZ20" s="136">
        <v>1.45</v>
      </c>
    </row>
    <row r="21" spans="1:52">
      <c r="A21">
        <v>2708</v>
      </c>
      <c r="B21" t="s">
        <v>202</v>
      </c>
      <c r="C21">
        <f t="shared" si="0"/>
        <v>4.625</v>
      </c>
      <c r="D21">
        <f t="shared" si="1"/>
        <v>1.875</v>
      </c>
      <c r="E21">
        <f>IF( COUNTIF('Raw Data'!$A$3:$A$2927,$A21)=0,0,SUMIF('Raw Data'!$A$3:$A$2927, $A21,'Raw Data'!D$3:D$2927) / COUNTIF('Raw Data'!$A$3:$A$2927,$A21))</f>
        <v>1.25</v>
      </c>
      <c r="F21">
        <f>MAX(IF('Raw Data'!$A$3:$A$927=$A21, 'Raw Data'!$O$3:$O$927))</f>
        <v>0</v>
      </c>
      <c r="G21">
        <f>MAX(IF('Raw Data'!$A$3:$A$927=$A21, 'Raw Data'!$I$3:$I$927))</f>
        <v>0</v>
      </c>
      <c r="H21">
        <f>IF( COUNTIF('Raw Data'!$A$3:$A$2927,$A21)=0,0,SUMIF('Raw Data'!$A$3:$A$2927, $A21,'Raw Data'!E$3:E$2927) / COUNTIF('Raw Data'!$A$3:$A$2927,$A21))</f>
        <v>0</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MAX(IF('Raw Data'!$A$3:$A$927=$A21, 'Raw Data'!$N$3:$N$927))</f>
        <v>0</v>
      </c>
      <c r="M21">
        <f>IF( COUNTIF('Raw Data'!$A$3:$A$2927,$A21)=0,0,SUMIF('Raw Data'!$A$3:$A$2927, $A21,'Raw Data'!J$3:J$2927) / COUNTIF('Raw Data'!$A$3:$A$2927,$A21))</f>
        <v>0</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MAX(IF('Raw Data'!$A$3:$A$927=$A21, 'Raw Data'!$Z$3:$Z$927))</f>
        <v>0</v>
      </c>
      <c r="R21">
        <f>MAX(IF('Raw Data'!$A$3:$A$927=$A21, 'Raw Data'!$T$3:$T$927))</f>
        <v>0</v>
      </c>
      <c r="S21">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0.125</v>
      </c>
      <c r="W21">
        <f>MAX(IF('Raw Data'!$A$3:$A$927=$A21, 'Raw Data'!$Y$3:$Y$927))</f>
        <v>0</v>
      </c>
      <c r="X21">
        <f>IF( COUNTIF('Raw Data'!$A$3:$A$2927,$A21)=0,0,SUMIF('Raw Data'!$A$3:$A$2927, $A21,'Raw Data'!U$3:U$2927) / COUNTIF('Raw Data'!$A$3:$A$2927,$A21))</f>
        <v>0.5</v>
      </c>
      <c r="Y21">
        <f>IF( COUNTIF('Raw Data'!$A$3:$A$2927,$A21)=0,0,SUMIF('Raw Data'!$A$3:$A$2927, $A21,'Raw Data'!V$3:V$2927) / COUNTIF('Raw Data'!$A$3:$A$2927,$A21))</f>
        <v>0.125</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15</v>
      </c>
      <c r="AC21">
        <f>IF( COUNTIF('Raw Data'!$A$3:$A$2927,$A21)=0,0,SUMIF('Raw Data'!$A$3:$A$2927, $A21,'Raw Data'!AB$3:AB$2927) / COUNTIF('Raw Data'!$A$3:$A$2927,$A21))</f>
        <v>0</v>
      </c>
      <c r="AD21">
        <f>IF( COUNTIF('Raw Data'!$A$3:$A$2927,$A21)=0,0,SUMIF('Raw Data'!$A$3:$A$2927, $A21,'Raw Data'!AC$3:AC$2927) / COUNTIF('Raw Data'!$A$3:$A$2927,$A21))</f>
        <v>0.75</v>
      </c>
      <c r="AE21" s="117">
        <f>IF( COUNTIF('Raw Data'!$A$3:$A$2927,$A21)=0,0,SUMIF('Raw Data'!$A$3:$A$2927, $A21,'Raw Data'!AD$3:AD$2927) / COUNTIF('Raw Data'!$A$3:$A$2927,$A21))</f>
        <v>0</v>
      </c>
      <c r="AF21">
        <f>IF( COUNTIF('Raw Data'!$A$3:$A$2927,$A21)=0,0,SUMIF('Raw Data'!$A$3:$A$2927, $A21,'Raw Data'!AE$3:AE$2927) / COUNTIF('Raw Data'!$A$3:$A$2927,$A21))</f>
        <v>0.125</v>
      </c>
      <c r="AG21">
        <f>IF( COUNTIF('Raw Data'!$A$3:$A$2927,$A21)=0,0,SUMIF('Raw Data'!$A$3:$A$2927, $A21,'Raw Data'!AF$3:AF$2927) / COUNTIF('Raw Data'!$A$3:$A$2927,$A21))</f>
        <v>0</v>
      </c>
      <c r="AH21">
        <f>IF( COUNTIF('Raw Data'!$A$3:$A$2927,$A21)=0,0,SUMIF('Raw Data'!$A$3:$A$2927, $A21,'Raw Data'!AG$3:AG$2927) / COUNTIF('Raw Data'!$A$3:$A$2927,$A21))</f>
        <v>3.5</v>
      </c>
      <c r="AI21">
        <f>IF( COUNTIF('Raw Data'!$A$3:$A$2927,$A21)=0,0,SUMIF('Raw Data'!$A$3:$A$2927, $A21,'Raw Data'!AH$3:AH$2927) / COUNTIF('Raw Data'!$A$3:$A$2927,$A21))</f>
        <v>0.5</v>
      </c>
      <c r="AJ21" s="117">
        <f>COUNTIF('Raw Data'!A$3:A$2927, $A21)</f>
        <v>8</v>
      </c>
      <c r="AK21">
        <f t="shared" si="2"/>
        <v>-22.4</v>
      </c>
      <c r="AL21">
        <f t="shared" si="3"/>
        <v>-2.8125</v>
      </c>
      <c r="AM21">
        <f t="shared" si="4"/>
        <v>-0.78</v>
      </c>
      <c r="AN21">
        <f t="shared" si="5"/>
        <v>-22.462499999999999</v>
      </c>
      <c r="AP21" t="s">
        <v>257</v>
      </c>
      <c r="AQ21">
        <v>2</v>
      </c>
      <c r="AS21" t="s">
        <v>267</v>
      </c>
      <c r="AT21">
        <v>1</v>
      </c>
      <c r="AV21" t="s">
        <v>365</v>
      </c>
      <c r="AW21">
        <v>-20</v>
      </c>
      <c r="AY21" t="s">
        <v>366</v>
      </c>
      <c r="AZ21">
        <v>0</v>
      </c>
    </row>
    <row r="22" spans="1:52">
      <c r="A22">
        <v>2771</v>
      </c>
      <c r="B22" t="s">
        <v>449</v>
      </c>
      <c r="C22">
        <f t="shared" si="0"/>
        <v>0</v>
      </c>
      <c r="D22">
        <f t="shared" si="1"/>
        <v>0</v>
      </c>
      <c r="E22">
        <f>IF( COUNTIF('Raw Data'!$A$3:$A$2927,$A22)=0,0,SUMIF('Raw Data'!$A$3:$A$2927, $A22,'Raw Data'!D$3:D$2927) / COUNTIF('Raw Data'!$A$3:$A$2927,$A22))</f>
        <v>0</v>
      </c>
      <c r="F22">
        <f>MAX(IF('Raw Data'!$A$3:$A$927=$A22, 'Raw Data'!$O$3:$O$927))</f>
        <v>0</v>
      </c>
      <c r="G22">
        <f>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MAX(IF('Raw Data'!$A$3:$A$927=$A22, 'Raw Data'!$N$3:$N$927))</f>
        <v>0</v>
      </c>
      <c r="M22">
        <f>IF( COUNTIF('Raw Data'!$A$3:$A$2927,$A22)=0,0,SUMIF('Raw Data'!$A$3:$A$2927, $A22,'Raw Data'!J$3:J$2927) / COUNTIF('Raw Data'!$A$3:$A$2927,$A22))</f>
        <v>0</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MAX(IF('Raw Data'!$A$3:$A$927=$A22, 'Raw Data'!$Z$3:$Z$927))</f>
        <v>0</v>
      </c>
      <c r="R22">
        <f>MAX(IF('Raw Data'!$A$3:$A$927=$A22, 'Raw Data'!$T$3:$T$927))</f>
        <v>0</v>
      </c>
      <c r="S22">
        <f>IF( COUNTIF('Raw Data'!$A$3:$A$2927,$A22)=0,0,SUMIF('Raw Data'!$A$3:$A$2927, $A22,'Raw Data'!P$3:P$2927) / COUNTIF('Raw Data'!$A$3:$A$2927,$A22))</f>
        <v>0</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MAX(IF('Raw Data'!$A$3:$A$927=$A22, 'Raw Data'!$Y$3:$Y$927))</f>
        <v>0</v>
      </c>
      <c r="X22">
        <f>IF( COUNTIF('Raw Data'!$A$3:$A$2927,$A22)=0,0,SUMIF('Raw Data'!$A$3:$A$2927, $A22,'Raw Data'!U$3:U$2927) / COUNTIF('Raw Data'!$A$3:$A$2927,$A22))</f>
        <v>0</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0</v>
      </c>
      <c r="AC22">
        <f>IF( COUNTIF('Raw Data'!$A$3:$A$2927,$A22)=0,0,SUMIF('Raw Data'!$A$3:$A$2927, $A22,'Raw Data'!AB$3:AB$2927) / COUNTIF('Raw Data'!$A$3:$A$2927,$A22))</f>
        <v>0</v>
      </c>
      <c r="AD22">
        <f>IF( COUNTIF('Raw Data'!$A$3:$A$2927,$A22)=0,0,SUMIF('Raw Data'!$A$3:$A$2927, $A22,'Raw Data'!AC$3:AC$2927) / COUNTIF('Raw Data'!$A$3:$A$2927,$A22))</f>
        <v>0</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0</v>
      </c>
      <c r="AI22">
        <f>IF( COUNTIF('Raw Data'!$A$3:$A$2927,$A22)=0,0,SUMIF('Raw Data'!$A$3:$A$2927, $A22,'Raw Data'!AH$3:AH$2927) / COUNTIF('Raw Data'!$A$3:$A$2927,$A22))</f>
        <v>0</v>
      </c>
      <c r="AJ22" s="117">
        <f>COUNTIF('Raw Data'!A$3:A$2927, $A22)</f>
        <v>0</v>
      </c>
      <c r="AK22">
        <f t="shared" si="2"/>
        <v>-21</v>
      </c>
      <c r="AL22">
        <f t="shared" si="3"/>
        <v>-1.5</v>
      </c>
      <c r="AM22">
        <f t="shared" si="4"/>
        <v>-1</v>
      </c>
      <c r="AN22">
        <f t="shared" si="5"/>
        <v>-21</v>
      </c>
      <c r="AP22" t="s">
        <v>280</v>
      </c>
      <c r="AQ22">
        <v>1</v>
      </c>
      <c r="AS22" t="s">
        <v>268</v>
      </c>
      <c r="AT22">
        <v>2</v>
      </c>
      <c r="AV22" t="s">
        <v>367</v>
      </c>
      <c r="AW22">
        <v>0</v>
      </c>
      <c r="AY22" t="s">
        <v>368</v>
      </c>
      <c r="AZ22">
        <v>1</v>
      </c>
    </row>
    <row r="23" spans="1:52">
      <c r="A23">
        <v>2852</v>
      </c>
      <c r="B23" t="s">
        <v>203</v>
      </c>
      <c r="C23">
        <f t="shared" si="0"/>
        <v>9.2857142857142847</v>
      </c>
      <c r="D23">
        <f t="shared" si="1"/>
        <v>3.8571428571428568</v>
      </c>
      <c r="E23">
        <f>IF( COUNTIF('Raw Data'!$A$3:$A$2927,$A23)=0,0,SUMIF('Raw Data'!$A$3:$A$2927, $A23,'Raw Data'!D$3:D$2927) / COUNTIF('Raw Data'!$A$3:$A$2927,$A23))</f>
        <v>1.8571428571428572</v>
      </c>
      <c r="F23">
        <f>MAX(IF('Raw Data'!$A$3:$A$927=$A23, 'Raw Data'!$O$3:$O$927))</f>
        <v>0</v>
      </c>
      <c r="G23">
        <f>MAX(IF('Raw Data'!$A$3:$A$927=$A23, 'Raw Data'!$I$3:$I$927))</f>
        <v>0</v>
      </c>
      <c r="H23">
        <f>IF( COUNTIF('Raw Data'!$A$3:$A$2927,$A23)=0,0,SUMIF('Raw Data'!$A$3:$A$2927, $A23,'Raw Data'!E$3:E$2927) / COUNTIF('Raw Data'!$A$3:$A$2927,$A23))</f>
        <v>0</v>
      </c>
      <c r="I23">
        <f>IF( COUNTIF('Raw Data'!$A$3:$A$2927,$A23)=0,0,SUMIF('Raw Data'!$A$3:$A$2927, $A23,'Raw Data'!F$3:F$2927) / COUNTIF('Raw Data'!$A$3:$A$2927,$A23))</f>
        <v>0.14285714285714285</v>
      </c>
      <c r="J23">
        <f>IF( COUNTIF('Raw Data'!$A$3:$A$2927,$A23)=0,0,SUMIF('Raw Data'!$A$3:$A$2927, $A23,'Raw Data'!G$3:G$2927) / COUNTIF('Raw Data'!$A$3:$A$2927,$A23))</f>
        <v>0</v>
      </c>
      <c r="K23">
        <f>IF( COUNTIF('Raw Data'!$A$3:$A$2927,$A23)=0,0,SUMIF('Raw Data'!$A$3:$A$2927, $A23,'Raw Data'!H$3:H$2927) / COUNTIF('Raw Data'!$A$3:$A$2927,$A23))</f>
        <v>0</v>
      </c>
      <c r="L23">
        <f>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MAX(IF('Raw Data'!$A$3:$A$927=$A23, 'Raw Data'!$Z$3:$Z$927))</f>
        <v>0</v>
      </c>
      <c r="R23">
        <f>MAX(IF('Raw Data'!$A$3:$A$927=$A23, 'Raw Data'!$T$3:$T$927))</f>
        <v>0</v>
      </c>
      <c r="S23">
        <f>IF( COUNTIF('Raw Data'!$A$3:$A$2927,$A23)=0,0,SUMIF('Raw Data'!$A$3:$A$2927, $A23,'Raw Data'!P$3:P$2927) / COUNTIF('Raw Data'!$A$3:$A$2927,$A23))</f>
        <v>0.5714285714285714</v>
      </c>
      <c r="T23">
        <f>IF( COUNTIF('Raw Data'!$A$3:$A$2927,$A23)=0,0,SUMIF('Raw Data'!$A$3:$A$2927, $A23,'Raw Data'!Q$3:Q$2927) / COUNTIF('Raw Data'!$A$3:$A$2927,$A23))</f>
        <v>1</v>
      </c>
      <c r="U23">
        <f>IF( COUNTIF('Raw Data'!$A$3:$A$2927,$A23)=0,0,SUMIF('Raw Data'!$A$3:$A$2927, $A23,'Raw Data'!R$3:R$2927) / COUNTIF('Raw Data'!$A$3:$A$2927,$A23))</f>
        <v>0.7142857142857143</v>
      </c>
      <c r="V23">
        <f>IF( COUNTIF('Raw Data'!$A$3:$A$2927,$A23)=0,0,SUMIF('Raw Data'!$A$3:$A$2927, $A23,'Raw Data'!S$3:S$2927) / COUNTIF('Raw Data'!$A$3:$A$2927,$A23))</f>
        <v>0.14285714285714285</v>
      </c>
      <c r="W23">
        <f>MAX(IF('Raw Data'!$A$3:$A$927=$A23, 'Raw Data'!$Y$3:$Y$927))</f>
        <v>0</v>
      </c>
      <c r="X23">
        <f>IF( COUNTIF('Raw Data'!$A$3:$A$2927,$A23)=0,0,SUMIF('Raw Data'!$A$3:$A$2927, $A23,'Raw Data'!U$3:U$2927) / COUNTIF('Raw Data'!$A$3:$A$2927,$A23))</f>
        <v>0.14285714285714285</v>
      </c>
      <c r="Y23">
        <f>IF( COUNTIF('Raw Data'!$A$3:$A$2927,$A23)=0,0,SUMIF('Raw Data'!$A$3:$A$2927, $A23,'Raw Data'!V$3:V$2927) / COUNTIF('Raw Data'!$A$3:$A$2927,$A23))</f>
        <v>0</v>
      </c>
      <c r="Z23">
        <f>IF( COUNTIF('Raw Data'!$A$3:$A$2927,$A23)=0,0,SUMIF('Raw Data'!$A$3:$A$2927, $A23,'Raw Data'!W$3:W$2927) / COUNTIF('Raw Data'!$A$3:$A$2927,$A23))</f>
        <v>0</v>
      </c>
      <c r="AA23">
        <f>IF( COUNTIF('Raw Data'!$A$3:$A$2927,$A23)=0,0,SUMIF('Raw Data'!$A$3:$A$2927, $A23,'Raw Data'!X$3:X$2927) / COUNTIF('Raw Data'!$A$3:$A$2927,$A23))</f>
        <v>0</v>
      </c>
      <c r="AB23">
        <f>IF( COUNTIF('Raw Data'!$A$3:$A$2927,$A23)=0,0,SUMIF('Raw Data'!$A$3:$A$2927, $A23,'Raw Data'!AA$3:AA$2927) / COUNTIF('Raw Data'!$A$3:$A$2927,$A23))</f>
        <v>5.7142857142857144</v>
      </c>
      <c r="AC23">
        <f>IF( COUNTIF('Raw Data'!$A$3:$A$2927,$A23)=0,0,SUMIF('Raw Data'!$A$3:$A$2927, $A23,'Raw Data'!AB$3:AB$2927) / COUNTIF('Raw Data'!$A$3:$A$2927,$A23))</f>
        <v>0</v>
      </c>
      <c r="AD23">
        <f>IF( COUNTIF('Raw Data'!$A$3:$A$2927,$A23)=0,0,SUMIF('Raw Data'!$A$3:$A$2927, $A23,'Raw Data'!AC$3:AC$2927) / COUNTIF('Raw Data'!$A$3:$A$2927,$A23))</f>
        <v>0.7142857142857143</v>
      </c>
      <c r="AE23" s="117">
        <f>IF( COUNTIF('Raw Data'!$A$3:$A$2927,$A23)=0,0,SUMIF('Raw Data'!$A$3:$A$2927, $A23,'Raw Data'!AD$3:AD$2927) / COUNTIF('Raw Data'!$A$3:$A$2927,$A23))</f>
        <v>0</v>
      </c>
      <c r="AF23">
        <f>IF( COUNTIF('Raw Data'!$A$3:$A$2927,$A23)=0,0,SUMIF('Raw Data'!$A$3:$A$2927, $A23,'Raw Data'!AE$3:AE$2927) / COUNTIF('Raw Data'!$A$3:$A$2927,$A23))</f>
        <v>0</v>
      </c>
      <c r="AG23">
        <f>IF( COUNTIF('Raw Data'!$A$3:$A$2927,$A23)=0,0,SUMIF('Raw Data'!$A$3:$A$2927, $A23,'Raw Data'!AF$3:AF$2927) / COUNTIF('Raw Data'!$A$3:$A$2927,$A23))</f>
        <v>0</v>
      </c>
      <c r="AH23">
        <f>IF( COUNTIF('Raw Data'!$A$3:$A$2927,$A23)=0,0,SUMIF('Raw Data'!$A$3:$A$2927, $A23,'Raw Data'!AG$3:AG$2927) / COUNTIF('Raw Data'!$A$3:$A$2927,$A23))</f>
        <v>4</v>
      </c>
      <c r="AI23">
        <f>IF( COUNTIF('Raw Data'!$A$3:$A$2927,$A23)=0,0,SUMIF('Raw Data'!$A$3:$A$2927, $A23,'Raw Data'!AH$3:AH$2927) / COUNTIF('Raw Data'!$A$3:$A$2927,$A23))</f>
        <v>0.5714285714285714</v>
      </c>
      <c r="AJ23" s="117">
        <f>COUNTIF('Raw Data'!A$3:A$2927, $A23)</f>
        <v>7</v>
      </c>
      <c r="AK23">
        <f t="shared" si="2"/>
        <v>0.95142857142857151</v>
      </c>
      <c r="AL23">
        <f t="shared" si="3"/>
        <v>-7.1428571428571175E-2</v>
      </c>
      <c r="AM23">
        <f t="shared" si="4"/>
        <v>-1.1771428571428573</v>
      </c>
      <c r="AN23">
        <f t="shared" si="5"/>
        <v>0.52285714285714269</v>
      </c>
      <c r="AP23" t="s">
        <v>258</v>
      </c>
      <c r="AQ23">
        <v>-0.5</v>
      </c>
      <c r="AS23" t="s">
        <v>269</v>
      </c>
      <c r="AT23">
        <v>0.5</v>
      </c>
      <c r="AY23" t="s">
        <v>369</v>
      </c>
      <c r="AZ23">
        <v>-0.5</v>
      </c>
    </row>
    <row r="24" spans="1:52">
      <c r="A24">
        <v>2994</v>
      </c>
      <c r="B24" t="s">
        <v>204</v>
      </c>
      <c r="C24">
        <f t="shared" si="0"/>
        <v>13.799999999999999</v>
      </c>
      <c r="D24">
        <f t="shared" si="1"/>
        <v>4.1999999999999993</v>
      </c>
      <c r="E24">
        <f>IF( COUNTIF('Raw Data'!$A$3:$A$2927,$A24)=0,0,SUMIF('Raw Data'!$A$3:$A$2927, $A24,'Raw Data'!D$3:D$2927) / COUNTIF('Raw Data'!$A$3:$A$2927,$A24))</f>
        <v>1.7</v>
      </c>
      <c r="F24">
        <f>MAX(IF('Raw Data'!$A$3:$A$927=$A24, 'Raw Data'!$O$3:$O$927))</f>
        <v>0</v>
      </c>
      <c r="G24">
        <f>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MAX(IF('Raw Data'!$A$3:$A$927=$A24, 'Raw Data'!$Z$3:$Z$927))</f>
        <v>0</v>
      </c>
      <c r="R24">
        <f>MAX(IF('Raw Data'!$A$3:$A$927=$A24, 'Raw Data'!$T$3:$T$927))</f>
        <v>0</v>
      </c>
      <c r="S24">
        <f>IF( COUNTIF('Raw Data'!$A$3:$A$2927,$A24)=0,0,SUMIF('Raw Data'!$A$3:$A$2927, $A24,'Raw Data'!P$3:P$2927) / COUNTIF('Raw Data'!$A$3:$A$2927,$A24))</f>
        <v>0.3</v>
      </c>
      <c r="T24">
        <f>IF( COUNTIF('Raw Data'!$A$3:$A$2927,$A24)=0,0,SUMIF('Raw Data'!$A$3:$A$2927, $A24,'Raw Data'!Q$3:Q$2927) / COUNTIF('Raw Data'!$A$3:$A$2927,$A24))</f>
        <v>0</v>
      </c>
      <c r="U24">
        <f>IF( COUNTIF('Raw Data'!$A$3:$A$2927,$A24)=0,0,SUMIF('Raw Data'!$A$3:$A$2927, $A24,'Raw Data'!R$3:R$2927) / COUNTIF('Raw Data'!$A$3:$A$2927,$A24))</f>
        <v>0</v>
      </c>
      <c r="V24">
        <f>IF( COUNTIF('Raw Data'!$A$3:$A$2927,$A24)=0,0,SUMIF('Raw Data'!$A$3:$A$2927, $A24,'Raw Data'!S$3:S$2927) / COUNTIF('Raw Data'!$A$3:$A$2927,$A24))</f>
        <v>0</v>
      </c>
      <c r="W24">
        <f>MAX(IF('Raw Data'!$A$3:$A$927=$A24, 'Raw Data'!$Y$3:$Y$927))</f>
        <v>0</v>
      </c>
      <c r="X24">
        <f>IF( COUNTIF('Raw Data'!$A$3:$A$2927,$A24)=0,0,SUMIF('Raw Data'!$A$3:$A$2927, $A24,'Raw Data'!U$3:U$2927) / COUNTIF('Raw Data'!$A$3:$A$2927,$A24))</f>
        <v>1.2</v>
      </c>
      <c r="Y24">
        <f>IF( COUNTIF('Raw Data'!$A$3:$A$2927,$A24)=0,0,SUMIF('Raw Data'!$A$3:$A$2927, $A24,'Raw Data'!V$3:V$2927) / COUNTIF('Raw Data'!$A$3:$A$2927,$A24))</f>
        <v>0</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0</v>
      </c>
      <c r="AC24">
        <f>IF( COUNTIF('Raw Data'!$A$3:$A$2927,$A24)=0,0,SUMIF('Raw Data'!$A$3:$A$2927, $A24,'Raw Data'!AB$3:AB$2927) / COUNTIF('Raw Data'!$A$3:$A$2927,$A24))</f>
        <v>0</v>
      </c>
      <c r="AD24">
        <f>IF( COUNTIF('Raw Data'!$A$3:$A$2927,$A24)=0,0,SUMIF('Raw Data'!$A$3:$A$2927, $A24,'Raw Data'!AC$3:AC$2927) / COUNTIF('Raw Data'!$A$3:$A$2927,$A24))</f>
        <v>1.6</v>
      </c>
      <c r="AE24" s="117">
        <f>IF( COUNTIF('Raw Data'!$A$3:$A$2927,$A24)=0,0,SUMIF('Raw Data'!$A$3:$A$2927, $A24,'Raw Data'!AD$3:AD$2927) / COUNTIF('Raw Data'!$A$3:$A$2927,$A24))</f>
        <v>0.1</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0.3</v>
      </c>
      <c r="AI24">
        <f>IF( COUNTIF('Raw Data'!$A$3:$A$2927,$A24)=0,0,SUMIF('Raw Data'!$A$3:$A$2927, $A24,'Raw Data'!AH$3:AH$2927) / COUNTIF('Raw Data'!$A$3:$A$2927,$A24))</f>
        <v>0.8</v>
      </c>
      <c r="AJ24" s="117">
        <f>COUNTIF('Raw Data'!A$3:A$2927, $A24)</f>
        <v>10</v>
      </c>
      <c r="AK24">
        <f t="shared" si="2"/>
        <v>1.9420000000000002</v>
      </c>
      <c r="AL24">
        <f t="shared" si="3"/>
        <v>-1.85</v>
      </c>
      <c r="AM24">
        <f t="shared" si="4"/>
        <v>0.70099999999999996</v>
      </c>
      <c r="AN24">
        <f t="shared" si="5"/>
        <v>3.9420000000000006</v>
      </c>
      <c r="AP24" t="s">
        <v>264</v>
      </c>
      <c r="AQ24">
        <v>-2</v>
      </c>
      <c r="AS24" t="s">
        <v>370</v>
      </c>
      <c r="AT24">
        <v>-20</v>
      </c>
      <c r="AY24" t="s">
        <v>371</v>
      </c>
      <c r="AZ24">
        <v>-2</v>
      </c>
    </row>
    <row r="25" spans="1:52">
      <c r="A25">
        <v>3571</v>
      </c>
      <c r="B25" t="s">
        <v>205</v>
      </c>
      <c r="C25">
        <f t="shared" si="0"/>
        <v>5.25</v>
      </c>
      <c r="D25">
        <f t="shared" si="1"/>
        <v>0</v>
      </c>
      <c r="E25">
        <f>IF( COUNTIF('Raw Data'!$A$3:$A$2927,$A25)=0,0,SUMIF('Raw Data'!$A$3:$A$2927, $A25,'Raw Data'!D$3:D$2927) / COUNTIF('Raw Data'!$A$3:$A$2927,$A25))</f>
        <v>1.375</v>
      </c>
      <c r="F25">
        <f>MAX(IF('Raw Data'!$A$3:$A$927=$A25, 'Raw Data'!$O$3:$O$927))</f>
        <v>0</v>
      </c>
      <c r="G25">
        <f>MAX(IF('Raw Data'!$A$3:$A$927=$A25, 'Raw Data'!$I$3:$I$927))</f>
        <v>0</v>
      </c>
      <c r="H25">
        <f>IF( COUNTIF('Raw Data'!$A$3:$A$2927,$A25)=0,0,SUMIF('Raw Data'!$A$3:$A$2927, $A25,'Raw Data'!E$3:E$2927) / COUNTIF('Raw Data'!$A$3:$A$2927,$A25))</f>
        <v>0</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MAX(IF('Raw Data'!$A$3:$A$927=$A25, 'Raw Data'!$Z$3:$Z$927))</f>
        <v>0</v>
      </c>
      <c r="R25">
        <f>MAX(IF('Raw Data'!$A$3:$A$927=$A25, 'Raw Data'!$T$3:$T$927))</f>
        <v>0</v>
      </c>
      <c r="S25">
        <f>IF( COUNTIF('Raw Data'!$A$3:$A$2927,$A25)=0,0,SUMIF('Raw Data'!$A$3:$A$2927, $A25,'Raw Data'!P$3:P$2927) / COUNTIF('Raw Data'!$A$3:$A$2927,$A25))</f>
        <v>0</v>
      </c>
      <c r="T25">
        <f>IF( COUNTIF('Raw Data'!$A$3:$A$2927,$A25)=0,0,SUMIF('Raw Data'!$A$3:$A$2927, $A25,'Raw Data'!Q$3:Q$2927) / COUNTIF('Raw Data'!$A$3:$A$2927,$A25))</f>
        <v>0</v>
      </c>
      <c r="U25">
        <f>IF( COUNTIF('Raw Data'!$A$3:$A$2927,$A25)=0,0,SUMIF('Raw Data'!$A$3:$A$2927, $A25,'Raw Data'!R$3:R$2927) / COUNTIF('Raw Data'!$A$3:$A$2927,$A25))</f>
        <v>0</v>
      </c>
      <c r="V25">
        <f>IF( COUNTIF('Raw Data'!$A$3:$A$2927,$A25)=0,0,SUMIF('Raw Data'!$A$3:$A$2927, $A25,'Raw Data'!S$3:S$2927) / COUNTIF('Raw Data'!$A$3:$A$2927,$A25))</f>
        <v>0</v>
      </c>
      <c r="W25">
        <f>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7.5</v>
      </c>
      <c r="AC25">
        <f>IF( COUNTIF('Raw Data'!$A$3:$A$2927,$A25)=0,0,SUMIF('Raw Data'!$A$3:$A$2927, $A25,'Raw Data'!AB$3:AB$2927) / COUNTIF('Raw Data'!$A$3:$A$2927,$A25))</f>
        <v>0</v>
      </c>
      <c r="AD25">
        <f>IF( COUNTIF('Raw Data'!$A$3:$A$2927,$A25)=0,0,SUMIF('Raw Data'!$A$3:$A$2927, $A25,'Raw Data'!AC$3:AC$2927) / COUNTIF('Raw Data'!$A$3:$A$2927,$A25))</f>
        <v>0.5</v>
      </c>
      <c r="AE25" s="117">
        <f>IF( COUNTIF('Raw Data'!$A$3:$A$2927,$A25)=0,0,SUMIF('Raw Data'!$A$3:$A$2927, $A25,'Raw Data'!AD$3:AD$2927) / COUNTIF('Raw Data'!$A$3:$A$2927,$A25))</f>
        <v>0</v>
      </c>
      <c r="AF25">
        <f>IF( COUNTIF('Raw Data'!$A$3:$A$2927,$A25)=0,0,SUMIF('Raw Data'!$A$3:$A$2927, $A25,'Raw Data'!AE$3:AE$2927) / COUNTIF('Raw Data'!$A$3:$A$2927,$A25))</f>
        <v>0.5</v>
      </c>
      <c r="AG25">
        <f>IF( COUNTIF('Raw Data'!$A$3:$A$2927,$A25)=0,0,SUMIF('Raw Data'!$A$3:$A$2927, $A25,'Raw Data'!AF$3:AF$2927) / COUNTIF('Raw Data'!$A$3:$A$2927,$A25))</f>
        <v>0</v>
      </c>
      <c r="AH25">
        <f>IF( COUNTIF('Raw Data'!$A$3:$A$2927,$A25)=0,0,SUMIF('Raw Data'!$A$3:$A$2927, $A25,'Raw Data'!AG$3:AG$2927) / COUNTIF('Raw Data'!$A$3:$A$2927,$A25))</f>
        <v>0.375</v>
      </c>
      <c r="AI25">
        <f>IF( COUNTIF('Raw Data'!$A$3:$A$2927,$A25)=0,0,SUMIF('Raw Data'!$A$3:$A$2927, $A25,'Raw Data'!AH$3:AH$2927) / COUNTIF('Raw Data'!$A$3:$A$2927,$A25))</f>
        <v>0</v>
      </c>
      <c r="AJ25" s="117">
        <f>COUNTIF('Raw Data'!A$3:A$2927, $A25)</f>
        <v>8</v>
      </c>
      <c r="AK25">
        <f t="shared" si="2"/>
        <v>-1.1875</v>
      </c>
      <c r="AL25">
        <f t="shared" si="3"/>
        <v>-1.1875</v>
      </c>
      <c r="AM25">
        <f t="shared" si="4"/>
        <v>-1.12375</v>
      </c>
      <c r="AN25">
        <f t="shared" si="5"/>
        <v>-1.1875</v>
      </c>
      <c r="AP25" t="s">
        <v>283</v>
      </c>
      <c r="AQ25">
        <v>-2</v>
      </c>
      <c r="AS25" t="s">
        <v>372</v>
      </c>
      <c r="AT25">
        <v>0</v>
      </c>
      <c r="AY25" t="s">
        <v>373</v>
      </c>
      <c r="AZ25">
        <v>-2</v>
      </c>
    </row>
    <row r="26" spans="1:52">
      <c r="A26">
        <v>3655</v>
      </c>
      <c r="B26" t="s">
        <v>450</v>
      </c>
      <c r="C26">
        <f t="shared" si="0"/>
        <v>0</v>
      </c>
      <c r="D26">
        <f t="shared" si="1"/>
        <v>0</v>
      </c>
      <c r="E26">
        <f>IF( COUNTIF('Raw Data'!$A$3:$A$2927,$A26)=0,0,SUMIF('Raw Data'!$A$3:$A$2927, $A26,'Raw Data'!D$3:D$2927) / COUNTIF('Raw Data'!$A$3:$A$2927,$A26))</f>
        <v>0</v>
      </c>
      <c r="F26">
        <f>MAX(IF('Raw Data'!$A$3:$A$927=$A26, 'Raw Data'!$O$3:$O$927))</f>
        <v>0</v>
      </c>
      <c r="G26">
        <f>MAX(IF('Raw Data'!$A$3:$A$927=$A26, 'Raw Data'!$I$3:$I$927))</f>
        <v>0</v>
      </c>
      <c r="H26">
        <f>IF( COUNTIF('Raw Data'!$A$3:$A$2927,$A26)=0,0,SUMIF('Raw Data'!$A$3:$A$2927, $A26,'Raw Data'!E$3:E$2927) / COUNTIF('Raw Data'!$A$3:$A$2927,$A26))</f>
        <v>0</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MAX(IF('Raw Data'!$A$3:$A$927=$A26, 'Raw Data'!$Z$3:$Z$927))</f>
        <v>0</v>
      </c>
      <c r="R26">
        <f>MAX(IF('Raw Data'!$A$3:$A$927=$A26, 'Raw Data'!$T$3:$T$927))</f>
        <v>0</v>
      </c>
      <c r="S26">
        <f>IF( COUNTIF('Raw Data'!$A$3:$A$2927,$A26)=0,0,SUMIF('Raw Data'!$A$3:$A$2927, $A26,'Raw Data'!P$3:P$2927) / COUNTIF('Raw Data'!$A$3:$A$2927,$A26))</f>
        <v>0</v>
      </c>
      <c r="T26">
        <f>IF( COUNTIF('Raw Data'!$A$3:$A$2927,$A26)=0,0,SUMIF('Raw Data'!$A$3:$A$2927, $A26,'Raw Data'!Q$3:Q$2927) / COUNTIF('Raw Data'!$A$3:$A$2927,$A26))</f>
        <v>0</v>
      </c>
      <c r="U26">
        <f>IF( COUNTIF('Raw Data'!$A$3:$A$2927,$A26)=0,0,SUMIF('Raw Data'!$A$3:$A$2927, $A26,'Raw Data'!R$3:R$2927) / COUNTIF('Raw Data'!$A$3:$A$2927,$A26))</f>
        <v>0</v>
      </c>
      <c r="V26">
        <f>IF( COUNTIF('Raw Data'!$A$3:$A$2927,$A26)=0,0,SUMIF('Raw Data'!$A$3:$A$2927, $A26,'Raw Data'!S$3:S$2927) / COUNTIF('Raw Data'!$A$3:$A$2927,$A26))</f>
        <v>0</v>
      </c>
      <c r="W26">
        <f>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v>
      </c>
      <c r="AC26">
        <f>IF( COUNTIF('Raw Data'!$A$3:$A$2927,$A26)=0,0,SUMIF('Raw Data'!$A$3:$A$2927, $A26,'Raw Data'!AB$3:AB$2927) / COUNTIF('Raw Data'!$A$3:$A$2927,$A26))</f>
        <v>0</v>
      </c>
      <c r="AD26">
        <f>IF( COUNTIF('Raw Data'!$A$3:$A$2927,$A26)=0,0,SUMIF('Raw Data'!$A$3:$A$2927, $A26,'Raw Data'!AC$3:AC$2927) / COUNTIF('Raw Data'!$A$3:$A$2927,$A26))</f>
        <v>0</v>
      </c>
      <c r="AE26" s="117">
        <f>IF( COUNTIF('Raw Data'!$A$3:$A$2927,$A26)=0,0,SUMIF('Raw Data'!$A$3:$A$2927, $A26,'Raw Data'!AD$3:AD$2927) / COUNTIF('Raw Data'!$A$3:$A$2927,$A26))</f>
        <v>0</v>
      </c>
      <c r="AF26">
        <f>IF( COUNTIF('Raw Data'!$A$3:$A$2927,$A26)=0,0,SUMIF('Raw Data'!$A$3:$A$2927, $A26,'Raw Data'!AE$3:AE$2927) / COUNTIF('Raw Data'!$A$3:$A$2927,$A26))</f>
        <v>0</v>
      </c>
      <c r="AG26">
        <f>IF( COUNTIF('Raw Data'!$A$3:$A$2927,$A26)=0,0,SUMIF('Raw Data'!$A$3:$A$2927, $A26,'Raw Data'!AF$3:AF$2927) / COUNTIF('Raw Data'!$A$3:$A$2927,$A26))</f>
        <v>0</v>
      </c>
      <c r="AH26">
        <f>IF( COUNTIF('Raw Data'!$A$3:$A$2927,$A26)=0,0,SUMIF('Raw Data'!$A$3:$A$2927, $A26,'Raw Data'!AG$3:AG$2927) / COUNTIF('Raw Data'!$A$3:$A$2927,$A26))</f>
        <v>0</v>
      </c>
      <c r="AI26">
        <f>IF( COUNTIF('Raw Data'!$A$3:$A$2927,$A26)=0,0,SUMIF('Raw Data'!$A$3:$A$2927, $A26,'Raw Data'!AH$3:AH$2927) / COUNTIF('Raw Data'!$A$3:$A$2927,$A26))</f>
        <v>0</v>
      </c>
      <c r="AJ26" s="117">
        <f>COUNTIF('Raw Data'!A$3:A$2927, $A26)</f>
        <v>0</v>
      </c>
      <c r="AK26">
        <f t="shared" si="2"/>
        <v>-21</v>
      </c>
      <c r="AL26">
        <f t="shared" si="3"/>
        <v>-1.5</v>
      </c>
      <c r="AM26">
        <f t="shared" si="4"/>
        <v>-1</v>
      </c>
      <c r="AN26">
        <f t="shared" si="5"/>
        <v>-21</v>
      </c>
      <c r="AP26" t="s">
        <v>265</v>
      </c>
      <c r="AQ26">
        <v>-1</v>
      </c>
      <c r="AY26" t="s">
        <v>374</v>
      </c>
      <c r="AZ26">
        <v>-1</v>
      </c>
    </row>
    <row r="27" spans="1:52">
      <c r="A27">
        <v>4015</v>
      </c>
      <c r="B27" t="s">
        <v>206</v>
      </c>
      <c r="C27">
        <f t="shared" si="0"/>
        <v>9.3000000000000007</v>
      </c>
      <c r="D27">
        <f t="shared" si="1"/>
        <v>5.5000000000000009</v>
      </c>
      <c r="E27">
        <f>IF( COUNTIF('Raw Data'!$A$3:$A$2927,$A27)=0,0,SUMIF('Raw Data'!$A$3:$A$2927, $A27,'Raw Data'!D$3:D$2927) / COUNTIF('Raw Data'!$A$3:$A$2927,$A27))</f>
        <v>0.9</v>
      </c>
      <c r="F27">
        <f>MAX(IF('Raw Data'!$A$3:$A$927=$A27, 'Raw Data'!$O$3:$O$927))</f>
        <v>0</v>
      </c>
      <c r="G27">
        <f>MAX(IF('Raw Data'!$A$3:$A$927=$A27, 'Raw Data'!$I$3:$I$927))</f>
        <v>0</v>
      </c>
      <c r="H27">
        <f>IF( COUNTIF('Raw Data'!$A$3:$A$2927,$A27)=0,0,SUMIF('Raw Data'!$A$3:$A$2927, $A27,'Raw Data'!E$3:E$2927) / COUNTIF('Raw Data'!$A$3:$A$2927,$A27))</f>
        <v>0</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MAX(IF('Raw Data'!$A$3:$A$927=$A27, 'Raw Data'!$N$3:$N$927))</f>
        <v>0</v>
      </c>
      <c r="M27">
        <f>IF( COUNTIF('Raw Data'!$A$3:$A$2927,$A27)=0,0,SUMIF('Raw Data'!$A$3:$A$2927, $A27,'Raw Data'!J$3:J$2927) / COUNTIF('Raw Data'!$A$3:$A$2927,$A27))</f>
        <v>0.1</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MAX(IF('Raw Data'!$A$3:$A$927=$A27, 'Raw Data'!$Z$3:$Z$927))</f>
        <v>0</v>
      </c>
      <c r="R27">
        <f>MAX(IF('Raw Data'!$A$3:$A$927=$A27, 'Raw Data'!$T$3:$T$927))</f>
        <v>0</v>
      </c>
      <c r="S27">
        <f>IF( COUNTIF('Raw Data'!$A$3:$A$2927,$A27)=0,0,SUMIF('Raw Data'!$A$3:$A$2927, $A27,'Raw Data'!P$3:P$2927) / COUNTIF('Raw Data'!$A$3:$A$2927,$A27))</f>
        <v>0</v>
      </c>
      <c r="T27">
        <f>IF( COUNTIF('Raw Data'!$A$3:$A$2927,$A27)=0,0,SUMIF('Raw Data'!$A$3:$A$2927, $A27,'Raw Data'!Q$3:Q$2927) / COUNTIF('Raw Data'!$A$3:$A$2927,$A27))</f>
        <v>0.2</v>
      </c>
      <c r="U27">
        <f>IF( COUNTIF('Raw Data'!$A$3:$A$2927,$A27)=0,0,SUMIF('Raw Data'!$A$3:$A$2927, $A27,'Raw Data'!R$3:R$2927) / COUNTIF('Raw Data'!$A$3:$A$2927,$A27))</f>
        <v>0.1</v>
      </c>
      <c r="V27">
        <f>IF( COUNTIF('Raw Data'!$A$3:$A$2927,$A27)=0,0,SUMIF('Raw Data'!$A$3:$A$2927, $A27,'Raw Data'!S$3:S$2927) / COUNTIF('Raw Data'!$A$3:$A$2927,$A27))</f>
        <v>0</v>
      </c>
      <c r="W27">
        <f>MAX(IF('Raw Data'!$A$3:$A$927=$A27, 'Raw Data'!$Y$3:$Y$927))</f>
        <v>0</v>
      </c>
      <c r="X27">
        <f>IF( COUNTIF('Raw Data'!$A$3:$A$2927,$A27)=0,0,SUMIF('Raw Data'!$A$3:$A$2927, $A27,'Raw Data'!U$3:U$2927) / COUNTIF('Raw Data'!$A$3:$A$2927,$A27))</f>
        <v>1.3</v>
      </c>
      <c r="Y27">
        <f>IF( COUNTIF('Raw Data'!$A$3:$A$2927,$A27)=0,0,SUMIF('Raw Data'!$A$3:$A$2927, $A27,'Raw Data'!V$3:V$2927) / COUNTIF('Raw Data'!$A$3:$A$2927,$A27))</f>
        <v>0.3</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3.8</v>
      </c>
      <c r="AC27">
        <f>IF( COUNTIF('Raw Data'!$A$3:$A$2927,$A27)=0,0,SUMIF('Raw Data'!$A$3:$A$2927, $A27,'Raw Data'!AB$3:AB$2927) / COUNTIF('Raw Data'!$A$3:$A$2927,$A27))</f>
        <v>0</v>
      </c>
      <c r="AD27">
        <f>IF( COUNTIF('Raw Data'!$A$3:$A$2927,$A27)=0,0,SUMIF('Raw Data'!$A$3:$A$2927, $A27,'Raw Data'!AC$3:AC$2927) / COUNTIF('Raw Data'!$A$3:$A$2927,$A27))</f>
        <v>0.5</v>
      </c>
      <c r="AE27" s="117">
        <f>IF( COUNTIF('Raw Data'!$A$3:$A$2927,$A27)=0,0,SUMIF('Raw Data'!$A$3:$A$2927, $A27,'Raw Data'!AD$3:AD$2927) / COUNTIF('Raw Data'!$A$3:$A$2927,$A27))</f>
        <v>0</v>
      </c>
      <c r="AF27">
        <f>IF( COUNTIF('Raw Data'!$A$3:$A$2927,$A27)=0,0,SUMIF('Raw Data'!$A$3:$A$2927, $A27,'Raw Data'!AE$3:AE$2927) / COUNTIF('Raw Data'!$A$3:$A$2927,$A27))</f>
        <v>0.3</v>
      </c>
      <c r="AG27">
        <f>IF( COUNTIF('Raw Data'!$A$3:$A$2927,$A27)=0,0,SUMIF('Raw Data'!$A$3:$A$2927, $A27,'Raw Data'!AF$3:AF$2927) / COUNTIF('Raw Data'!$A$3:$A$2927,$A27))</f>
        <v>0</v>
      </c>
      <c r="AH27">
        <f>IF( COUNTIF('Raw Data'!$A$3:$A$2927,$A27)=0,0,SUMIF('Raw Data'!$A$3:$A$2927, $A27,'Raw Data'!AG$3:AG$2927) / COUNTIF('Raw Data'!$A$3:$A$2927,$A27))</f>
        <v>0.6</v>
      </c>
      <c r="AI27">
        <f>IF( COUNTIF('Raw Data'!$A$3:$A$2927,$A27)=0,0,SUMIF('Raw Data'!$A$3:$A$2927, $A27,'Raw Data'!AH$3:AH$2927) / COUNTIF('Raw Data'!$A$3:$A$2927,$A27))</f>
        <v>0.2</v>
      </c>
      <c r="AJ27" s="117">
        <f>COUNTIF('Raw Data'!A$3:A$2927, $A27)</f>
        <v>10</v>
      </c>
      <c r="AK27">
        <f t="shared" si="2"/>
        <v>-0.82799999999999985</v>
      </c>
      <c r="AL27">
        <f t="shared" si="3"/>
        <v>-2.4500000000000002</v>
      </c>
      <c r="AM27">
        <f t="shared" si="4"/>
        <v>-7.2999999999999843E-2</v>
      </c>
      <c r="AN27">
        <f t="shared" si="5"/>
        <v>-0.87799999999999989</v>
      </c>
      <c r="AP27" t="s">
        <v>266</v>
      </c>
      <c r="AQ27">
        <v>1</v>
      </c>
      <c r="AY27" t="s">
        <v>375</v>
      </c>
      <c r="AZ27">
        <v>1</v>
      </c>
    </row>
    <row r="28" spans="1:52">
      <c r="A28" s="132">
        <v>4152</v>
      </c>
      <c r="B28" s="132" t="s">
        <v>207</v>
      </c>
      <c r="C28" s="132">
        <f t="shared" si="0"/>
        <v>19.8</v>
      </c>
      <c r="D28" s="132">
        <f t="shared" si="1"/>
        <v>9</v>
      </c>
      <c r="E28" s="132">
        <f>IF( COUNTIF('Raw Data'!$A$3:$A$2927,$A28)=0,0,SUMIF('Raw Data'!$A$3:$A$2927, $A28,'Raw Data'!D$3:D$2927) / COUNTIF('Raw Data'!$A$3:$A$2927,$A28))</f>
        <v>1.7</v>
      </c>
      <c r="F28" s="132">
        <f>MAX(IF('Raw Data'!$A$3:$A$927=$A28, 'Raw Data'!$O$3:$O$927))</f>
        <v>0</v>
      </c>
      <c r="G28" s="132">
        <f>MAX(IF('Raw Data'!$A$3:$A$927=$A28, 'Raw Data'!$I$3:$I$927))</f>
        <v>0</v>
      </c>
      <c r="H28" s="132">
        <f>IF( COUNTIF('Raw Data'!$A$3:$A$2927,$A28)=0,0,SUMIF('Raw Data'!$A$3:$A$2927, $A28,'Raw Data'!E$3:E$2927) / COUNTIF('Raw Data'!$A$3:$A$2927,$A28))</f>
        <v>0.5</v>
      </c>
      <c r="I28" s="132">
        <f>IF( COUNTIF('Raw Data'!$A$3:$A$2927,$A28)=0,0,SUMIF('Raw Data'!$A$3:$A$2927, $A28,'Raw Data'!F$3:F$2927) / COUNTIF('Raw Data'!$A$3:$A$2927,$A28))</f>
        <v>0</v>
      </c>
      <c r="J28" s="132">
        <f>IF( COUNTIF('Raw Data'!$A$3:$A$2927,$A28)=0,0,SUMIF('Raw Data'!$A$3:$A$2927, $A28,'Raw Data'!G$3:G$2927) / COUNTIF('Raw Data'!$A$3:$A$2927,$A28))</f>
        <v>0</v>
      </c>
      <c r="K28" s="132">
        <f>IF( COUNTIF('Raw Data'!$A$3:$A$2927,$A28)=0,0,SUMIF('Raw Data'!$A$3:$A$2927, $A28,'Raw Data'!H$3:H$2927) / COUNTIF('Raw Data'!$A$3:$A$2927,$A28))</f>
        <v>0</v>
      </c>
      <c r="L28" s="132">
        <f>MAX(IF('Raw Data'!$A$3:$A$927=$A28, 'Raw Data'!$N$3:$N$927))</f>
        <v>0</v>
      </c>
      <c r="M28" s="132">
        <f>IF( COUNTIF('Raw Data'!$A$3:$A$2927,$A28)=0,0,SUMIF('Raw Data'!$A$3:$A$2927, $A28,'Raw Data'!J$3:J$2927) / COUNTIF('Raw Data'!$A$3:$A$2927,$A28))</f>
        <v>0.1</v>
      </c>
      <c r="N28" s="132">
        <f>IF( COUNTIF('Raw Data'!$A$3:$A$2927,$A28)=0,0,SUMIF('Raw Data'!$A$3:$A$2927, $A28,'Raw Data'!K$3:K$2927) / COUNTIF('Raw Data'!$A$3:$A$2927,$A28))</f>
        <v>0</v>
      </c>
      <c r="O28" s="132">
        <f>IF( COUNTIF('Raw Data'!$A$3:$A$2927,$A28)=0,0,SUMIF('Raw Data'!$A$3:$A$2927, $A28,'Raw Data'!L$3:L$2927) / COUNTIF('Raw Data'!$A$3:$A$2927,$A28))</f>
        <v>0</v>
      </c>
      <c r="P28" s="133">
        <f>IF( COUNTIF('Raw Data'!$A$3:$A$2927,$A28)=0,0,SUMIF('Raw Data'!$A$3:$A$2927, $A28,'Raw Data'!M$3:M$2927) / COUNTIF('Raw Data'!$A$3:$A$2927,$A28))</f>
        <v>0</v>
      </c>
      <c r="Q28" s="132">
        <f>MAX(IF('Raw Data'!$A$3:$A$927=$A28, 'Raw Data'!$Z$3:$Z$927))</f>
        <v>0</v>
      </c>
      <c r="R28" s="132">
        <f>MAX(IF('Raw Data'!$A$3:$A$927=$A28, 'Raw Data'!$T$3:$T$927))</f>
        <v>0</v>
      </c>
      <c r="S28" s="132">
        <f>IF( COUNTIF('Raw Data'!$A$3:$A$2927,$A28)=0,0,SUMIF('Raw Data'!$A$3:$A$2927, $A28,'Raw Data'!P$3:P$2927) / COUNTIF('Raw Data'!$A$3:$A$2927,$A28))</f>
        <v>1.5</v>
      </c>
      <c r="T28" s="132">
        <f>IF( COUNTIF('Raw Data'!$A$3:$A$2927,$A28)=0,0,SUMIF('Raw Data'!$A$3:$A$2927, $A28,'Raw Data'!Q$3:Q$2927) / COUNTIF('Raw Data'!$A$3:$A$2927,$A28))</f>
        <v>0.7</v>
      </c>
      <c r="U28" s="132">
        <f>IF( COUNTIF('Raw Data'!$A$3:$A$2927,$A28)=0,0,SUMIF('Raw Data'!$A$3:$A$2927, $A28,'Raw Data'!R$3:R$2927) / COUNTIF('Raw Data'!$A$3:$A$2927,$A28))</f>
        <v>0.4</v>
      </c>
      <c r="V28" s="132">
        <f>IF( COUNTIF('Raw Data'!$A$3:$A$2927,$A28)=0,0,SUMIF('Raw Data'!$A$3:$A$2927, $A28,'Raw Data'!S$3:S$2927) / COUNTIF('Raw Data'!$A$3:$A$2927,$A28))</f>
        <v>0.2</v>
      </c>
      <c r="W28" s="132">
        <f>MAX(IF('Raw Data'!$A$3:$A$927=$A28, 'Raw Data'!$Y$3:$Y$927))</f>
        <v>0</v>
      </c>
      <c r="X28" s="132">
        <f>IF( COUNTIF('Raw Data'!$A$3:$A$2927,$A28)=0,0,SUMIF('Raw Data'!$A$3:$A$2927, $A28,'Raw Data'!U$3:U$2927) / COUNTIF('Raw Data'!$A$3:$A$2927,$A28))</f>
        <v>0.7</v>
      </c>
      <c r="Y28" s="132">
        <f>IF( COUNTIF('Raw Data'!$A$3:$A$2927,$A28)=0,0,SUMIF('Raw Data'!$A$3:$A$2927, $A28,'Raw Data'!V$3:V$2927) / COUNTIF('Raw Data'!$A$3:$A$2927,$A28))</f>
        <v>0.4</v>
      </c>
      <c r="Z28" s="132">
        <f>IF( COUNTIF('Raw Data'!$A$3:$A$2927,$A28)=0,0,SUMIF('Raw Data'!$A$3:$A$2927, $A28,'Raw Data'!W$3:W$2927) / COUNTIF('Raw Data'!$A$3:$A$2927,$A28))</f>
        <v>0</v>
      </c>
      <c r="AA28" s="132">
        <f>IF( COUNTIF('Raw Data'!$A$3:$A$2927,$A28)=0,0,SUMIF('Raw Data'!$A$3:$A$2927, $A28,'Raw Data'!X$3:X$2927) / COUNTIF('Raw Data'!$A$3:$A$2927,$A28))</f>
        <v>0</v>
      </c>
      <c r="AB28" s="167">
        <f>IF( COUNTIF('Raw Data'!$A$3:$A$2927,$A28)=0,0,SUMIF('Raw Data'!$A$3:$A$2927, $A28,'Raw Data'!AA$3:AA$2927) / COUNTIF('Raw Data'!$A$3:$A$2927,$A28))</f>
        <v>0</v>
      </c>
      <c r="AC28" s="132">
        <f>IF( COUNTIF('Raw Data'!$A$3:$A$2927,$A28)=0,0,SUMIF('Raw Data'!$A$3:$A$2927, $A28,'Raw Data'!AB$3:AB$2927) / COUNTIF('Raw Data'!$A$3:$A$2927,$A28))</f>
        <v>0</v>
      </c>
      <c r="AD28" s="132">
        <f>IF( COUNTIF('Raw Data'!$A$3:$A$2927,$A28)=0,0,SUMIF('Raw Data'!$A$3:$A$2927, $A28,'Raw Data'!AC$3:AC$2927) / COUNTIF('Raw Data'!$A$3:$A$2927,$A28))</f>
        <v>1.6</v>
      </c>
      <c r="AE28" s="134">
        <f>IF( COUNTIF('Raw Data'!$A$3:$A$2927,$A28)=0,0,SUMIF('Raw Data'!$A$3:$A$2927, $A28,'Raw Data'!AD$3:AD$2927) / COUNTIF('Raw Data'!$A$3:$A$2927,$A28))</f>
        <v>0</v>
      </c>
      <c r="AF28" s="132">
        <f>IF( COUNTIF('Raw Data'!$A$3:$A$2927,$A28)=0,0,SUMIF('Raw Data'!$A$3:$A$2927, $A28,'Raw Data'!AE$3:AE$2927) / COUNTIF('Raw Data'!$A$3:$A$2927,$A28))</f>
        <v>0</v>
      </c>
      <c r="AG28" s="132">
        <f>IF( COUNTIF('Raw Data'!$A$3:$A$2927,$A28)=0,0,SUMIF('Raw Data'!$A$3:$A$2927, $A28,'Raw Data'!AF$3:AF$2927) / COUNTIF('Raw Data'!$A$3:$A$2927,$A28))</f>
        <v>0</v>
      </c>
      <c r="AH28" s="132">
        <f>IF( COUNTIF('Raw Data'!$A$3:$A$2927,$A28)=0,0,SUMIF('Raw Data'!$A$3:$A$2927, $A28,'Raw Data'!AG$3:AG$2927) / COUNTIF('Raw Data'!$A$3:$A$2927,$A28))</f>
        <v>0.3</v>
      </c>
      <c r="AI28" s="132">
        <f>IF( COUNTIF('Raw Data'!$A$3:$A$2927,$A28)=0,0,SUMIF('Raw Data'!$A$3:$A$2927, $A28,'Raw Data'!AH$3:AH$2927) / COUNTIF('Raw Data'!$A$3:$A$2927,$A28))</f>
        <v>0.1</v>
      </c>
      <c r="AJ28" s="134">
        <f>COUNTIF('Raw Data'!A$3:A$2927, $A28)</f>
        <v>10</v>
      </c>
      <c r="AK28">
        <f t="shared" si="2"/>
        <v>7.0419999999999998</v>
      </c>
      <c r="AL28">
        <f t="shared" si="3"/>
        <v>3.5000000000000004</v>
      </c>
      <c r="AM28">
        <f t="shared" si="4"/>
        <v>1.1260000000000001</v>
      </c>
      <c r="AN28">
        <f t="shared" si="5"/>
        <v>8.7420000000000009</v>
      </c>
      <c r="AP28" t="s">
        <v>281</v>
      </c>
      <c r="AQ28">
        <v>-20</v>
      </c>
      <c r="AY28" t="s">
        <v>376</v>
      </c>
      <c r="AZ28">
        <v>-20</v>
      </c>
    </row>
    <row r="29" spans="1:52">
      <c r="A29">
        <v>4252</v>
      </c>
      <c r="B29" t="s">
        <v>422</v>
      </c>
      <c r="C29">
        <f t="shared" si="0"/>
        <v>0</v>
      </c>
      <c r="D29">
        <f t="shared" si="1"/>
        <v>0</v>
      </c>
      <c r="E29">
        <f>IF( COUNTIF('Raw Data'!$A$3:$A$2927,$A29)=0,0,SUMIF('Raw Data'!$A$3:$A$2927, $A29,'Raw Data'!D$3:D$2927) / COUNTIF('Raw Data'!$A$3:$A$2927,$A29))</f>
        <v>0</v>
      </c>
      <c r="F29">
        <f>MAX(IF('Raw Data'!$A$3:$A$927=$A29, 'Raw Data'!$O$3:$O$927))</f>
        <v>0</v>
      </c>
      <c r="G29">
        <f>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MAX(IF('Raw Data'!$A$3:$A$927=$A29, 'Raw Data'!$Z$3:$Z$927))</f>
        <v>0</v>
      </c>
      <c r="R29">
        <f>MAX(IF('Raw Data'!$A$3:$A$927=$A29, 'Raw Data'!$T$3:$T$927))</f>
        <v>0</v>
      </c>
      <c r="S29">
        <f>IF( COUNTIF('Raw Data'!$A$3:$A$2927,$A29)=0,0,SUMIF('Raw Data'!$A$3:$A$2927, $A29,'Raw Data'!P$3:P$2927) / COUNTIF('Raw Data'!$A$3:$A$2927,$A29))</f>
        <v>0</v>
      </c>
      <c r="T29">
        <f>IF( COUNTIF('Raw Data'!$A$3:$A$2927,$A29)=0,0,SUMIF('Raw Data'!$A$3:$A$2927, $A29,'Raw Data'!Q$3:Q$2927) / COUNTIF('Raw Data'!$A$3:$A$2927,$A29))</f>
        <v>0</v>
      </c>
      <c r="U29">
        <f>IF( COUNTIF('Raw Data'!$A$3:$A$2927,$A29)=0,0,SUMIF('Raw Data'!$A$3:$A$2927, $A29,'Raw Data'!R$3:R$2927) / COUNTIF('Raw Data'!$A$3:$A$2927,$A29))</f>
        <v>0</v>
      </c>
      <c r="V29">
        <f>IF( COUNTIF('Raw Data'!$A$3:$A$2927,$A29)=0,0,SUMIF('Raw Data'!$A$3:$A$2927, $A29,'Raw Data'!S$3:S$2927) / COUNTIF('Raw Data'!$A$3:$A$2927,$A29))</f>
        <v>0</v>
      </c>
      <c r="W29">
        <f>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v>
      </c>
      <c r="AI29">
        <f>IF( COUNTIF('Raw Data'!$A$3:$A$2927,$A29)=0,0,SUMIF('Raw Data'!$A$3:$A$2927, $A29,'Raw Data'!AH$3:AH$2927) / COUNTIF('Raw Data'!$A$3:$A$2927,$A29))</f>
        <v>0</v>
      </c>
      <c r="AJ29" s="117">
        <f>COUNTIF('Raw Data'!A$3:A$2927, $A29)</f>
        <v>0</v>
      </c>
      <c r="AK29">
        <f t="shared" si="2"/>
        <v>-21</v>
      </c>
      <c r="AL29">
        <f t="shared" si="3"/>
        <v>-1.5</v>
      </c>
      <c r="AM29">
        <f t="shared" si="4"/>
        <v>-1</v>
      </c>
      <c r="AN29">
        <f t="shared" si="5"/>
        <v>-21</v>
      </c>
      <c r="AP29" t="s">
        <v>282</v>
      </c>
      <c r="AQ29">
        <v>5</v>
      </c>
      <c r="AY29" t="s">
        <v>377</v>
      </c>
      <c r="AZ29">
        <v>5</v>
      </c>
    </row>
    <row r="30" spans="1:52">
      <c r="A30">
        <v>4308</v>
      </c>
      <c r="B30" t="s">
        <v>423</v>
      </c>
      <c r="C30">
        <f t="shared" si="0"/>
        <v>0</v>
      </c>
      <c r="D30">
        <f t="shared" si="1"/>
        <v>0</v>
      </c>
      <c r="E30">
        <f>IF( COUNTIF('Raw Data'!$A$3:$A$2927,$A30)=0,0,SUMIF('Raw Data'!$A$3:$A$2927, $A30,'Raw Data'!D$3:D$2927) / COUNTIF('Raw Data'!$A$3:$A$2927,$A30))</f>
        <v>0</v>
      </c>
      <c r="F30">
        <f>MAX(IF('Raw Data'!$A$3:$A$927=$A30, 'Raw Data'!$O$3:$O$927))</f>
        <v>0</v>
      </c>
      <c r="G30">
        <f>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MAX(IF('Raw Data'!$A$3:$A$927=$A30, 'Raw Data'!$Z$3:$Z$927))</f>
        <v>0</v>
      </c>
      <c r="R30">
        <f>MAX(IF('Raw Data'!$A$3:$A$927=$A30, 'Raw Data'!$T$3:$T$927))</f>
        <v>0</v>
      </c>
      <c r="S30">
        <f>IF( COUNTIF('Raw Data'!$A$3:$A$2927,$A30)=0,0,SUMIF('Raw Data'!$A$3:$A$2927, $A30,'Raw Data'!P$3:P$2927) / COUNTIF('Raw Data'!$A$3:$A$2927,$A30))</f>
        <v>0</v>
      </c>
      <c r="T30">
        <f>IF( COUNTIF('Raw Data'!$A$3:$A$2927,$A30)=0,0,SUMIF('Raw Data'!$A$3:$A$2927, $A30,'Raw Data'!Q$3:Q$2927) / COUNTIF('Raw Data'!$A$3:$A$2927,$A30))</f>
        <v>0</v>
      </c>
      <c r="U30">
        <f>IF( COUNTIF('Raw Data'!$A$3:$A$2927,$A30)=0,0,SUMIF('Raw Data'!$A$3:$A$2927, $A30,'Raw Data'!R$3:R$2927) / COUNTIF('Raw Data'!$A$3:$A$2927,$A30))</f>
        <v>0</v>
      </c>
      <c r="V30">
        <f>IF( COUNTIF('Raw Data'!$A$3:$A$2927,$A30)=0,0,SUMIF('Raw Data'!$A$3:$A$2927, $A30,'Raw Data'!S$3:S$2927) / COUNTIF('Raw Data'!$A$3:$A$2927,$A30))</f>
        <v>0</v>
      </c>
      <c r="W30">
        <f>MAX(IF('Raw Data'!$A$3:$A$927=$A30, 'Raw Data'!$Y$3:$Y$927))</f>
        <v>0</v>
      </c>
      <c r="X30">
        <f>IF( COUNTIF('Raw Data'!$A$3:$A$2927,$A30)=0,0,SUMIF('Raw Data'!$A$3:$A$2927, $A30,'Raw Data'!U$3:U$2927) / COUNTIF('Raw Data'!$A$3:$A$2927,$A30))</f>
        <v>0</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v>
      </c>
      <c r="AC30">
        <f>IF( COUNTIF('Raw Data'!$A$3:$A$2927,$A30)=0,0,SUMIF('Raw Data'!$A$3:$A$2927, $A30,'Raw Data'!AB$3:AB$2927) / COUNTIF('Raw Data'!$A$3:$A$2927,$A30))</f>
        <v>0</v>
      </c>
      <c r="AD30">
        <f>IF( COUNTIF('Raw Data'!$A$3:$A$2927,$A30)=0,0,SUMIF('Raw Data'!$A$3:$A$2927, $A30,'Raw Data'!AC$3:AC$2927) / COUNTIF('Raw Data'!$A$3:$A$2927,$A30))</f>
        <v>0</v>
      </c>
      <c r="AE30" s="117">
        <f>IF( COUNTIF('Raw Data'!$A$3:$A$2927,$A30)=0,0,SUMIF('Raw Data'!$A$3:$A$2927, $A30,'Raw Data'!AD$3:AD$2927) / COUNTIF('Raw Data'!$A$3:$A$2927,$A30))</f>
        <v>0</v>
      </c>
      <c r="AF30">
        <f>IF( COUNTIF('Raw Data'!$A$3:$A$2927,$A30)=0,0,SUMIF('Raw Data'!$A$3:$A$2927, $A30,'Raw Data'!AE$3:AE$2927) / COUNTIF('Raw Data'!$A$3:$A$2927,$A30))</f>
        <v>0</v>
      </c>
      <c r="AG30">
        <f>IF( COUNTIF('Raw Data'!$A$3:$A$2927,$A30)=0,0,SUMIF('Raw Data'!$A$3:$A$2927, $A30,'Raw Data'!AF$3:AF$2927) / COUNTIF('Raw Data'!$A$3:$A$2927,$A30))</f>
        <v>0</v>
      </c>
      <c r="AH30">
        <f>IF( COUNTIF('Raw Data'!$A$3:$A$2927,$A30)=0,0,SUMIF('Raw Data'!$A$3:$A$2927, $A30,'Raw Data'!AG$3:AG$2927) / COUNTIF('Raw Data'!$A$3:$A$2927,$A30))</f>
        <v>0</v>
      </c>
      <c r="AI30">
        <f>IF( COUNTIF('Raw Data'!$A$3:$A$2927,$A30)=0,0,SUMIF('Raw Data'!$A$3:$A$2927, $A30,'Raw Data'!AH$3:AH$2927) / COUNTIF('Raw Data'!$A$3:$A$2927,$A30))</f>
        <v>0</v>
      </c>
      <c r="AJ30" s="117">
        <f>COUNTIF('Raw Data'!A$3:A$2927, $A30)</f>
        <v>0</v>
      </c>
      <c r="AK30">
        <f t="shared" si="2"/>
        <v>-21</v>
      </c>
      <c r="AL30">
        <f t="shared" si="3"/>
        <v>-1.5</v>
      </c>
      <c r="AM30">
        <f t="shared" si="4"/>
        <v>-1</v>
      </c>
      <c r="AN30">
        <f t="shared" si="5"/>
        <v>-21</v>
      </c>
      <c r="AU30" t="s">
        <v>245</v>
      </c>
      <c r="AX30" t="s">
        <v>246</v>
      </c>
    </row>
    <row r="31" spans="1:52">
      <c r="A31">
        <v>4476</v>
      </c>
      <c r="B31" t="s">
        <v>208</v>
      </c>
      <c r="C31">
        <f t="shared" si="0"/>
        <v>18.36363636363636</v>
      </c>
      <c r="D31">
        <f t="shared" si="1"/>
        <v>13.18181818181818</v>
      </c>
      <c r="E31">
        <f>IF( COUNTIF('Raw Data'!$A$3:$A$2927,$A31)=0,0,SUMIF('Raw Data'!$A$3:$A$2927, $A31,'Raw Data'!D$3:D$2927) / COUNTIF('Raw Data'!$A$3:$A$2927,$A31))</f>
        <v>1.7272727272727273</v>
      </c>
      <c r="F31">
        <f>MAX(IF('Raw Data'!$A$3:$A$927=$A31, 'Raw Data'!$O$3:$O$927))</f>
        <v>0</v>
      </c>
      <c r="G31">
        <f>MAX(IF('Raw Data'!$A$3:$A$927=$A31, 'Raw Data'!$I$3:$I$927))</f>
        <v>0</v>
      </c>
      <c r="H31">
        <f>IF( COUNTIF('Raw Data'!$A$3:$A$2927,$A31)=0,0,SUMIF('Raw Data'!$A$3:$A$2927, $A31,'Raw Data'!E$3:E$2927) / COUNTIF('Raw Data'!$A$3:$A$2927,$A31))</f>
        <v>0.54545454545454541</v>
      </c>
      <c r="I31">
        <f>IF( COUNTIF('Raw Data'!$A$3:$A$2927,$A31)=0,0,SUMIF('Raw Data'!$A$3:$A$2927, $A31,'Raw Data'!F$3:F$2927) / COUNTIF('Raw Data'!$A$3:$A$2927,$A31))</f>
        <v>9.0909090909090912E-2</v>
      </c>
      <c r="J31">
        <f>IF( COUNTIF('Raw Data'!$A$3:$A$2927,$A31)=0,0,SUMIF('Raw Data'!$A$3:$A$2927, $A31,'Raw Data'!G$3:G$2927) / COUNTIF('Raw Data'!$A$3:$A$2927,$A31))</f>
        <v>0</v>
      </c>
      <c r="K31">
        <f>IF( COUNTIF('Raw Data'!$A$3:$A$2927,$A31)=0,0,SUMIF('Raw Data'!$A$3:$A$2927, $A31,'Raw Data'!H$3:H$2927) / COUNTIF('Raw Data'!$A$3:$A$2927,$A31))</f>
        <v>0</v>
      </c>
      <c r="L31">
        <f>MAX(IF('Raw Data'!$A$3:$A$927=$A31, 'Raw Data'!$N$3:$N$927))</f>
        <v>0</v>
      </c>
      <c r="M31">
        <f>IF( COUNTIF('Raw Data'!$A$3:$A$2927,$A31)=0,0,SUMIF('Raw Data'!$A$3:$A$2927, $A31,'Raw Data'!J$3:J$2927) / COUNTIF('Raw Data'!$A$3:$A$2927,$A31))</f>
        <v>9.0909090909090912E-2</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MAX(IF('Raw Data'!$A$3:$A$927=$A31, 'Raw Data'!$Z$3:$Z$927))</f>
        <v>0</v>
      </c>
      <c r="R31">
        <f>MAX(IF('Raw Data'!$A$3:$A$927=$A31, 'Raw Data'!$T$3:$T$927))</f>
        <v>0</v>
      </c>
      <c r="S31">
        <f>IF( COUNTIF('Raw Data'!$A$3:$A$2927,$A31)=0,0,SUMIF('Raw Data'!$A$3:$A$2927, $A31,'Raw Data'!P$3:P$2927) / COUNTIF('Raw Data'!$A$3:$A$2927,$A31))</f>
        <v>0.54545454545454541</v>
      </c>
      <c r="T31">
        <f>IF( COUNTIF('Raw Data'!$A$3:$A$2927,$A31)=0,0,SUMIF('Raw Data'!$A$3:$A$2927, $A31,'Raw Data'!Q$3:Q$2927) / COUNTIF('Raw Data'!$A$3:$A$2927,$A31))</f>
        <v>0.36363636363636365</v>
      </c>
      <c r="U31">
        <f>IF( COUNTIF('Raw Data'!$A$3:$A$2927,$A31)=0,0,SUMIF('Raw Data'!$A$3:$A$2927, $A31,'Raw Data'!R$3:R$2927) / COUNTIF('Raw Data'!$A$3:$A$2927,$A31))</f>
        <v>0</v>
      </c>
      <c r="V31">
        <f>IF( COUNTIF('Raw Data'!$A$3:$A$2927,$A31)=0,0,SUMIF('Raw Data'!$A$3:$A$2927, $A31,'Raw Data'!S$3:S$2927) / COUNTIF('Raw Data'!$A$3:$A$2927,$A31))</f>
        <v>0</v>
      </c>
      <c r="W31">
        <f>MAX(IF('Raw Data'!$A$3:$A$927=$A31, 'Raw Data'!$Y$3:$Y$927))</f>
        <v>0</v>
      </c>
      <c r="X31">
        <f>IF( COUNTIF('Raw Data'!$A$3:$A$2927,$A31)=0,0,SUMIF('Raw Data'!$A$3:$A$2927, $A31,'Raw Data'!U$3:U$2927) / COUNTIF('Raw Data'!$A$3:$A$2927,$A31))</f>
        <v>2.7272727272727271</v>
      </c>
      <c r="Y31">
        <f>IF( COUNTIF('Raw Data'!$A$3:$A$2927,$A31)=0,0,SUMIF('Raw Data'!$A$3:$A$2927, $A31,'Raw Data'!V$3:V$2927) / COUNTIF('Raw Data'!$A$3:$A$2927,$A31))</f>
        <v>0.54545454545454541</v>
      </c>
      <c r="Z31">
        <f>IF( COUNTIF('Raw Data'!$A$3:$A$2927,$A31)=0,0,SUMIF('Raw Data'!$A$3:$A$2927, $A31,'Raw Data'!W$3:W$2927) / COUNTIF('Raw Data'!$A$3:$A$2927,$A31))</f>
        <v>9.0909090909090912E-2</v>
      </c>
      <c r="AA31">
        <f>IF( COUNTIF('Raw Data'!$A$3:$A$2927,$A31)=0,0,SUMIF('Raw Data'!$A$3:$A$2927, $A31,'Raw Data'!X$3:X$2927) / COUNTIF('Raw Data'!$A$3:$A$2927,$A31))</f>
        <v>0</v>
      </c>
      <c r="AB31">
        <f>IF( COUNTIF('Raw Data'!$A$3:$A$2927,$A31)=0,0,SUMIF('Raw Data'!$A$3:$A$2927, $A31,'Raw Data'!AA$3:AA$2927) / COUNTIF('Raw Data'!$A$3:$A$2927,$A31))</f>
        <v>2.2727272727272729</v>
      </c>
      <c r="AC31">
        <f>IF( COUNTIF('Raw Data'!$A$3:$A$2927,$A31)=0,0,SUMIF('Raw Data'!$A$3:$A$2927, $A31,'Raw Data'!AB$3:AB$2927) / COUNTIF('Raw Data'!$A$3:$A$2927,$A31))</f>
        <v>0</v>
      </c>
      <c r="AD31">
        <f>IF( COUNTIF('Raw Data'!$A$3:$A$2927,$A31)=0,0,SUMIF('Raw Data'!$A$3:$A$2927, $A31,'Raw Data'!AC$3:AC$2927) / COUNTIF('Raw Data'!$A$3:$A$2927,$A31))</f>
        <v>0.54545454545454541</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9.0909090909090912E-2</v>
      </c>
      <c r="AH31">
        <f>IF( COUNTIF('Raw Data'!$A$3:$A$2927,$A31)=0,0,SUMIF('Raw Data'!$A$3:$A$2927, $A31,'Raw Data'!AG$3:AG$2927) / COUNTIF('Raw Data'!$A$3:$A$2927,$A31))</f>
        <v>1.9090909090909092</v>
      </c>
      <c r="AI31">
        <f>IF( COUNTIF('Raw Data'!$A$3:$A$2927,$A31)=0,0,SUMIF('Raw Data'!$A$3:$A$2927, $A31,'Raw Data'!AH$3:AH$2927) / COUNTIF('Raw Data'!$A$3:$A$2927,$A31))</f>
        <v>9.0909090909090912E-2</v>
      </c>
      <c r="AJ31" s="117">
        <f>COUNTIF('Raw Data'!A$3:A$2927, $A31)</f>
        <v>11</v>
      </c>
      <c r="AK31">
        <f t="shared" si="2"/>
        <v>3.7345454545454548</v>
      </c>
      <c r="AL31">
        <f t="shared" si="3"/>
        <v>0.72727272727272707</v>
      </c>
      <c r="AM31">
        <f t="shared" si="4"/>
        <v>2.8927272727272726</v>
      </c>
      <c r="AN31">
        <f t="shared" si="5"/>
        <v>3.689090909090909</v>
      </c>
      <c r="AU31" t="s">
        <v>247</v>
      </c>
      <c r="AV31" t="s">
        <v>248</v>
      </c>
      <c r="AX31" t="s">
        <v>247</v>
      </c>
      <c r="AY31" t="s">
        <v>248</v>
      </c>
    </row>
    <row r="32" spans="1:52">
      <c r="A32">
        <v>4519</v>
      </c>
      <c r="B32" t="s">
        <v>209</v>
      </c>
      <c r="C32">
        <f t="shared" si="0"/>
        <v>12.444444444444446</v>
      </c>
      <c r="D32">
        <f t="shared" si="1"/>
        <v>5.5555555555555554</v>
      </c>
      <c r="E32">
        <f>IF( COUNTIF('Raw Data'!$A$3:$A$2927,$A32)=0,0,SUMIF('Raw Data'!$A$3:$A$2927, $A32,'Raw Data'!D$3:D$2927) / COUNTIF('Raw Data'!$A$3:$A$2927,$A32))</f>
        <v>1.6666666666666667</v>
      </c>
      <c r="F32">
        <f>MAX(IF('Raw Data'!$A$3:$A$927=$A32, 'Raw Data'!$O$3:$O$927))</f>
        <v>0</v>
      </c>
      <c r="G32">
        <f>MAX(IF('Raw Data'!$A$3:$A$927=$A32, 'Raw Data'!$I$3:$I$927))</f>
        <v>0</v>
      </c>
      <c r="H32">
        <f>IF( COUNTIF('Raw Data'!$A$3:$A$2927,$A32)=0,0,SUMIF('Raw Data'!$A$3:$A$2927, $A32,'Raw Data'!E$3:E$2927) / COUNTIF('Raw Data'!$A$3:$A$2927,$A32))</f>
        <v>0.22222222222222221</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MAX(IF('Raw Data'!$A$3:$A$927=$A32, 'Raw Data'!$N$3:$N$927))</f>
        <v>0</v>
      </c>
      <c r="M32">
        <f>IF( COUNTIF('Raw Data'!$A$3:$A$2927,$A32)=0,0,SUMIF('Raw Data'!$A$3:$A$2927, $A32,'Raw Data'!J$3:J$2927) / COUNTIF('Raw Data'!$A$3:$A$2927,$A32))</f>
        <v>0.1111111111111111</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MAX(IF('Raw Data'!$A$3:$A$927=$A32, 'Raw Data'!$Z$3:$Z$927))</f>
        <v>0</v>
      </c>
      <c r="R32">
        <f>MAX(IF('Raw Data'!$A$3:$A$927=$A32, 'Raw Data'!$T$3:$T$927))</f>
        <v>0</v>
      </c>
      <c r="S32">
        <f>IF( COUNTIF('Raw Data'!$A$3:$A$2927,$A32)=0,0,SUMIF('Raw Data'!$A$3:$A$2927, $A32,'Raw Data'!P$3:P$2927) / COUNTIF('Raw Data'!$A$3:$A$2927,$A32))</f>
        <v>0.33333333333333331</v>
      </c>
      <c r="T32">
        <f>IF( COUNTIF('Raw Data'!$A$3:$A$2927,$A32)=0,0,SUMIF('Raw Data'!$A$3:$A$2927, $A32,'Raw Data'!Q$3:Q$2927) / COUNTIF('Raw Data'!$A$3:$A$2927,$A32))</f>
        <v>0.22222222222222221</v>
      </c>
      <c r="U32">
        <f>IF( COUNTIF('Raw Data'!$A$3:$A$2927,$A32)=0,0,SUMIF('Raw Data'!$A$3:$A$2927, $A32,'Raw Data'!R$3:R$2927) / COUNTIF('Raw Data'!$A$3:$A$2927,$A32))</f>
        <v>0</v>
      </c>
      <c r="V32">
        <f>IF( COUNTIF('Raw Data'!$A$3:$A$2927,$A32)=0,0,SUMIF('Raw Data'!$A$3:$A$2927, $A32,'Raw Data'!S$3:S$2927) / COUNTIF('Raw Data'!$A$3:$A$2927,$A32))</f>
        <v>0</v>
      </c>
      <c r="W32">
        <f>MAX(IF('Raw Data'!$A$3:$A$927=$A32, 'Raw Data'!$Y$3:$Y$927))</f>
        <v>0</v>
      </c>
      <c r="X32">
        <f>IF( COUNTIF('Raw Data'!$A$3:$A$2927,$A32)=0,0,SUMIF('Raw Data'!$A$3:$A$2927, $A32,'Raw Data'!U$3:U$2927) / COUNTIF('Raw Data'!$A$3:$A$2927,$A32))</f>
        <v>1.1111111111111112</v>
      </c>
      <c r="Y32">
        <f>IF( COUNTIF('Raw Data'!$A$3:$A$2927,$A32)=0,0,SUMIF('Raw Data'!$A$3:$A$2927, $A32,'Raw Data'!V$3:V$2927) / COUNTIF('Raw Data'!$A$3:$A$2927,$A32))</f>
        <v>0.1111111111111111</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25.333333333333332</v>
      </c>
      <c r="AC32">
        <f>IF( COUNTIF('Raw Data'!$A$3:$A$2927,$A32)=0,0,SUMIF('Raw Data'!$A$3:$A$2927, $A32,'Raw Data'!AB$3:AB$2927) / COUNTIF('Raw Data'!$A$3:$A$2927,$A32))</f>
        <v>0</v>
      </c>
      <c r="AD32">
        <f>IF( COUNTIF('Raw Data'!$A$3:$A$2927,$A32)=0,0,SUMIF('Raw Data'!$A$3:$A$2927, $A32,'Raw Data'!AC$3:AC$2927) / COUNTIF('Raw Data'!$A$3:$A$2927,$A32))</f>
        <v>1.2222222222222223</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1.7777777777777777</v>
      </c>
      <c r="AI32">
        <f>IF( COUNTIF('Raw Data'!$A$3:$A$2927,$A32)=0,0,SUMIF('Raw Data'!$A$3:$A$2927, $A32,'Raw Data'!AH$3:AH$2927) / COUNTIF('Raw Data'!$A$3:$A$2927,$A32))</f>
        <v>0.1111111111111111</v>
      </c>
      <c r="AJ32" s="117">
        <f>COUNTIF('Raw Data'!A$3:A$2927, $A32)</f>
        <v>9</v>
      </c>
      <c r="AK32">
        <f t="shared" si="2"/>
        <v>1.5466666666666669</v>
      </c>
      <c r="AL32">
        <f t="shared" si="3"/>
        <v>-0.22222222222222221</v>
      </c>
      <c r="AM32">
        <f t="shared" si="4"/>
        <v>0.77444444444444449</v>
      </c>
      <c r="AN32">
        <f t="shared" si="5"/>
        <v>1.5466666666666669</v>
      </c>
      <c r="AU32">
        <v>610</v>
      </c>
      <c r="AV32">
        <v>8</v>
      </c>
      <c r="AX32">
        <v>5426</v>
      </c>
      <c r="AY32">
        <v>34</v>
      </c>
    </row>
    <row r="33" spans="1:51">
      <c r="A33">
        <v>4525</v>
      </c>
      <c r="B33" t="s">
        <v>210</v>
      </c>
      <c r="C33">
        <f t="shared" si="0"/>
        <v>7</v>
      </c>
      <c r="D33">
        <f t="shared" si="1"/>
        <v>3.625</v>
      </c>
      <c r="E33">
        <f>IF( COUNTIF('Raw Data'!$A$3:$A$2927,$A33)=0,0,SUMIF('Raw Data'!$A$3:$A$2927, $A33,'Raw Data'!D$3:D$2927) / COUNTIF('Raw Data'!$A$3:$A$2927,$A33))</f>
        <v>1</v>
      </c>
      <c r="F33">
        <f>MAX(IF('Raw Data'!$A$3:$A$927=$A33, 'Raw Data'!$O$3:$O$927))</f>
        <v>0</v>
      </c>
      <c r="G33">
        <f>MAX(IF('Raw Data'!$A$3:$A$927=$A33, 'Raw Data'!$I$3:$I$927))</f>
        <v>0</v>
      </c>
      <c r="H33">
        <f>IF( COUNTIF('Raw Data'!$A$3:$A$2927,$A33)=0,0,SUMIF('Raw Data'!$A$3:$A$2927, $A33,'Raw Data'!E$3:E$2927) / COUNTIF('Raw Data'!$A$3:$A$2927,$A33))</f>
        <v>0</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MAX(IF('Raw Data'!$A$3:$A$927=$A33, 'Raw Data'!$Z$3:$Z$927))</f>
        <v>0</v>
      </c>
      <c r="R33">
        <f>MAX(IF('Raw Data'!$A$3:$A$927=$A33, 'Raw Data'!$T$3:$T$927))</f>
        <v>0</v>
      </c>
      <c r="S33">
        <f>IF( COUNTIF('Raw Data'!$A$3:$A$2927,$A33)=0,0,SUMIF('Raw Data'!$A$3:$A$2927, $A33,'Raw Data'!P$3:P$2927) / COUNTIF('Raw Data'!$A$3:$A$2927,$A33))</f>
        <v>0.75</v>
      </c>
      <c r="T33">
        <f>IF( COUNTIF('Raw Data'!$A$3:$A$2927,$A33)=0,0,SUMIF('Raw Data'!$A$3:$A$2927, $A33,'Raw Data'!Q$3:Q$2927) / COUNTIF('Raw Data'!$A$3:$A$2927,$A33))</f>
        <v>0.875</v>
      </c>
      <c r="U33">
        <f>IF( COUNTIF('Raw Data'!$A$3:$A$2927,$A33)=0,0,SUMIF('Raw Data'!$A$3:$A$2927, $A33,'Raw Data'!R$3:R$2927) / COUNTIF('Raw Data'!$A$3:$A$2927,$A33))</f>
        <v>0</v>
      </c>
      <c r="V33">
        <f>IF( COUNTIF('Raw Data'!$A$3:$A$2927,$A33)=0,0,SUMIF('Raw Data'!$A$3:$A$2927, $A33,'Raw Data'!S$3:S$2927) / COUNTIF('Raw Data'!$A$3:$A$2927,$A33))</f>
        <v>0</v>
      </c>
      <c r="W33">
        <f>MAX(IF('Raw Data'!$A$3:$A$927=$A33, 'Raw Data'!$Y$3:$Y$927))</f>
        <v>0</v>
      </c>
      <c r="X33">
        <f>IF( COUNTIF('Raw Data'!$A$3:$A$2927,$A33)=0,0,SUMIF('Raw Data'!$A$3:$A$2927, $A33,'Raw Data'!U$3:U$2927) / COUNTIF('Raw Data'!$A$3:$A$2927,$A33))</f>
        <v>0.125</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6.875</v>
      </c>
      <c r="AC33">
        <f>IF( COUNTIF('Raw Data'!$A$3:$A$2927,$A33)=0,0,SUMIF('Raw Data'!$A$3:$A$2927, $A33,'Raw Data'!AB$3:AB$2927) / COUNTIF('Raw Data'!$A$3:$A$2927,$A33))</f>
        <v>0</v>
      </c>
      <c r="AD33">
        <f>IF( COUNTIF('Raw Data'!$A$3:$A$2927,$A33)=0,0,SUMIF('Raw Data'!$A$3:$A$2927, $A33,'Raw Data'!AC$3:AC$2927) / COUNTIF('Raw Data'!$A$3:$A$2927,$A33))</f>
        <v>0.75</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1.875</v>
      </c>
      <c r="AI33">
        <f>IF( COUNTIF('Raw Data'!$A$3:$A$2927,$A33)=0,0,SUMIF('Raw Data'!$A$3:$A$2927, $A33,'Raw Data'!AH$3:AH$2927) / COUNTIF('Raw Data'!$A$3:$A$2927,$A33))</f>
        <v>1</v>
      </c>
      <c r="AJ33" s="117">
        <f>COUNTIF('Raw Data'!A$3:A$2927, $A33)</f>
        <v>8</v>
      </c>
      <c r="AK33">
        <f t="shared" si="2"/>
        <v>-1.23</v>
      </c>
      <c r="AL33">
        <f t="shared" si="3"/>
        <v>-1.3125</v>
      </c>
      <c r="AM33">
        <f t="shared" si="4"/>
        <v>-0.49375000000000002</v>
      </c>
      <c r="AN33">
        <f t="shared" si="5"/>
        <v>-1.23</v>
      </c>
      <c r="AU33">
        <v>2708</v>
      </c>
      <c r="AV33">
        <v>11</v>
      </c>
      <c r="AX33">
        <v>4525</v>
      </c>
      <c r="AY33">
        <v>37</v>
      </c>
    </row>
    <row r="34" spans="1:51">
      <c r="A34">
        <v>4688</v>
      </c>
      <c r="B34" t="s">
        <v>451</v>
      </c>
      <c r="C34">
        <f t="shared" si="0"/>
        <v>0</v>
      </c>
      <c r="D34">
        <f t="shared" si="1"/>
        <v>0</v>
      </c>
      <c r="E34">
        <f>IF( COUNTIF('Raw Data'!$A$3:$A$2927,$A34)=0,0,SUMIF('Raw Data'!$A$3:$A$2927, $A34,'Raw Data'!D$3:D$2927) / COUNTIF('Raw Data'!$A$3:$A$2927,$A34))</f>
        <v>0</v>
      </c>
      <c r="F34">
        <f>MAX(IF('Raw Data'!$A$3:$A$927=$A34, 'Raw Data'!$O$3:$O$927))</f>
        <v>0</v>
      </c>
      <c r="G34">
        <f>MAX(IF('Raw Data'!$A$3:$A$927=$A34, 'Raw Data'!$I$3:$I$927))</f>
        <v>0</v>
      </c>
      <c r="H34">
        <f>IF( COUNTIF('Raw Data'!$A$3:$A$2927,$A34)=0,0,SUMIF('Raw Data'!$A$3:$A$2927, $A34,'Raw Data'!E$3:E$2927) / COUNTIF('Raw Data'!$A$3:$A$2927,$A34))</f>
        <v>0</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MAX(IF('Raw Data'!$A$3:$A$927=$A34, 'Raw Data'!$Z$3:$Z$927))</f>
        <v>0</v>
      </c>
      <c r="R34">
        <f>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0</v>
      </c>
      <c r="AC34">
        <f>IF( COUNTIF('Raw Data'!$A$3:$A$2927,$A34)=0,0,SUMIF('Raw Data'!$A$3:$A$2927, $A34,'Raw Data'!AB$3:AB$2927) / COUNTIF('Raw Data'!$A$3:$A$2927,$A34))</f>
        <v>0</v>
      </c>
      <c r="AD34">
        <f>IF( COUNTIF('Raw Data'!$A$3:$A$2927,$A34)=0,0,SUMIF('Raw Data'!$A$3:$A$2927, $A34,'Raw Data'!AC$3:AC$2927) / COUNTIF('Raw Data'!$A$3:$A$2927,$A34))</f>
        <v>0</v>
      </c>
      <c r="AE34" s="117">
        <f>IF( COUNTIF('Raw Data'!$A$3:$A$2927,$A34)=0,0,SUMIF('Raw Data'!$A$3:$A$2927, $A34,'Raw Data'!AD$3:AD$2927) / COUNTIF('Raw Data'!$A$3:$A$2927,$A34))</f>
        <v>0</v>
      </c>
      <c r="AF34">
        <f>IF( COUNTIF('Raw Data'!$A$3:$A$2927,$A34)=0,0,SUMIF('Raw Data'!$A$3:$A$2927, $A34,'Raw Data'!AE$3:AE$2927) / COUNTIF('Raw Data'!$A$3:$A$2927,$A34))</f>
        <v>0</v>
      </c>
      <c r="AG34">
        <f>IF( COUNTIF('Raw Data'!$A$3:$A$2927,$A34)=0,0,SUMIF('Raw Data'!$A$3:$A$2927, $A34,'Raw Data'!AF$3:AF$2927) / COUNTIF('Raw Data'!$A$3:$A$2927,$A34))</f>
        <v>0</v>
      </c>
      <c r="AH34">
        <f>IF( COUNTIF('Raw Data'!$A$3:$A$2927,$A34)=0,0,SUMIF('Raw Data'!$A$3:$A$2927, $A34,'Raw Data'!AG$3:AG$2927) / COUNTIF('Raw Data'!$A$3:$A$2927,$A34))</f>
        <v>0</v>
      </c>
      <c r="AI34">
        <f>IF( COUNTIF('Raw Data'!$A$3:$A$2927,$A34)=0,0,SUMIF('Raw Data'!$A$3:$A$2927, $A34,'Raw Data'!AH$3:AH$2927) / COUNTIF('Raw Data'!$A$3:$A$2927,$A34))</f>
        <v>0</v>
      </c>
      <c r="AJ34" s="117">
        <f>COUNTIF('Raw Data'!A$3:A$2927, $A34)</f>
        <v>0</v>
      </c>
      <c r="AK34">
        <f t="shared" si="2"/>
        <v>-21</v>
      </c>
      <c r="AL34">
        <f t="shared" si="3"/>
        <v>-1.5</v>
      </c>
      <c r="AM34">
        <f t="shared" si="4"/>
        <v>-1</v>
      </c>
      <c r="AN34">
        <f t="shared" si="5"/>
        <v>-21</v>
      </c>
      <c r="AU34">
        <v>2200</v>
      </c>
      <c r="AV34">
        <v>12</v>
      </c>
      <c r="AX34">
        <v>2852</v>
      </c>
      <c r="AY34">
        <v>38</v>
      </c>
    </row>
    <row r="35" spans="1:51">
      <c r="A35">
        <v>4704</v>
      </c>
      <c r="B35" t="s">
        <v>211</v>
      </c>
      <c r="C35">
        <f t="shared" si="0"/>
        <v>8.5</v>
      </c>
      <c r="D35">
        <f t="shared" si="1"/>
        <v>3.8</v>
      </c>
      <c r="E35">
        <f>IF( COUNTIF('Raw Data'!$A$3:$A$2927,$A35)=0,0,SUMIF('Raw Data'!$A$3:$A$2927, $A35,'Raw Data'!D$3:D$2927) / COUNTIF('Raw Data'!$A$3:$A$2927,$A35))</f>
        <v>0.9</v>
      </c>
      <c r="F35">
        <f>MAX(IF('Raw Data'!$A$3:$A$927=$A35, 'Raw Data'!$O$3:$O$927))</f>
        <v>0</v>
      </c>
      <c r="G35">
        <f>MAX(IF('Raw Data'!$A$3:$A$927=$A35, 'Raw Data'!$I$3:$I$927))</f>
        <v>0</v>
      </c>
      <c r="H35">
        <f>IF( COUNTIF('Raw Data'!$A$3:$A$2927,$A35)=0,0,SUMIF('Raw Data'!$A$3:$A$2927, $A35,'Raw Data'!E$3:E$2927) / COUNTIF('Raw Data'!$A$3:$A$2927,$A35))</f>
        <v>0.2</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MAX(IF('Raw Data'!$A$3:$A$927=$A35, 'Raw Data'!$Z$3:$Z$927))</f>
        <v>0</v>
      </c>
      <c r="R35">
        <f>MAX(IF('Raw Data'!$A$3:$A$927=$A35, 'Raw Data'!$T$3:$T$927))</f>
        <v>0</v>
      </c>
      <c r="S35">
        <f>IF( COUNTIF('Raw Data'!$A$3:$A$2927,$A35)=0,0,SUMIF('Raw Data'!$A$3:$A$2927, $A35,'Raw Data'!P$3:P$2927) / COUNTIF('Raw Data'!$A$3:$A$2927,$A35))</f>
        <v>0.4</v>
      </c>
      <c r="T35">
        <f>IF( COUNTIF('Raw Data'!$A$3:$A$2927,$A35)=0,0,SUMIF('Raw Data'!$A$3:$A$2927, $A35,'Raw Data'!Q$3:Q$2927) / COUNTIF('Raw Data'!$A$3:$A$2927,$A35))</f>
        <v>0.4</v>
      </c>
      <c r="U35">
        <f>IF( COUNTIF('Raw Data'!$A$3:$A$2927,$A35)=0,0,SUMIF('Raw Data'!$A$3:$A$2927, $A35,'Raw Data'!R$3:R$2927) / COUNTIF('Raw Data'!$A$3:$A$2927,$A35))</f>
        <v>0</v>
      </c>
      <c r="V35">
        <f>IF( COUNTIF('Raw Data'!$A$3:$A$2927,$A35)=0,0,SUMIF('Raw Data'!$A$3:$A$2927, $A35,'Raw Data'!S$3:S$2927) / COUNTIF('Raw Data'!$A$3:$A$2927,$A35))</f>
        <v>0</v>
      </c>
      <c r="W35">
        <f>MAX(IF('Raw Data'!$A$3:$A$927=$A35, 'Raw Data'!$Y$3:$Y$927))</f>
        <v>0</v>
      </c>
      <c r="X35">
        <f>IF( COUNTIF('Raw Data'!$A$3:$A$2927,$A35)=0,0,SUMIF('Raw Data'!$A$3:$A$2927, $A35,'Raw Data'!U$3:U$2927) / COUNTIF('Raw Data'!$A$3:$A$2927,$A35))</f>
        <v>0.6</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0.1</v>
      </c>
      <c r="AB35">
        <f>IF( COUNTIF('Raw Data'!$A$3:$A$2927,$A35)=0,0,SUMIF('Raw Data'!$A$3:$A$2927, $A35,'Raw Data'!AA$3:AA$2927) / COUNTIF('Raw Data'!$A$3:$A$2927,$A35))</f>
        <v>0</v>
      </c>
      <c r="AC35">
        <f>IF( COUNTIF('Raw Data'!$A$3:$A$2927,$A35)=0,0,SUMIF('Raw Data'!$A$3:$A$2927, $A35,'Raw Data'!AB$3:AB$2927) / COUNTIF('Raw Data'!$A$3:$A$2927,$A35))</f>
        <v>0</v>
      </c>
      <c r="AD35">
        <f>IF( COUNTIF('Raw Data'!$A$3:$A$2927,$A35)=0,0,SUMIF('Raw Data'!$A$3:$A$2927, $A35,'Raw Data'!AC$3:AC$2927) / COUNTIF('Raw Data'!$A$3:$A$2927,$A35))</f>
        <v>0.9</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v>
      </c>
      <c r="AI35">
        <f>IF( COUNTIF('Raw Data'!$A$3:$A$2927,$A35)=0,0,SUMIF('Raw Data'!$A$3:$A$2927, $A35,'Raw Data'!AH$3:AH$2927) / COUNTIF('Raw Data'!$A$3:$A$2927,$A35))</f>
        <v>0.9</v>
      </c>
      <c r="AJ35" s="117">
        <f>COUNTIF('Raw Data'!A$3:A$2927, $A35)</f>
        <v>10</v>
      </c>
      <c r="AK35">
        <f t="shared" ref="AK35:AK66" si="6">IFERROR(SUM(IF($E35 &gt;autoThreshold, auto), hatch * SUM($H35:$K35), cargo * SUM($M35:$P35),hatch * SUM( $S35:$V35), cargo * SUM($X35:$AA35), rocket23 * SUM($J35:$K35, $O35:$P35, $U35:$V35, $Z35:$AA35), IF($AD35 &gt; climbThreshold, climb), IF($AC35 &gt; assistThreshold, $AC35 * assist), $AH35 * penalty, dropHatch * $AI35, tippedBroke * SUM($AE35:$AF35),  IF( $E35 &lt; noAutoThreshold, noAuto), IF($C35 &lt; doesNothingThreshold, doesNothing, IF($AD35 &gt;1.45, 2) )), "h")</f>
        <v>-1.788</v>
      </c>
      <c r="AL35">
        <f t="shared" ref="AL35:AL66" si="7">SUM(hHatch * SUM($H35:$K35), hHatch * SUM($S35:$V35), hRocket23 * SUM($J35:$K35), hRocket23 * SUM($U35:$V35), hSandstorm * SUM($H35:$K35), hPenalty * $AH35, hDropHatch * $AI35,hTippedBroke * SUM($AE35:$AF35), IF($E35 &lt; hNoAutoThreshold, hNoAuto), IF($AG35 &gt; hFloorHatchThreshold, hFloorHatch))</f>
        <v>-2.7</v>
      </c>
      <c r="AM35">
        <f t="shared" ref="AM35:AM66" si="8">SUM(cCargo * SUM($M35:$P35), cCargo *SUM( $X35:$AA35), cRocket23 * SUM($O35:$P35, $Z35:$AA35),cSandstorm * SUM($M35:$P35), cPenalty * $AH35, cTippedBroke * SUM($AE35:$AF35), IF($E35 &lt; cNoAutoThreshold, cNoAuto, 0))</f>
        <v>-0.58000000000000007</v>
      </c>
      <c r="AN35">
        <f t="shared" si="5"/>
        <v>-1.8380000000000001</v>
      </c>
      <c r="AU35">
        <v>4476</v>
      </c>
      <c r="AV35">
        <v>18</v>
      </c>
      <c r="AX35">
        <v>7267</v>
      </c>
      <c r="AY35">
        <v>42</v>
      </c>
    </row>
    <row r="36" spans="1:51">
      <c r="A36">
        <v>4783</v>
      </c>
      <c r="B36" t="s">
        <v>212</v>
      </c>
      <c r="C36">
        <f t="shared" si="0"/>
        <v>8.4444444444444446</v>
      </c>
      <c r="D36">
        <f t="shared" si="1"/>
        <v>2.4444444444444446</v>
      </c>
      <c r="E36">
        <f>IF( COUNTIF('Raw Data'!$A$3:$A$2927,$A36)=0,0,SUMIF('Raw Data'!$A$3:$A$2927, $A36,'Raw Data'!D$3:D$2927) / COUNTIF('Raw Data'!$A$3:$A$2927,$A36))</f>
        <v>1.4444444444444444</v>
      </c>
      <c r="F36">
        <f>MAX(IF('Raw Data'!$A$3:$A$927=$A36, 'Raw Data'!$O$3:$O$927))</f>
        <v>0</v>
      </c>
      <c r="G36">
        <f>MAX(IF('Raw Data'!$A$3:$A$927=$A36, 'Raw Data'!$I$3:$I$927))</f>
        <v>0</v>
      </c>
      <c r="H36">
        <f>IF( COUNTIF('Raw Data'!$A$3:$A$2927,$A36)=0,0,SUMIF('Raw Data'!$A$3:$A$2927, $A36,'Raw Data'!E$3:E$2927) / COUNTIF('Raw Data'!$A$3:$A$2927,$A36))</f>
        <v>0.22222222222222221</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MAX(IF('Raw Data'!$A$3:$A$927=$A36, 'Raw Data'!$N$3:$N$927))</f>
        <v>0</v>
      </c>
      <c r="M36">
        <f>IF( COUNTIF('Raw Data'!$A$3:$A$2927,$A36)=0,0,SUMIF('Raw Data'!$A$3:$A$2927, $A36,'Raw Data'!J$3:J$2927) / COUNTIF('Raw Data'!$A$3:$A$2927,$A36))</f>
        <v>0</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MAX(IF('Raw Data'!$A$3:$A$927=$A36, 'Raw Data'!$Z$3:$Z$927))</f>
        <v>0</v>
      </c>
      <c r="R36">
        <f>MAX(IF('Raw Data'!$A$3:$A$927=$A36, 'Raw Data'!$T$3:$T$927))</f>
        <v>0</v>
      </c>
      <c r="S36">
        <f>IF( COUNTIF('Raw Data'!$A$3:$A$2927,$A36)=0,0,SUMIF('Raw Data'!$A$3:$A$2927, $A36,'Raw Data'!P$3:P$2927) / COUNTIF('Raw Data'!$A$3:$A$2927,$A36))</f>
        <v>0.77777777777777779</v>
      </c>
      <c r="T36">
        <f>IF( COUNTIF('Raw Data'!$A$3:$A$2927,$A36)=0,0,SUMIF('Raw Data'!$A$3:$A$2927, $A36,'Raw Data'!Q$3:Q$2927) / COUNTIF('Raw Data'!$A$3:$A$2927,$A36))</f>
        <v>0.22222222222222221</v>
      </c>
      <c r="U36">
        <f>IF( COUNTIF('Raw Data'!$A$3:$A$2927,$A36)=0,0,SUMIF('Raw Data'!$A$3:$A$2927, $A36,'Raw Data'!R$3:R$2927) / COUNTIF('Raw Data'!$A$3:$A$2927,$A36))</f>
        <v>0</v>
      </c>
      <c r="V36">
        <f>IF( COUNTIF('Raw Data'!$A$3:$A$2927,$A36)=0,0,SUMIF('Raw Data'!$A$3:$A$2927, $A36,'Raw Data'!S$3:S$2927) / COUNTIF('Raw Data'!$A$3:$A$2927,$A36))</f>
        <v>0</v>
      </c>
      <c r="W36">
        <f>MAX(IF('Raw Data'!$A$3:$A$927=$A36, 'Raw Data'!$Y$3:$Y$927))</f>
        <v>0</v>
      </c>
      <c r="X36">
        <f>IF( COUNTIF('Raw Data'!$A$3:$A$2927,$A36)=0,0,SUMIF('Raw Data'!$A$3:$A$2927, $A36,'Raw Data'!U$3:U$2927) / COUNTIF('Raw Data'!$A$3:$A$2927,$A36))</f>
        <v>0</v>
      </c>
      <c r="Y36">
        <f>IF( COUNTIF('Raw Data'!$A$3:$A$2927,$A36)=0,0,SUMIF('Raw Data'!$A$3:$A$2927, $A36,'Raw Data'!V$3:V$2927) / COUNTIF('Raw Data'!$A$3:$A$2927,$A36))</f>
        <v>0</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48</v>
      </c>
      <c r="AC36">
        <f>IF( COUNTIF('Raw Data'!$A$3:$A$2927,$A36)=0,0,SUMIF('Raw Data'!$A$3:$A$2927, $A36,'Raw Data'!AB$3:AB$2927) / COUNTIF('Raw Data'!$A$3:$A$2927,$A36))</f>
        <v>0</v>
      </c>
      <c r="AD36">
        <f>IF( COUNTIF('Raw Data'!$A$3:$A$2927,$A36)=0,0,SUMIF('Raw Data'!$A$3:$A$2927, $A36,'Raw Data'!AC$3:AC$2927) / COUNTIF('Raw Data'!$A$3:$A$2927,$A36))</f>
        <v>0.88888888888888884</v>
      </c>
      <c r="AE36" s="117">
        <f>IF( COUNTIF('Raw Data'!$A$3:$A$2927,$A36)=0,0,SUMIF('Raw Data'!$A$3:$A$2927, $A36,'Raw Data'!AD$3:AD$2927) / COUNTIF('Raw Data'!$A$3:$A$2927,$A36))</f>
        <v>0</v>
      </c>
      <c r="AF36">
        <f>IF( COUNTIF('Raw Data'!$A$3:$A$2927,$A36)=0,0,SUMIF('Raw Data'!$A$3:$A$2927, $A36,'Raw Data'!AE$3:AE$2927) / COUNTIF('Raw Data'!$A$3:$A$2927,$A36))</f>
        <v>0.1111111111111111</v>
      </c>
      <c r="AG36">
        <f>IF( COUNTIF('Raw Data'!$A$3:$A$2927,$A36)=0,0,SUMIF('Raw Data'!$A$3:$A$2927, $A36,'Raw Data'!AF$3:AF$2927) / COUNTIF('Raw Data'!$A$3:$A$2927,$A36))</f>
        <v>0</v>
      </c>
      <c r="AH36">
        <f>IF( COUNTIF('Raw Data'!$A$3:$A$2927,$A36)=0,0,SUMIF('Raw Data'!$A$3:$A$2927, $A36,'Raw Data'!AG$3:AG$2927) / COUNTIF('Raw Data'!$A$3:$A$2927,$A36))</f>
        <v>1</v>
      </c>
      <c r="AI36">
        <f>IF( COUNTIF('Raw Data'!$A$3:$A$2927,$A36)=0,0,SUMIF('Raw Data'!$A$3:$A$2927, $A36,'Raw Data'!AH$3:AH$2927) / COUNTIF('Raw Data'!$A$3:$A$2927,$A36))</f>
        <v>0.55555555555555558</v>
      </c>
      <c r="AJ36" s="117">
        <f>COUNTIF('Raw Data'!A$3:A$2927, $A36)</f>
        <v>9</v>
      </c>
      <c r="AK36">
        <f t="shared" si="6"/>
        <v>-0.61111111111111105</v>
      </c>
      <c r="AL36">
        <f t="shared" si="7"/>
        <v>-0.49999999999999989</v>
      </c>
      <c r="AM36">
        <f t="shared" si="8"/>
        <v>-0.55222222222222217</v>
      </c>
      <c r="AN36">
        <f t="shared" si="5"/>
        <v>-0.61111111111111105</v>
      </c>
      <c r="AU36">
        <v>4946</v>
      </c>
      <c r="AV36">
        <v>23</v>
      </c>
      <c r="AX36">
        <v>6070</v>
      </c>
      <c r="AY36">
        <v>43</v>
      </c>
    </row>
    <row r="37" spans="1:51">
      <c r="A37">
        <v>4903</v>
      </c>
      <c r="B37" t="s">
        <v>452</v>
      </c>
      <c r="C37">
        <f t="shared" si="0"/>
        <v>0</v>
      </c>
      <c r="D37">
        <f t="shared" si="1"/>
        <v>0</v>
      </c>
      <c r="E37">
        <f>IF( COUNTIF('Raw Data'!$A$3:$A$2927,$A37)=0,0,SUMIF('Raw Data'!$A$3:$A$2927, $A37,'Raw Data'!D$3:D$2927) / COUNTIF('Raw Data'!$A$3:$A$2927,$A37))</f>
        <v>0</v>
      </c>
      <c r="F37">
        <f>MAX(IF('Raw Data'!$A$3:$A$927=$A37, 'Raw Data'!$O$3:$O$927))</f>
        <v>0</v>
      </c>
      <c r="G37">
        <f>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MAX(IF('Raw Data'!$A$3:$A$927=$A37, 'Raw Data'!$N$3:$N$927))</f>
        <v>0</v>
      </c>
      <c r="M37">
        <f>IF( COUNTIF('Raw Data'!$A$3:$A$2927,$A37)=0,0,SUMIF('Raw Data'!$A$3:$A$2927, $A37,'Raw Data'!J$3:J$2927) / COUNTIF('Raw Data'!$A$3:$A$2927,$A37))</f>
        <v>0</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MAX(IF('Raw Data'!$A$3:$A$927=$A37, 'Raw Data'!$Z$3:$Z$927))</f>
        <v>0</v>
      </c>
      <c r="R37">
        <f>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0</v>
      </c>
      <c r="AC37">
        <f>IF( COUNTIF('Raw Data'!$A$3:$A$2927,$A37)=0,0,SUMIF('Raw Data'!$A$3:$A$2927, $A37,'Raw Data'!AB$3:AB$2927) / COUNTIF('Raw Data'!$A$3:$A$2927,$A37))</f>
        <v>0</v>
      </c>
      <c r="AD37">
        <f>IF( COUNTIF('Raw Data'!$A$3:$A$2927,$A37)=0,0,SUMIF('Raw Data'!$A$3:$A$2927, $A37,'Raw Data'!AC$3:AC$2927) / COUNTIF('Raw Data'!$A$3:$A$2927,$A37))</f>
        <v>0</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0</v>
      </c>
      <c r="AI37">
        <f>IF( COUNTIF('Raw Data'!$A$3:$A$2927,$A37)=0,0,SUMIF('Raw Data'!$A$3:$A$2927, $A37,'Raw Data'!AH$3:AH$2927) / COUNTIF('Raw Data'!$A$3:$A$2927,$A37))</f>
        <v>0</v>
      </c>
      <c r="AJ37" s="117">
        <f>COUNTIF('Raw Data'!A$3:A$2927, $A37)</f>
        <v>0</v>
      </c>
      <c r="AK37">
        <f t="shared" si="6"/>
        <v>-21</v>
      </c>
      <c r="AL37">
        <f t="shared" si="7"/>
        <v>-1.5</v>
      </c>
      <c r="AM37">
        <f t="shared" si="8"/>
        <v>-1</v>
      </c>
      <c r="AN37">
        <f t="shared" si="5"/>
        <v>-21</v>
      </c>
      <c r="AU37">
        <v>188</v>
      </c>
      <c r="AV37">
        <v>24</v>
      </c>
      <c r="AX37">
        <v>5885</v>
      </c>
      <c r="AY37">
        <v>45</v>
      </c>
    </row>
    <row r="38" spans="1:51">
      <c r="A38">
        <v>4907</v>
      </c>
      <c r="B38" t="s">
        <v>213</v>
      </c>
      <c r="C38">
        <f t="shared" si="0"/>
        <v>15</v>
      </c>
      <c r="D38">
        <f t="shared" si="1"/>
        <v>1.5999999999999999</v>
      </c>
      <c r="E38">
        <f>IF( COUNTIF('Raw Data'!$A$3:$A$2927,$A38)=0,0,SUMIF('Raw Data'!$A$3:$A$2927, $A38,'Raw Data'!D$3:D$2927) / COUNTIF('Raw Data'!$A$3:$A$2927,$A38))</f>
        <v>1.1000000000000001</v>
      </c>
      <c r="F38">
        <f>MAX(IF('Raw Data'!$A$3:$A$927=$A38, 'Raw Data'!$O$3:$O$927))</f>
        <v>0</v>
      </c>
      <c r="G38">
        <f>MAX(IF('Raw Data'!$A$3:$A$927=$A38, 'Raw Data'!$I$3:$I$927))</f>
        <v>0</v>
      </c>
      <c r="H38">
        <f>IF( COUNTIF('Raw Data'!$A$3:$A$2927,$A38)=0,0,SUMIF('Raw Data'!$A$3:$A$2927, $A38,'Raw Data'!E$3:E$2927) / COUNTIF('Raw Data'!$A$3:$A$2927,$A38))</f>
        <v>0.1</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0.1</v>
      </c>
      <c r="L38">
        <f>MAX(IF('Raw Data'!$A$3:$A$927=$A38, 'Raw Data'!$N$3:$N$927))</f>
        <v>0</v>
      </c>
      <c r="M38">
        <f>IF( COUNTIF('Raw Data'!$A$3:$A$2927,$A38)=0,0,SUMIF('Raw Data'!$A$3:$A$2927, $A38,'Raw Data'!J$3:J$2927) / COUNTIF('Raw Data'!$A$3:$A$2927,$A38))</f>
        <v>0</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MAX(IF('Raw Data'!$A$3:$A$927=$A38, 'Raw Data'!$Z$3:$Z$927))</f>
        <v>0</v>
      </c>
      <c r="R38">
        <f>MAX(IF('Raw Data'!$A$3:$A$927=$A38, 'Raw Data'!$T$3:$T$927))</f>
        <v>0</v>
      </c>
      <c r="S38">
        <f>IF( COUNTIF('Raw Data'!$A$3:$A$2927,$A38)=0,0,SUMIF('Raw Data'!$A$3:$A$2927, $A38,'Raw Data'!P$3:P$2927) / COUNTIF('Raw Data'!$A$3:$A$2927,$A38))</f>
        <v>0.6</v>
      </c>
      <c r="T38">
        <f>IF( COUNTIF('Raw Data'!$A$3:$A$2927,$A38)=0,0,SUMIF('Raw Data'!$A$3:$A$2927, $A38,'Raw Data'!Q$3:Q$2927) / COUNTIF('Raw Data'!$A$3:$A$2927,$A38))</f>
        <v>0.1</v>
      </c>
      <c r="U38">
        <f>IF( COUNTIF('Raw Data'!$A$3:$A$2927,$A38)=0,0,SUMIF('Raw Data'!$A$3:$A$2927, $A38,'Raw Data'!R$3:R$2927) / COUNTIF('Raw Data'!$A$3:$A$2927,$A38))</f>
        <v>0.2</v>
      </c>
      <c r="V38">
        <f>IF( COUNTIF('Raw Data'!$A$3:$A$2927,$A38)=0,0,SUMIF('Raw Data'!$A$3:$A$2927, $A38,'Raw Data'!S$3:S$2927) / COUNTIF('Raw Data'!$A$3:$A$2927,$A38))</f>
        <v>0.4</v>
      </c>
      <c r="W38">
        <f>MAX(IF('Raw Data'!$A$3:$A$927=$A38, 'Raw Data'!$Y$3:$Y$927))</f>
        <v>0</v>
      </c>
      <c r="X38">
        <f>IF( COUNTIF('Raw Data'!$A$3:$A$2927,$A38)=0,0,SUMIF('Raw Data'!$A$3:$A$2927, $A38,'Raw Data'!U$3:U$2927) / COUNTIF('Raw Data'!$A$3:$A$2927,$A38))</f>
        <v>0</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2.5</v>
      </c>
      <c r="AE38" s="117">
        <f>IF( COUNTIF('Raw Data'!$A$3:$A$2927,$A38)=0,0,SUMIF('Raw Data'!$A$3:$A$2927, $A38,'Raw Data'!AD$3:AD$2927) / COUNTIF('Raw Data'!$A$3:$A$2927,$A38))</f>
        <v>0</v>
      </c>
      <c r="AF38">
        <f>IF( COUNTIF('Raw Data'!$A$3:$A$2927,$A38)=0,0,SUMIF('Raw Data'!$A$3:$A$2927, $A38,'Raw Data'!AE$3:AE$2927) / COUNTIF('Raw Data'!$A$3:$A$2927,$A38))</f>
        <v>0</v>
      </c>
      <c r="AG38">
        <f>IF( COUNTIF('Raw Data'!$A$3:$A$2927,$A38)=0,0,SUMIF('Raw Data'!$A$3:$A$2927, $A38,'Raw Data'!AF$3:AF$2927) / COUNTIF('Raw Data'!$A$3:$A$2927,$A38))</f>
        <v>0</v>
      </c>
      <c r="AH38">
        <f>IF( COUNTIF('Raw Data'!$A$3:$A$2927,$A38)=0,0,SUMIF('Raw Data'!$A$3:$A$2927, $A38,'Raw Data'!AG$3:AG$2927) / COUNTIF('Raw Data'!$A$3:$A$2927,$A38))</f>
        <v>0.3</v>
      </c>
      <c r="AI38">
        <f>IF( COUNTIF('Raw Data'!$A$3:$A$2927,$A38)=0,0,SUMIF('Raw Data'!$A$3:$A$2927, $A38,'Raw Data'!AH$3:AH$2927) / COUNTIF('Raw Data'!$A$3:$A$2927,$A38))</f>
        <v>0.8</v>
      </c>
      <c r="AJ38" s="117">
        <f>COUNTIF('Raw Data'!A$3:A$2927, $A38)</f>
        <v>10</v>
      </c>
      <c r="AK38">
        <f t="shared" si="6"/>
        <v>7.1</v>
      </c>
      <c r="AL38">
        <f t="shared" si="7"/>
        <v>0.19999999999999996</v>
      </c>
      <c r="AM38">
        <f t="shared" si="8"/>
        <v>-9.9000000000000005E-2</v>
      </c>
      <c r="AN38">
        <f t="shared" si="5"/>
        <v>6</v>
      </c>
      <c r="AU38">
        <v>5036</v>
      </c>
      <c r="AV38">
        <v>27</v>
      </c>
      <c r="AX38">
        <v>2386</v>
      </c>
      <c r="AY38">
        <v>49</v>
      </c>
    </row>
    <row r="39" spans="1:51">
      <c r="A39">
        <v>4932</v>
      </c>
      <c r="B39" t="s">
        <v>453</v>
      </c>
      <c r="C39">
        <f t="shared" si="0"/>
        <v>0</v>
      </c>
      <c r="D39">
        <f t="shared" si="1"/>
        <v>0</v>
      </c>
      <c r="E39">
        <f>IF( COUNTIF('Raw Data'!$A$3:$A$2927,$A39)=0,0,SUMIF('Raw Data'!$A$3:$A$2927, $A39,'Raw Data'!D$3:D$2927) / COUNTIF('Raw Data'!$A$3:$A$2927,$A39))</f>
        <v>0</v>
      </c>
      <c r="F39">
        <f>MAX(IF('Raw Data'!$A$3:$A$927=$A39, 'Raw Data'!$O$3:$O$927))</f>
        <v>0</v>
      </c>
      <c r="G39">
        <f>MAX(IF('Raw Data'!$A$3:$A$927=$A39, 'Raw Data'!$I$3:$I$927))</f>
        <v>0</v>
      </c>
      <c r="H39">
        <f>IF( COUNTIF('Raw Data'!$A$3:$A$2927,$A39)=0,0,SUMIF('Raw Data'!$A$3:$A$2927, $A39,'Raw Data'!E$3:E$2927) / COUNTIF('Raw Data'!$A$3:$A$2927,$A39))</f>
        <v>0</v>
      </c>
      <c r="I39">
        <f>IF( COUNTIF('Raw Data'!$A$3:$A$2927,$A39)=0,0,SUMIF('Raw Data'!$A$3:$A$2927, $A39,'Raw Data'!F$3:F$2927) / COUNTIF('Raw Data'!$A$3:$A$2927,$A39))</f>
        <v>0</v>
      </c>
      <c r="J39">
        <f>IF( COUNTIF('Raw Data'!$A$3:$A$2927,$A39)=0,0,SUMIF('Raw Data'!$A$3:$A$2927, $A39,'Raw Data'!G$3:G$2927) / COUNTIF('Raw Data'!$A$3:$A$2927,$A39))</f>
        <v>0</v>
      </c>
      <c r="K39">
        <f>IF( COUNTIF('Raw Data'!$A$3:$A$2927,$A39)=0,0,SUMIF('Raw Data'!$A$3:$A$2927, $A39,'Raw Data'!H$3:H$2927) / COUNTIF('Raw Data'!$A$3:$A$2927,$A39))</f>
        <v>0</v>
      </c>
      <c r="L39">
        <f>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MAX(IF('Raw Data'!$A$3:$A$927=$A39, 'Raw Data'!$Z$3:$Z$927))</f>
        <v>0</v>
      </c>
      <c r="R39">
        <f>MAX(IF('Raw Data'!$A$3:$A$927=$A39, 'Raw Data'!$T$3:$T$927))</f>
        <v>0</v>
      </c>
      <c r="S39">
        <f>IF( COUNTIF('Raw Data'!$A$3:$A$2927,$A39)=0,0,SUMIF('Raw Data'!$A$3:$A$2927, $A39,'Raw Data'!P$3:P$2927) / COUNTIF('Raw Data'!$A$3:$A$2927,$A39))</f>
        <v>0</v>
      </c>
      <c r="T39">
        <f>IF( COUNTIF('Raw Data'!$A$3:$A$2927,$A39)=0,0,SUMIF('Raw Data'!$A$3:$A$2927, $A39,'Raw Data'!Q$3:Q$2927) / COUNTIF('Raw Data'!$A$3:$A$2927,$A39))</f>
        <v>0</v>
      </c>
      <c r="U39">
        <f>IF( COUNTIF('Raw Data'!$A$3:$A$2927,$A39)=0,0,SUMIF('Raw Data'!$A$3:$A$2927, $A39,'Raw Data'!R$3:R$2927) / COUNTIF('Raw Data'!$A$3:$A$2927,$A39))</f>
        <v>0</v>
      </c>
      <c r="V39">
        <f>IF( COUNTIF('Raw Data'!$A$3:$A$2927,$A39)=0,0,SUMIF('Raw Data'!$A$3:$A$2927, $A39,'Raw Data'!S$3:S$2927) / COUNTIF('Raw Data'!$A$3:$A$2927,$A39))</f>
        <v>0</v>
      </c>
      <c r="W39">
        <f>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0</v>
      </c>
      <c r="AC39">
        <f>IF( COUNTIF('Raw Data'!$A$3:$A$2927,$A39)=0,0,SUMIF('Raw Data'!$A$3:$A$2927, $A39,'Raw Data'!AB$3:AB$2927) / COUNTIF('Raw Data'!$A$3:$A$2927,$A39))</f>
        <v>0</v>
      </c>
      <c r="AD39">
        <f>IF( COUNTIF('Raw Data'!$A$3:$A$2927,$A39)=0,0,SUMIF('Raw Data'!$A$3:$A$2927, $A39,'Raw Data'!AC$3:AC$2927) / COUNTIF('Raw Data'!$A$3:$A$2927,$A39))</f>
        <v>0</v>
      </c>
      <c r="AE39" s="117">
        <f>IF( COUNTIF('Raw Data'!$A$3:$A$2927,$A39)=0,0,SUMIF('Raw Data'!$A$3:$A$2927, $A39,'Raw Data'!AD$3:AD$2927) / COUNTIF('Raw Data'!$A$3:$A$2927,$A39))</f>
        <v>0</v>
      </c>
      <c r="AF39">
        <f>IF( COUNTIF('Raw Data'!$A$3:$A$2927,$A39)=0,0,SUMIF('Raw Data'!$A$3:$A$2927, $A39,'Raw Data'!AE$3:AE$2927) / COUNTIF('Raw Data'!$A$3:$A$2927,$A39))</f>
        <v>0</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0</v>
      </c>
      <c r="AJ39" s="117">
        <f>COUNTIF('Raw Data'!A$3:A$2927, $A39)</f>
        <v>0</v>
      </c>
      <c r="AK39">
        <f t="shared" si="6"/>
        <v>-21</v>
      </c>
      <c r="AL39">
        <f t="shared" si="7"/>
        <v>-1.5</v>
      </c>
      <c r="AM39">
        <f t="shared" si="8"/>
        <v>-1</v>
      </c>
      <c r="AN39">
        <f t="shared" si="5"/>
        <v>-21</v>
      </c>
      <c r="AX39">
        <v>4936</v>
      </c>
      <c r="AY39">
        <v>50</v>
      </c>
    </row>
    <row r="40" spans="1:51">
      <c r="A40">
        <v>4936</v>
      </c>
      <c r="B40" t="s">
        <v>214</v>
      </c>
      <c r="C40">
        <f t="shared" si="0"/>
        <v>14.875</v>
      </c>
      <c r="D40">
        <f t="shared" si="1"/>
        <v>8.125</v>
      </c>
      <c r="E40">
        <f>IF( COUNTIF('Raw Data'!$A$3:$A$2927,$A40)=0,0,SUMIF('Raw Data'!$A$3:$A$2927, $A40,'Raw Data'!D$3:D$2927) / COUNTIF('Raw Data'!$A$3:$A$2927,$A40))</f>
        <v>1.5</v>
      </c>
      <c r="F40">
        <f>MAX(IF('Raw Data'!$A$3:$A$927=$A40, 'Raw Data'!$O$3:$O$927))</f>
        <v>0</v>
      </c>
      <c r="G40">
        <f>MAX(IF('Raw Data'!$A$3:$A$927=$A40, 'Raw Data'!$I$3:$I$927))</f>
        <v>0</v>
      </c>
      <c r="H40">
        <f>IF( COUNTIF('Raw Data'!$A$3:$A$2927,$A40)=0,0,SUMIF('Raw Data'!$A$3:$A$2927, $A40,'Raw Data'!E$3:E$2927) / COUNTIF('Raw Data'!$A$3:$A$2927,$A40))</f>
        <v>0</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MAX(IF('Raw Data'!$A$3:$A$927=$A40, 'Raw Data'!$Z$3:$Z$927))</f>
        <v>0</v>
      </c>
      <c r="R40">
        <f>MAX(IF('Raw Data'!$A$3:$A$927=$A40, 'Raw Data'!$T$3:$T$927))</f>
        <v>0</v>
      </c>
      <c r="S40">
        <f>IF( COUNTIF('Raw Data'!$A$3:$A$2927,$A40)=0,0,SUMIF('Raw Data'!$A$3:$A$2927, $A40,'Raw Data'!P$3:P$2927) / COUNTIF('Raw Data'!$A$3:$A$2927,$A40))</f>
        <v>2.125</v>
      </c>
      <c r="T40">
        <f>IF( COUNTIF('Raw Data'!$A$3:$A$2927,$A40)=0,0,SUMIF('Raw Data'!$A$3:$A$2927, $A40,'Raw Data'!Q$3:Q$2927) / COUNTIF('Raw Data'!$A$3:$A$2927,$A40))</f>
        <v>0.25</v>
      </c>
      <c r="U40">
        <f>IF( COUNTIF('Raw Data'!$A$3:$A$2927,$A40)=0,0,SUMIF('Raw Data'!$A$3:$A$2927, $A40,'Raw Data'!R$3:R$2927) / COUNTIF('Raw Data'!$A$3:$A$2927,$A40))</f>
        <v>0</v>
      </c>
      <c r="V40">
        <f>IF( COUNTIF('Raw Data'!$A$3:$A$2927,$A40)=0,0,SUMIF('Raw Data'!$A$3:$A$2927, $A40,'Raw Data'!S$3:S$2927) / COUNTIF('Raw Data'!$A$3:$A$2927,$A40))</f>
        <v>0</v>
      </c>
      <c r="W40">
        <f>MAX(IF('Raw Data'!$A$3:$A$927=$A40, 'Raw Data'!$Y$3:$Y$927))</f>
        <v>0</v>
      </c>
      <c r="X40">
        <f>IF( COUNTIF('Raw Data'!$A$3:$A$2927,$A40)=0,0,SUMIF('Raw Data'!$A$3:$A$2927, $A40,'Raw Data'!U$3:U$2927) / COUNTIF('Raw Data'!$A$3:$A$2927,$A40))</f>
        <v>1</v>
      </c>
      <c r="Y40">
        <f>IF( COUNTIF('Raw Data'!$A$3:$A$2927,$A40)=0,0,SUMIF('Raw Data'!$A$3:$A$2927, $A40,'Raw Data'!V$3:V$2927) / COUNTIF('Raw Data'!$A$3:$A$2927,$A40))</f>
        <v>0.125</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0</v>
      </c>
      <c r="AC40">
        <f>IF( COUNTIF('Raw Data'!$A$3:$A$2927,$A40)=0,0,SUMIF('Raw Data'!$A$3:$A$2927, $A40,'Raw Data'!AB$3:AB$2927) / COUNTIF('Raw Data'!$A$3:$A$2927,$A40))</f>
        <v>0</v>
      </c>
      <c r="AD40">
        <f>IF( COUNTIF('Raw Data'!$A$3:$A$2927,$A40)=0,0,SUMIF('Raw Data'!$A$3:$A$2927, $A40,'Raw Data'!AC$3:AC$2927) / COUNTIF('Raw Data'!$A$3:$A$2927,$A40))</f>
        <v>0.875</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0.375</v>
      </c>
      <c r="AI40">
        <f>IF( COUNTIF('Raw Data'!$A$3:$A$2927,$A40)=0,0,SUMIF('Raw Data'!$A$3:$A$2927, $A40,'Raw Data'!AH$3:AH$2927) / COUNTIF('Raw Data'!$A$3:$A$2927,$A40))</f>
        <v>0.625</v>
      </c>
      <c r="AJ40" s="117">
        <f>COUNTIF('Raw Data'!A$3:A$2927, $A40)</f>
        <v>8</v>
      </c>
      <c r="AK40">
        <f t="shared" si="6"/>
        <v>1.6800000000000002</v>
      </c>
      <c r="AL40">
        <f t="shared" si="7"/>
        <v>0.9375</v>
      </c>
      <c r="AM40">
        <f t="shared" si="8"/>
        <v>1.00125</v>
      </c>
      <c r="AN40">
        <f t="shared" si="5"/>
        <v>1.6800000000000002</v>
      </c>
      <c r="AX40">
        <v>6110</v>
      </c>
      <c r="AY40">
        <v>59</v>
      </c>
    </row>
    <row r="41" spans="1:51">
      <c r="A41">
        <v>4938</v>
      </c>
      <c r="B41" t="s">
        <v>454</v>
      </c>
      <c r="C41">
        <f t="shared" si="0"/>
        <v>0</v>
      </c>
      <c r="D41">
        <f t="shared" si="1"/>
        <v>0</v>
      </c>
      <c r="E41">
        <f>IF( COUNTIF('Raw Data'!$A$3:$A$2927,$A41)=0,0,SUMIF('Raw Data'!$A$3:$A$2927, $A41,'Raw Data'!D$3:D$2927) / COUNTIF('Raw Data'!$A$3:$A$2927,$A41))</f>
        <v>0</v>
      </c>
      <c r="F41">
        <f>MAX(IF('Raw Data'!$A$3:$A$927=$A41, 'Raw Data'!$O$3:$O$927))</f>
        <v>0</v>
      </c>
      <c r="G41">
        <f>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MAX(IF('Raw Data'!$A$3:$A$927=$A41, 'Raw Data'!$Z$3:$Z$927))</f>
        <v>0</v>
      </c>
      <c r="R41">
        <f>MAX(IF('Raw Data'!$A$3:$A$927=$A41, 'Raw Data'!$T$3:$T$927))</f>
        <v>0</v>
      </c>
      <c r="S41">
        <f>IF( COUNTIF('Raw Data'!$A$3:$A$2927,$A41)=0,0,SUMIF('Raw Data'!$A$3:$A$2927, $A41,'Raw Data'!P$3:P$2927) / COUNTIF('Raw Data'!$A$3:$A$2927,$A41))</f>
        <v>0</v>
      </c>
      <c r="T41">
        <f>IF( COUNTIF('Raw Data'!$A$3:$A$2927,$A41)=0,0,SUMIF('Raw Data'!$A$3:$A$2927, $A41,'Raw Data'!Q$3:Q$2927) / COUNTIF('Raw Data'!$A$3:$A$2927,$A41))</f>
        <v>0</v>
      </c>
      <c r="U41">
        <f>IF( COUNTIF('Raw Data'!$A$3:$A$2927,$A41)=0,0,SUMIF('Raw Data'!$A$3:$A$2927, $A41,'Raw Data'!R$3:R$2927) / COUNTIF('Raw Data'!$A$3:$A$2927,$A41))</f>
        <v>0</v>
      </c>
      <c r="V41">
        <f>IF( COUNTIF('Raw Data'!$A$3:$A$2927,$A41)=0,0,SUMIF('Raw Data'!$A$3:$A$2927, $A41,'Raw Data'!S$3:S$2927) / COUNTIF('Raw Data'!$A$3:$A$2927,$A41))</f>
        <v>0</v>
      </c>
      <c r="W41">
        <f>MAX(IF('Raw Data'!$A$3:$A$927=$A41, 'Raw Data'!$Y$3:$Y$927))</f>
        <v>0</v>
      </c>
      <c r="X41">
        <f>IF( COUNTIF('Raw Data'!$A$3:$A$2927,$A41)=0,0,SUMIF('Raw Data'!$A$3:$A$2927, $A41,'Raw Data'!U$3:U$2927) / COUNTIF('Raw Data'!$A$3:$A$2927,$A41))</f>
        <v>0</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0</v>
      </c>
      <c r="AC41">
        <f>IF( COUNTIF('Raw Data'!$A$3:$A$2927,$A41)=0,0,SUMIF('Raw Data'!$A$3:$A$2927, $A41,'Raw Data'!AB$3:AB$2927) / COUNTIF('Raw Data'!$A$3:$A$2927,$A41))</f>
        <v>0</v>
      </c>
      <c r="AD41">
        <f>IF( COUNTIF('Raw Data'!$A$3:$A$2927,$A41)=0,0,SUMIF('Raw Data'!$A$3:$A$2927, $A41,'Raw Data'!AC$3:AC$2927) / COUNTIF('Raw Data'!$A$3:$A$2927,$A41))</f>
        <v>0</v>
      </c>
      <c r="AE41" s="117">
        <f>IF( COUNTIF('Raw Data'!$A$3:$A$2927,$A41)=0,0,SUMIF('Raw Data'!$A$3:$A$2927, $A41,'Raw Data'!AD$3:AD$2927) / COUNTIF('Raw Data'!$A$3:$A$2927,$A41))</f>
        <v>0</v>
      </c>
      <c r="AF41">
        <f>IF( COUNTIF('Raw Data'!$A$3:$A$2927,$A41)=0,0,SUMIF('Raw Data'!$A$3:$A$2927, $A41,'Raw Data'!AE$3:AE$2927) / COUNTIF('Raw Data'!$A$3:$A$2927,$A41))</f>
        <v>0</v>
      </c>
      <c r="AG41">
        <f>IF( COUNTIF('Raw Data'!$A$3:$A$2927,$A41)=0,0,SUMIF('Raw Data'!$A$3:$A$2927, $A41,'Raw Data'!AF$3:AF$2927) / COUNTIF('Raw Data'!$A$3:$A$2927,$A41))</f>
        <v>0</v>
      </c>
      <c r="AH41">
        <f>IF( COUNTIF('Raw Data'!$A$3:$A$2927,$A41)=0,0,SUMIF('Raw Data'!$A$3:$A$2927, $A41,'Raw Data'!AG$3:AG$2927) / COUNTIF('Raw Data'!$A$3:$A$2927,$A41))</f>
        <v>0</v>
      </c>
      <c r="AI41">
        <f>IF( COUNTIF('Raw Data'!$A$3:$A$2927,$A41)=0,0,SUMIF('Raw Data'!$A$3:$A$2927, $A41,'Raw Data'!AH$3:AH$2927) / COUNTIF('Raw Data'!$A$3:$A$2927,$A41))</f>
        <v>0</v>
      </c>
      <c r="AJ41" s="117">
        <f>COUNTIF('Raw Data'!A$3:A$2927, $A41)</f>
        <v>0</v>
      </c>
      <c r="AK41">
        <f t="shared" si="6"/>
        <v>-21</v>
      </c>
      <c r="AL41">
        <f t="shared" si="7"/>
        <v>-1.5</v>
      </c>
      <c r="AM41">
        <f t="shared" si="8"/>
        <v>-1</v>
      </c>
      <c r="AN41">
        <f t="shared" si="5"/>
        <v>-21</v>
      </c>
    </row>
    <row r="42" spans="1:51">
      <c r="A42">
        <v>4939</v>
      </c>
      <c r="B42" t="s">
        <v>424</v>
      </c>
      <c r="C42">
        <f t="shared" si="0"/>
        <v>0</v>
      </c>
      <c r="D42">
        <f t="shared" si="1"/>
        <v>0</v>
      </c>
      <c r="E42">
        <f>IF( COUNTIF('Raw Data'!$A$3:$A$2927,$A42)=0,0,SUMIF('Raw Data'!$A$3:$A$2927, $A42,'Raw Data'!D$3:D$2927) / COUNTIF('Raw Data'!$A$3:$A$2927,$A42))</f>
        <v>0</v>
      </c>
      <c r="F42">
        <f>MAX(IF('Raw Data'!$A$3:$A$927=$A42, 'Raw Data'!$O$3:$O$927))</f>
        <v>0</v>
      </c>
      <c r="G42">
        <f>MAX(IF('Raw Data'!$A$3:$A$927=$A42, 'Raw Data'!$I$3:$I$927))</f>
        <v>0</v>
      </c>
      <c r="H42">
        <f>IF( COUNTIF('Raw Data'!$A$3:$A$2927,$A42)=0,0,SUMIF('Raw Data'!$A$3:$A$2927, $A42,'Raw Data'!E$3:E$2927) / COUNTIF('Raw Data'!$A$3:$A$2927,$A42))</f>
        <v>0</v>
      </c>
      <c r="I42">
        <f>IF( COUNTIF('Raw Data'!$A$3:$A$2927,$A42)=0,0,SUMIF('Raw Data'!$A$3:$A$2927, $A42,'Raw Data'!F$3:F$2927) / COUNTIF('Raw Data'!$A$3:$A$2927,$A42))</f>
        <v>0</v>
      </c>
      <c r="J42">
        <f>IF( COUNTIF('Raw Data'!$A$3:$A$2927,$A42)=0,0,SUMIF('Raw Data'!$A$3:$A$2927, $A42,'Raw Data'!G$3:G$2927) / COUNTIF('Raw Data'!$A$3:$A$2927,$A42))</f>
        <v>0</v>
      </c>
      <c r="K42">
        <f>IF( COUNTIF('Raw Data'!$A$3:$A$2927,$A42)=0,0,SUMIF('Raw Data'!$A$3:$A$2927, $A42,'Raw Data'!H$3:H$2927) / COUNTIF('Raw Data'!$A$3:$A$2927,$A42))</f>
        <v>0</v>
      </c>
      <c r="L42">
        <f>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MAX(IF('Raw Data'!$A$3:$A$927=$A42, 'Raw Data'!$Z$3:$Z$927))</f>
        <v>0</v>
      </c>
      <c r="R42">
        <f>MAX(IF('Raw Data'!$A$3:$A$927=$A42, 'Raw Data'!$T$3:$T$927))</f>
        <v>0</v>
      </c>
      <c r="S42">
        <f>IF( COUNTIF('Raw Data'!$A$3:$A$2927,$A42)=0,0,SUMIF('Raw Data'!$A$3:$A$2927, $A42,'Raw Data'!P$3:P$2927) / COUNTIF('Raw Data'!$A$3:$A$2927,$A42))</f>
        <v>0</v>
      </c>
      <c r="T42">
        <f>IF( COUNTIF('Raw Data'!$A$3:$A$2927,$A42)=0,0,SUMIF('Raw Data'!$A$3:$A$2927, $A42,'Raw Data'!Q$3:Q$2927) / COUNTIF('Raw Data'!$A$3:$A$2927,$A42))</f>
        <v>0</v>
      </c>
      <c r="U42">
        <f>IF( COUNTIF('Raw Data'!$A$3:$A$2927,$A42)=0,0,SUMIF('Raw Data'!$A$3:$A$2927, $A42,'Raw Data'!R$3:R$2927) / COUNTIF('Raw Data'!$A$3:$A$2927,$A42))</f>
        <v>0</v>
      </c>
      <c r="V42">
        <f>IF( COUNTIF('Raw Data'!$A$3:$A$2927,$A42)=0,0,SUMIF('Raw Data'!$A$3:$A$2927, $A42,'Raw Data'!S$3:S$2927) / COUNTIF('Raw Data'!$A$3:$A$2927,$A42))</f>
        <v>0</v>
      </c>
      <c r="W42">
        <f>MAX(IF('Raw Data'!$A$3:$A$927=$A42, 'Raw Data'!$Y$3:$Y$927))</f>
        <v>0</v>
      </c>
      <c r="X42">
        <f>IF( COUNTIF('Raw Data'!$A$3:$A$2927,$A42)=0,0,SUMIF('Raw Data'!$A$3:$A$2927, $A42,'Raw Data'!U$3:U$2927) / COUNTIF('Raw Data'!$A$3:$A$2927,$A42))</f>
        <v>0</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0</v>
      </c>
      <c r="AC42">
        <f>IF( COUNTIF('Raw Data'!$A$3:$A$2927,$A42)=0,0,SUMIF('Raw Data'!$A$3:$A$2927, $A42,'Raw Data'!AB$3:AB$2927) / COUNTIF('Raw Data'!$A$3:$A$2927,$A42))</f>
        <v>0</v>
      </c>
      <c r="AD42">
        <f>IF( COUNTIF('Raw Data'!$A$3:$A$2927,$A42)=0,0,SUMIF('Raw Data'!$A$3:$A$2927, $A42,'Raw Data'!AC$3:AC$2927) / COUNTIF('Raw Data'!$A$3:$A$2927,$A42))</f>
        <v>0</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v>
      </c>
      <c r="AI42">
        <f>IF( COUNTIF('Raw Data'!$A$3:$A$2927,$A42)=0,0,SUMIF('Raw Data'!$A$3:$A$2927, $A42,'Raw Data'!AH$3:AH$2927) / COUNTIF('Raw Data'!$A$3:$A$2927,$A42))</f>
        <v>0</v>
      </c>
      <c r="AJ42" s="117">
        <f>COUNTIF('Raw Data'!A$3:A$2927, $A42)</f>
        <v>0</v>
      </c>
      <c r="AK42">
        <f t="shared" si="6"/>
        <v>-21</v>
      </c>
      <c r="AL42">
        <f t="shared" si="7"/>
        <v>-1.5</v>
      </c>
      <c r="AM42">
        <f t="shared" si="8"/>
        <v>-1</v>
      </c>
      <c r="AN42">
        <f t="shared" si="5"/>
        <v>-21</v>
      </c>
    </row>
    <row r="43" spans="1:51">
      <c r="A43">
        <v>4946</v>
      </c>
      <c r="B43" t="s">
        <v>215</v>
      </c>
      <c r="C43">
        <f t="shared" si="0"/>
        <v>14.888888888888889</v>
      </c>
      <c r="D43">
        <f t="shared" si="1"/>
        <v>8.1111111111111107</v>
      </c>
      <c r="E43">
        <f>IF( COUNTIF('Raw Data'!$A$3:$A$2927,$A43)=0,0,SUMIF('Raw Data'!$A$3:$A$2927, $A43,'Raw Data'!D$3:D$2927) / COUNTIF('Raw Data'!$A$3:$A$2927,$A43))</f>
        <v>1.1111111111111112</v>
      </c>
      <c r="F43">
        <f>MAX(IF('Raw Data'!$A$3:$A$927=$A43, 'Raw Data'!$O$3:$O$927))</f>
        <v>0</v>
      </c>
      <c r="G43">
        <f>MAX(IF('Raw Data'!$A$3:$A$927=$A43, 'Raw Data'!$I$3:$I$927))</f>
        <v>0</v>
      </c>
      <c r="H43">
        <f>IF( COUNTIF('Raw Data'!$A$3:$A$2927,$A43)=0,0,SUMIF('Raw Data'!$A$3:$A$2927, $A43,'Raw Data'!E$3:E$2927) / COUNTIF('Raw Data'!$A$3:$A$2927,$A43))</f>
        <v>0.55555555555555558</v>
      </c>
      <c r="I43">
        <f>IF( COUNTIF('Raw Data'!$A$3:$A$2927,$A43)=0,0,SUMIF('Raw Data'!$A$3:$A$2927, $A43,'Raw Data'!F$3:F$2927) / COUNTIF('Raw Data'!$A$3:$A$2927,$A43))</f>
        <v>0.1111111111111111</v>
      </c>
      <c r="J43">
        <f>IF( COUNTIF('Raw Data'!$A$3:$A$2927,$A43)=0,0,SUMIF('Raw Data'!$A$3:$A$2927, $A43,'Raw Data'!G$3:G$2927) / COUNTIF('Raw Data'!$A$3:$A$2927,$A43))</f>
        <v>0</v>
      </c>
      <c r="K43">
        <f>IF( COUNTIF('Raw Data'!$A$3:$A$2927,$A43)=0,0,SUMIF('Raw Data'!$A$3:$A$2927, $A43,'Raw Data'!H$3:H$2927) / COUNTIF('Raw Data'!$A$3:$A$2927,$A43))</f>
        <v>0</v>
      </c>
      <c r="L43">
        <f>MAX(IF('Raw Data'!$A$3:$A$927=$A43, 'Raw Data'!$N$3:$N$927))</f>
        <v>0</v>
      </c>
      <c r="M43">
        <f>IF( COUNTIF('Raw Data'!$A$3:$A$2927,$A43)=0,0,SUMIF('Raw Data'!$A$3:$A$2927, $A43,'Raw Data'!J$3:J$2927) / COUNTIF('Raw Data'!$A$3:$A$2927,$A43))</f>
        <v>0</v>
      </c>
      <c r="N43">
        <f>IF( COUNTIF('Raw Data'!$A$3:$A$2927,$A43)=0,0,SUMIF('Raw Data'!$A$3:$A$2927, $A43,'Raw Data'!K$3:K$2927) / COUNTIF('Raw Data'!$A$3:$A$2927,$A43))</f>
        <v>0</v>
      </c>
      <c r="O43">
        <f>IF( COUNTIF('Raw Data'!$A$3:$A$2927,$A43)=0,0,SUMIF('Raw Data'!$A$3:$A$2927, $A43,'Raw Data'!L$3:L$2927) / COUNTIF('Raw Data'!$A$3:$A$2927,$A43))</f>
        <v>0</v>
      </c>
      <c r="P43" s="58">
        <f>IF( COUNTIF('Raw Data'!$A$3:$A$2927,$A43)=0,0,SUMIF('Raw Data'!$A$3:$A$2927, $A43,'Raw Data'!M$3:M$2927) / COUNTIF('Raw Data'!$A$3:$A$2927,$A43))</f>
        <v>0</v>
      </c>
      <c r="Q43">
        <f>MAX(IF('Raw Data'!$A$3:$A$927=$A43, 'Raw Data'!$Z$3:$Z$927))</f>
        <v>0</v>
      </c>
      <c r="R43">
        <f>MAX(IF('Raw Data'!$A$3:$A$927=$A43, 'Raw Data'!$T$3:$T$927))</f>
        <v>0</v>
      </c>
      <c r="S43">
        <f>IF( COUNTIF('Raw Data'!$A$3:$A$2927,$A43)=0,0,SUMIF('Raw Data'!$A$3:$A$2927, $A43,'Raw Data'!P$3:P$2927) / COUNTIF('Raw Data'!$A$3:$A$2927,$A43))</f>
        <v>0.44444444444444442</v>
      </c>
      <c r="T43">
        <f>IF( COUNTIF('Raw Data'!$A$3:$A$2927,$A43)=0,0,SUMIF('Raw Data'!$A$3:$A$2927, $A43,'Raw Data'!Q$3:Q$2927) / COUNTIF('Raw Data'!$A$3:$A$2927,$A43))</f>
        <v>1.1111111111111112</v>
      </c>
      <c r="U43">
        <f>IF( COUNTIF('Raw Data'!$A$3:$A$2927,$A43)=0,0,SUMIF('Raw Data'!$A$3:$A$2927, $A43,'Raw Data'!R$3:R$2927) / COUNTIF('Raw Data'!$A$3:$A$2927,$A43))</f>
        <v>0.55555555555555558</v>
      </c>
      <c r="V43">
        <f>IF( COUNTIF('Raw Data'!$A$3:$A$2927,$A43)=0,0,SUMIF('Raw Data'!$A$3:$A$2927, $A43,'Raw Data'!S$3:S$2927) / COUNTIF('Raw Data'!$A$3:$A$2927,$A43))</f>
        <v>0.22222222222222221</v>
      </c>
      <c r="W43">
        <f>MAX(IF('Raw Data'!$A$3:$A$927=$A43, 'Raw Data'!$Y$3:$Y$927))</f>
        <v>0</v>
      </c>
      <c r="X43">
        <f>IF( COUNTIF('Raw Data'!$A$3:$A$2927,$A43)=0,0,SUMIF('Raw Data'!$A$3:$A$2927, $A43,'Raw Data'!U$3:U$2927) / COUNTIF('Raw Data'!$A$3:$A$2927,$A43))</f>
        <v>0.66666666666666663</v>
      </c>
      <c r="Y43">
        <f>IF( COUNTIF('Raw Data'!$A$3:$A$2927,$A43)=0,0,SUMIF('Raw Data'!$A$3:$A$2927, $A43,'Raw Data'!V$3:V$2927) / COUNTIF('Raw Data'!$A$3:$A$2927,$A43))</f>
        <v>0.55555555555555558</v>
      </c>
      <c r="Z43">
        <f>IF( COUNTIF('Raw Data'!$A$3:$A$2927,$A43)=0,0,SUMIF('Raw Data'!$A$3:$A$2927, $A43,'Raw Data'!W$3:W$2927) / COUNTIF('Raw Data'!$A$3:$A$2927,$A43))</f>
        <v>0.1111111111111111</v>
      </c>
      <c r="AA43">
        <f>IF( COUNTIF('Raw Data'!$A$3:$A$2927,$A43)=0,0,SUMIF('Raw Data'!$A$3:$A$2927, $A43,'Raw Data'!X$3:X$2927) / COUNTIF('Raw Data'!$A$3:$A$2927,$A43))</f>
        <v>0.22222222222222221</v>
      </c>
      <c r="AB43">
        <f>IF( COUNTIF('Raw Data'!$A$3:$A$2927,$A43)=0,0,SUMIF('Raw Data'!$A$3:$A$2927, $A43,'Raw Data'!AA$3:AA$2927) / COUNTIF('Raw Data'!$A$3:$A$2927,$A43))</f>
        <v>2.7777777777777777</v>
      </c>
      <c r="AC43">
        <f>IF( COUNTIF('Raw Data'!$A$3:$A$2927,$A43)=0,0,SUMIF('Raw Data'!$A$3:$A$2927, $A43,'Raw Data'!AB$3:AB$2927) / COUNTIF('Raw Data'!$A$3:$A$2927,$A43))</f>
        <v>0</v>
      </c>
      <c r="AD43">
        <f>IF( COUNTIF('Raw Data'!$A$3:$A$2927,$A43)=0,0,SUMIF('Raw Data'!$A$3:$A$2927, $A43,'Raw Data'!AC$3:AC$2927) / COUNTIF('Raw Data'!$A$3:$A$2927,$A43))</f>
        <v>0.88888888888888884</v>
      </c>
      <c r="AE43" s="117">
        <f>IF( COUNTIF('Raw Data'!$A$3:$A$2927,$A43)=0,0,SUMIF('Raw Data'!$A$3:$A$2927, $A43,'Raw Data'!AD$3:AD$2927) / COUNTIF('Raw Data'!$A$3:$A$2927,$A43))</f>
        <v>0</v>
      </c>
      <c r="AF43">
        <f>IF( COUNTIF('Raw Data'!$A$3:$A$2927,$A43)=0,0,SUMIF('Raw Data'!$A$3:$A$2927, $A43,'Raw Data'!AE$3:AE$2927) / COUNTIF('Raw Data'!$A$3:$A$2927,$A43))</f>
        <v>0.1111111111111111</v>
      </c>
      <c r="AG43">
        <f>IF( COUNTIF('Raw Data'!$A$3:$A$2927,$A43)=0,0,SUMIF('Raw Data'!$A$3:$A$2927, $A43,'Raw Data'!AF$3:AF$2927) / COUNTIF('Raw Data'!$A$3:$A$2927,$A43))</f>
        <v>0</v>
      </c>
      <c r="AH43">
        <f>IF( COUNTIF('Raw Data'!$A$3:$A$2927,$A43)=0,0,SUMIF('Raw Data'!$A$3:$A$2927, $A43,'Raw Data'!AG$3:AG$2927) / COUNTIF('Raw Data'!$A$3:$A$2927,$A43))</f>
        <v>1.7777777777777777</v>
      </c>
      <c r="AI43">
        <f>IF( COUNTIF('Raw Data'!$A$3:$A$2927,$A43)=0,0,SUMIF('Raw Data'!$A$3:$A$2927, $A43,'Raw Data'!AH$3:AH$2927) / COUNTIF('Raw Data'!$A$3:$A$2927,$A43))</f>
        <v>0.33333333333333331</v>
      </c>
      <c r="AJ43" s="117">
        <f>COUNTIF('Raw Data'!A$3:A$2927, $A43)</f>
        <v>9</v>
      </c>
      <c r="AK43">
        <f t="shared" si="6"/>
        <v>2.804444444444445</v>
      </c>
      <c r="AL43">
        <f t="shared" si="7"/>
        <v>1.9444444444444446</v>
      </c>
      <c r="AM43">
        <f t="shared" si="8"/>
        <v>0.91333333333333366</v>
      </c>
    </row>
    <row r="44" spans="1:51">
      <c r="A44">
        <v>4951</v>
      </c>
      <c r="B44" t="s">
        <v>216</v>
      </c>
      <c r="C44">
        <f t="shared" si="0"/>
        <v>17.428571428571431</v>
      </c>
      <c r="D44">
        <f t="shared" si="1"/>
        <v>12.285714285714286</v>
      </c>
      <c r="E44">
        <f>IF( COUNTIF('Raw Data'!$A$3:$A$2927,$A44)=0,0,SUMIF('Raw Data'!$A$3:$A$2927, $A44,'Raw Data'!D$3:D$2927) / COUNTIF('Raw Data'!$A$3:$A$2927,$A44))</f>
        <v>1.7142857142857142</v>
      </c>
      <c r="F44">
        <f>MAX(IF('Raw Data'!$A$3:$A$927=$A44, 'Raw Data'!$O$3:$O$927))</f>
        <v>0</v>
      </c>
      <c r="G44">
        <f>MAX(IF('Raw Data'!$A$3:$A$927=$A44, 'Raw Data'!$I$3:$I$927))</f>
        <v>0</v>
      </c>
      <c r="H44">
        <f>IF( COUNTIF('Raw Data'!$A$3:$A$2927,$A44)=0,0,SUMIF('Raw Data'!$A$3:$A$2927, $A44,'Raw Data'!E$3:E$2927) / COUNTIF('Raw Data'!$A$3:$A$2927,$A44))</f>
        <v>0.14285714285714285</v>
      </c>
      <c r="I44">
        <f>IF( COUNTIF('Raw Data'!$A$3:$A$2927,$A44)=0,0,SUMIF('Raw Data'!$A$3:$A$2927, $A44,'Raw Data'!F$3:F$2927) / COUNTIF('Raw Data'!$A$3:$A$2927,$A44))</f>
        <v>0</v>
      </c>
      <c r="J44">
        <f>IF( COUNTIF('Raw Data'!$A$3:$A$2927,$A44)=0,0,SUMIF('Raw Data'!$A$3:$A$2927, $A44,'Raw Data'!G$3:G$2927) / COUNTIF('Raw Data'!$A$3:$A$2927,$A44))</f>
        <v>0</v>
      </c>
      <c r="K44">
        <f>IF( COUNTIF('Raw Data'!$A$3:$A$2927,$A44)=0,0,SUMIF('Raw Data'!$A$3:$A$2927, $A44,'Raw Data'!H$3:H$2927) / COUNTIF('Raw Data'!$A$3:$A$2927,$A44))</f>
        <v>0</v>
      </c>
      <c r="L44">
        <f>MAX(IF('Raw Data'!$A$3:$A$927=$A44, 'Raw Data'!$N$3:$N$927))</f>
        <v>0</v>
      </c>
      <c r="M44">
        <f>IF( COUNTIF('Raw Data'!$A$3:$A$2927,$A44)=0,0,SUMIF('Raw Data'!$A$3:$A$2927, $A44,'Raw Data'!J$3:J$2927) / COUNTIF('Raw Data'!$A$3:$A$2927,$A44))</f>
        <v>0.5714285714285714</v>
      </c>
      <c r="N44">
        <f>IF( COUNTIF('Raw Data'!$A$3:$A$2927,$A44)=0,0,SUMIF('Raw Data'!$A$3:$A$2927, $A44,'Raw Data'!K$3:K$2927) / COUNTIF('Raw Data'!$A$3:$A$2927,$A44))</f>
        <v>0</v>
      </c>
      <c r="O44">
        <f>IF( COUNTIF('Raw Data'!$A$3:$A$2927,$A44)=0,0,SUMIF('Raw Data'!$A$3:$A$2927, $A44,'Raw Data'!L$3:L$2927) / COUNTIF('Raw Data'!$A$3:$A$2927,$A44))</f>
        <v>0</v>
      </c>
      <c r="P44" s="58">
        <f>IF( COUNTIF('Raw Data'!$A$3:$A$2927,$A44)=0,0,SUMIF('Raw Data'!$A$3:$A$2927, $A44,'Raw Data'!M$3:M$2927) / COUNTIF('Raw Data'!$A$3:$A$2927,$A44))</f>
        <v>0</v>
      </c>
      <c r="Q44">
        <f>MAX(IF('Raw Data'!$A$3:$A$927=$A44, 'Raw Data'!$Z$3:$Z$927))</f>
        <v>0</v>
      </c>
      <c r="R44">
        <f>MAX(IF('Raw Data'!$A$3:$A$927=$A44, 'Raw Data'!$T$3:$T$927))</f>
        <v>0</v>
      </c>
      <c r="S44">
        <f>IF( COUNTIF('Raw Data'!$A$3:$A$2927,$A44)=0,0,SUMIF('Raw Data'!$A$3:$A$2927, $A44,'Raw Data'!P$3:P$2927) / COUNTIF('Raw Data'!$A$3:$A$2927,$A44))</f>
        <v>0</v>
      </c>
      <c r="T44">
        <f>IF( COUNTIF('Raw Data'!$A$3:$A$2927,$A44)=0,0,SUMIF('Raw Data'!$A$3:$A$2927, $A44,'Raw Data'!Q$3:Q$2927) / COUNTIF('Raw Data'!$A$3:$A$2927,$A44))</f>
        <v>0</v>
      </c>
      <c r="U44">
        <f>IF( COUNTIF('Raw Data'!$A$3:$A$2927,$A44)=0,0,SUMIF('Raw Data'!$A$3:$A$2927, $A44,'Raw Data'!R$3:R$2927) / COUNTIF('Raw Data'!$A$3:$A$2927,$A44))</f>
        <v>0</v>
      </c>
      <c r="V44">
        <f>IF( COUNTIF('Raw Data'!$A$3:$A$2927,$A44)=0,0,SUMIF('Raw Data'!$A$3:$A$2927, $A44,'Raw Data'!S$3:S$2927) / COUNTIF('Raw Data'!$A$3:$A$2927,$A44))</f>
        <v>0</v>
      </c>
      <c r="W44">
        <f>MAX(IF('Raw Data'!$A$3:$A$927=$A44, 'Raw Data'!$Y$3:$Y$927))</f>
        <v>0</v>
      </c>
      <c r="X44">
        <f>IF( COUNTIF('Raw Data'!$A$3:$A$2927,$A44)=0,0,SUMIF('Raw Data'!$A$3:$A$2927, $A44,'Raw Data'!U$3:U$2927) / COUNTIF('Raw Data'!$A$3:$A$2927,$A44))</f>
        <v>2.8571428571428572</v>
      </c>
      <c r="Y44">
        <f>IF( COUNTIF('Raw Data'!$A$3:$A$2927,$A44)=0,0,SUMIF('Raw Data'!$A$3:$A$2927, $A44,'Raw Data'!V$3:V$2927) / COUNTIF('Raw Data'!$A$3:$A$2927,$A44))</f>
        <v>0.5714285714285714</v>
      </c>
      <c r="Z44">
        <f>IF( COUNTIF('Raw Data'!$A$3:$A$2927,$A44)=0,0,SUMIF('Raw Data'!$A$3:$A$2927, $A44,'Raw Data'!W$3:W$2927) / COUNTIF('Raw Data'!$A$3:$A$2927,$A44))</f>
        <v>0</v>
      </c>
      <c r="AA44">
        <f>IF( COUNTIF('Raw Data'!$A$3:$A$2927,$A44)=0,0,SUMIF('Raw Data'!$A$3:$A$2927, $A44,'Raw Data'!X$3:X$2927) / COUNTIF('Raw Data'!$A$3:$A$2927,$A44))</f>
        <v>0</v>
      </c>
      <c r="AB44">
        <f>IF( COUNTIF('Raw Data'!$A$3:$A$2927,$A44)=0,0,SUMIF('Raw Data'!$A$3:$A$2927, $A44,'Raw Data'!AA$3:AA$2927) / COUNTIF('Raw Data'!$A$3:$A$2927,$A44))</f>
        <v>0</v>
      </c>
      <c r="AC44">
        <f>IF( COUNTIF('Raw Data'!$A$3:$A$2927,$A44)=0,0,SUMIF('Raw Data'!$A$3:$A$2927, $A44,'Raw Data'!AB$3:AB$2927) / COUNTIF('Raw Data'!$A$3:$A$2927,$A44))</f>
        <v>0</v>
      </c>
      <c r="AD44">
        <f>IF( COUNTIF('Raw Data'!$A$3:$A$2927,$A44)=0,0,SUMIF('Raw Data'!$A$3:$A$2927, $A44,'Raw Data'!AC$3:AC$2927) / COUNTIF('Raw Data'!$A$3:$A$2927,$A44))</f>
        <v>1</v>
      </c>
      <c r="AE44" s="117">
        <f>IF( COUNTIF('Raw Data'!$A$3:$A$2927,$A44)=0,0,SUMIF('Raw Data'!$A$3:$A$2927, $A44,'Raw Data'!AD$3:AD$2927) / COUNTIF('Raw Data'!$A$3:$A$2927,$A44))</f>
        <v>0</v>
      </c>
      <c r="AF44">
        <f>IF( COUNTIF('Raw Data'!$A$3:$A$2927,$A44)=0,0,SUMIF('Raw Data'!$A$3:$A$2927, $A44,'Raw Data'!AE$3:AE$2927) / COUNTIF('Raw Data'!$A$3:$A$2927,$A44))</f>
        <v>0</v>
      </c>
      <c r="AG44">
        <f>IF( COUNTIF('Raw Data'!$A$3:$A$2927,$A44)=0,0,SUMIF('Raw Data'!$A$3:$A$2927, $A44,'Raw Data'!AF$3:AF$2927) / COUNTIF('Raw Data'!$A$3:$A$2927,$A44))</f>
        <v>0</v>
      </c>
      <c r="AH44">
        <f>IF( COUNTIF('Raw Data'!$A$3:$A$2927,$A44)=0,0,SUMIF('Raw Data'!$A$3:$A$2927, $A44,'Raw Data'!AG$3:AG$2927) / COUNTIF('Raw Data'!$A$3:$A$2927,$A44))</f>
        <v>3</v>
      </c>
      <c r="AI44">
        <f>IF( COUNTIF('Raw Data'!$A$3:$A$2927,$A44)=0,0,SUMIF('Raw Data'!$A$3:$A$2927, $A44,'Raw Data'!AH$3:AH$2927) / COUNTIF('Raw Data'!$A$3:$A$2927,$A44))</f>
        <v>0</v>
      </c>
      <c r="AJ44" s="117">
        <f>COUNTIF('Raw Data'!A$3:A$2927, $A44)</f>
        <v>7</v>
      </c>
      <c r="AK44">
        <f t="shared" si="6"/>
        <v>2.2828571428571434</v>
      </c>
      <c r="AL44">
        <f t="shared" si="7"/>
        <v>-1.2857142857142858</v>
      </c>
      <c r="AM44">
        <f t="shared" si="8"/>
        <v>3.152857142857143</v>
      </c>
    </row>
    <row r="45" spans="1:51">
      <c r="A45">
        <v>5024</v>
      </c>
      <c r="B45" t="s">
        <v>425</v>
      </c>
      <c r="C45">
        <f t="shared" si="0"/>
        <v>0</v>
      </c>
      <c r="D45">
        <f t="shared" si="1"/>
        <v>0</v>
      </c>
      <c r="E45">
        <f>IF( COUNTIF('Raw Data'!$A$3:$A$2927,$A45)=0,0,SUMIF('Raw Data'!$A$3:$A$2927, $A45,'Raw Data'!D$3:D$2927) / COUNTIF('Raw Data'!$A$3:$A$2927,$A45))</f>
        <v>0</v>
      </c>
      <c r="F45">
        <f>MAX(IF('Raw Data'!$A$3:$A$927=$A45, 'Raw Data'!$O$3:$O$927))</f>
        <v>0</v>
      </c>
      <c r="G45">
        <f>MAX(IF('Raw Data'!$A$3:$A$927=$A45, 'Raw Data'!$I$3:$I$927))</f>
        <v>0</v>
      </c>
      <c r="H45">
        <f>IF( COUNTIF('Raw Data'!$A$3:$A$2927,$A45)=0,0,SUMIF('Raw Data'!$A$3:$A$2927, $A45,'Raw Data'!E$3:E$2927) / COUNTIF('Raw Data'!$A$3:$A$2927,$A45))</f>
        <v>0</v>
      </c>
      <c r="I45">
        <f>IF( COUNTIF('Raw Data'!$A$3:$A$2927,$A45)=0,0,SUMIF('Raw Data'!$A$3:$A$2927, $A45,'Raw Data'!F$3:F$2927) / COUNTIF('Raw Data'!$A$3:$A$2927,$A45))</f>
        <v>0</v>
      </c>
      <c r="J45">
        <f>IF( COUNTIF('Raw Data'!$A$3:$A$2927,$A45)=0,0,SUMIF('Raw Data'!$A$3:$A$2927, $A45,'Raw Data'!G$3:G$2927) / COUNTIF('Raw Data'!$A$3:$A$2927,$A45))</f>
        <v>0</v>
      </c>
      <c r="K45">
        <f>IF( COUNTIF('Raw Data'!$A$3:$A$2927,$A45)=0,0,SUMIF('Raw Data'!$A$3:$A$2927, $A45,'Raw Data'!H$3:H$2927) / COUNTIF('Raw Data'!$A$3:$A$2927,$A45))</f>
        <v>0</v>
      </c>
      <c r="L45">
        <f>MAX(IF('Raw Data'!$A$3:$A$927=$A45, 'Raw Data'!$N$3:$N$927))</f>
        <v>0</v>
      </c>
      <c r="M45">
        <f>IF( COUNTIF('Raw Data'!$A$3:$A$2927,$A45)=0,0,SUMIF('Raw Data'!$A$3:$A$2927, $A45,'Raw Data'!J$3:J$2927) / COUNTIF('Raw Data'!$A$3:$A$2927,$A45))</f>
        <v>0</v>
      </c>
      <c r="N45">
        <f>IF( COUNTIF('Raw Data'!$A$3:$A$2927,$A45)=0,0,SUMIF('Raw Data'!$A$3:$A$2927, $A45,'Raw Data'!K$3:K$2927) / COUNTIF('Raw Data'!$A$3:$A$2927,$A45))</f>
        <v>0</v>
      </c>
      <c r="O45">
        <f>IF( COUNTIF('Raw Data'!$A$3:$A$2927,$A45)=0,0,SUMIF('Raw Data'!$A$3:$A$2927, $A45,'Raw Data'!L$3:L$2927) / COUNTIF('Raw Data'!$A$3:$A$2927,$A45))</f>
        <v>0</v>
      </c>
      <c r="P45" s="58">
        <f>IF( COUNTIF('Raw Data'!$A$3:$A$2927,$A45)=0,0,SUMIF('Raw Data'!$A$3:$A$2927, $A45,'Raw Data'!M$3:M$2927) / COUNTIF('Raw Data'!$A$3:$A$2927,$A45))</f>
        <v>0</v>
      </c>
      <c r="Q45">
        <f>MAX(IF('Raw Data'!$A$3:$A$927=$A45, 'Raw Data'!$Z$3:$Z$927))</f>
        <v>0</v>
      </c>
      <c r="R45">
        <f>MAX(IF('Raw Data'!$A$3:$A$927=$A45, 'Raw Data'!$T$3:$T$927))</f>
        <v>0</v>
      </c>
      <c r="S45">
        <f>IF( COUNTIF('Raw Data'!$A$3:$A$2927,$A45)=0,0,SUMIF('Raw Data'!$A$3:$A$2927, $A45,'Raw Data'!P$3:P$2927) / COUNTIF('Raw Data'!$A$3:$A$2927,$A45))</f>
        <v>0</v>
      </c>
      <c r="T45">
        <f>IF( COUNTIF('Raw Data'!$A$3:$A$2927,$A45)=0,0,SUMIF('Raw Data'!$A$3:$A$2927, $A45,'Raw Data'!Q$3:Q$2927) / COUNTIF('Raw Data'!$A$3:$A$2927,$A45))</f>
        <v>0</v>
      </c>
      <c r="U45">
        <f>IF( COUNTIF('Raw Data'!$A$3:$A$2927,$A45)=0,0,SUMIF('Raw Data'!$A$3:$A$2927, $A45,'Raw Data'!R$3:R$2927) / COUNTIF('Raw Data'!$A$3:$A$2927,$A45))</f>
        <v>0</v>
      </c>
      <c r="V45">
        <f>IF( COUNTIF('Raw Data'!$A$3:$A$2927,$A45)=0,0,SUMIF('Raw Data'!$A$3:$A$2927, $A45,'Raw Data'!S$3:S$2927) / COUNTIF('Raw Data'!$A$3:$A$2927,$A45))</f>
        <v>0</v>
      </c>
      <c r="W45">
        <f>MAX(IF('Raw Data'!$A$3:$A$927=$A45, 'Raw Data'!$Y$3:$Y$927))</f>
        <v>0</v>
      </c>
      <c r="X45">
        <f>IF( COUNTIF('Raw Data'!$A$3:$A$2927,$A45)=0,0,SUMIF('Raw Data'!$A$3:$A$2927, $A45,'Raw Data'!U$3:U$2927) / COUNTIF('Raw Data'!$A$3:$A$2927,$A45))</f>
        <v>0</v>
      </c>
      <c r="Y45">
        <f>IF( COUNTIF('Raw Data'!$A$3:$A$2927,$A45)=0,0,SUMIF('Raw Data'!$A$3:$A$2927, $A45,'Raw Data'!V$3:V$2927) / COUNTIF('Raw Data'!$A$3:$A$2927,$A45))</f>
        <v>0</v>
      </c>
      <c r="Z45">
        <f>IF( COUNTIF('Raw Data'!$A$3:$A$2927,$A45)=0,0,SUMIF('Raw Data'!$A$3:$A$2927, $A45,'Raw Data'!W$3:W$2927) / COUNTIF('Raw Data'!$A$3:$A$2927,$A45))</f>
        <v>0</v>
      </c>
      <c r="AA45">
        <f>IF( COUNTIF('Raw Data'!$A$3:$A$2927,$A45)=0,0,SUMIF('Raw Data'!$A$3:$A$2927, $A45,'Raw Data'!X$3:X$2927) / COUNTIF('Raw Data'!$A$3:$A$2927,$A45))</f>
        <v>0</v>
      </c>
      <c r="AB45">
        <f>IF( COUNTIF('Raw Data'!$A$3:$A$2927,$A45)=0,0,SUMIF('Raw Data'!$A$3:$A$2927, $A45,'Raw Data'!AA$3:AA$2927) / COUNTIF('Raw Data'!$A$3:$A$2927,$A45))</f>
        <v>0</v>
      </c>
      <c r="AC45">
        <f>IF( COUNTIF('Raw Data'!$A$3:$A$2927,$A45)=0,0,SUMIF('Raw Data'!$A$3:$A$2927, $A45,'Raw Data'!AB$3:AB$2927) / COUNTIF('Raw Data'!$A$3:$A$2927,$A45))</f>
        <v>0</v>
      </c>
      <c r="AD45">
        <f>IF( COUNTIF('Raw Data'!$A$3:$A$2927,$A45)=0,0,SUMIF('Raw Data'!$A$3:$A$2927, $A45,'Raw Data'!AC$3:AC$2927) / COUNTIF('Raw Data'!$A$3:$A$2927,$A45))</f>
        <v>0</v>
      </c>
      <c r="AE45" s="117">
        <f>IF( COUNTIF('Raw Data'!$A$3:$A$2927,$A45)=0,0,SUMIF('Raw Data'!$A$3:$A$2927, $A45,'Raw Data'!AD$3:AD$2927) / COUNTIF('Raw Data'!$A$3:$A$2927,$A45))</f>
        <v>0</v>
      </c>
      <c r="AF45">
        <f>IF( COUNTIF('Raw Data'!$A$3:$A$2927,$A45)=0,0,SUMIF('Raw Data'!$A$3:$A$2927, $A45,'Raw Data'!AE$3:AE$2927) / COUNTIF('Raw Data'!$A$3:$A$2927,$A45))</f>
        <v>0</v>
      </c>
      <c r="AG45">
        <f>IF( COUNTIF('Raw Data'!$A$3:$A$2927,$A45)=0,0,SUMIF('Raw Data'!$A$3:$A$2927, $A45,'Raw Data'!AF$3:AF$2927) / COUNTIF('Raw Data'!$A$3:$A$2927,$A45))</f>
        <v>0</v>
      </c>
      <c r="AH45">
        <f>IF( COUNTIF('Raw Data'!$A$3:$A$2927,$A45)=0,0,SUMIF('Raw Data'!$A$3:$A$2927, $A45,'Raw Data'!AG$3:AG$2927) / COUNTIF('Raw Data'!$A$3:$A$2927,$A45))</f>
        <v>0</v>
      </c>
      <c r="AI45">
        <f>IF( COUNTIF('Raw Data'!$A$3:$A$2927,$A45)=0,0,SUMIF('Raw Data'!$A$3:$A$2927, $A45,'Raw Data'!AH$3:AH$2927) / COUNTIF('Raw Data'!$A$3:$A$2927,$A45))</f>
        <v>0</v>
      </c>
      <c r="AJ45" s="117">
        <f>COUNTIF('Raw Data'!A$3:A$2927, $A45)</f>
        <v>0</v>
      </c>
      <c r="AK45">
        <f t="shared" si="6"/>
        <v>-21</v>
      </c>
      <c r="AL45">
        <f t="shared" si="7"/>
        <v>-1.5</v>
      </c>
      <c r="AM45">
        <f t="shared" si="8"/>
        <v>-1</v>
      </c>
    </row>
    <row r="46" spans="1:51">
      <c r="A46">
        <v>5031</v>
      </c>
      <c r="B46" t="s">
        <v>426</v>
      </c>
      <c r="C46">
        <f t="shared" si="0"/>
        <v>0</v>
      </c>
      <c r="D46">
        <f t="shared" si="1"/>
        <v>0</v>
      </c>
      <c r="E46">
        <f>IF( COUNTIF('Raw Data'!$A$3:$A$2927,$A46)=0,0,SUMIF('Raw Data'!$A$3:$A$2927, $A46,'Raw Data'!D$3:D$2927) / COUNTIF('Raw Data'!$A$3:$A$2927,$A46))</f>
        <v>0</v>
      </c>
      <c r="F46">
        <f>MAX(IF('Raw Data'!$A$3:$A$927=$A46, 'Raw Data'!$O$3:$O$927))</f>
        <v>0</v>
      </c>
      <c r="G46">
        <f>MAX(IF('Raw Data'!$A$3:$A$927=$A46, 'Raw Data'!$I$3:$I$927))</f>
        <v>0</v>
      </c>
      <c r="H46">
        <f>IF( COUNTIF('Raw Data'!$A$3:$A$2927,$A46)=0,0,SUMIF('Raw Data'!$A$3:$A$2927, $A46,'Raw Data'!E$3:E$2927) / COUNTIF('Raw Data'!$A$3:$A$2927,$A46))</f>
        <v>0</v>
      </c>
      <c r="I46">
        <f>IF( COUNTIF('Raw Data'!$A$3:$A$2927,$A46)=0,0,SUMIF('Raw Data'!$A$3:$A$2927, $A46,'Raw Data'!F$3:F$2927) / COUNTIF('Raw Data'!$A$3:$A$2927,$A46))</f>
        <v>0</v>
      </c>
      <c r="J46">
        <f>IF( COUNTIF('Raw Data'!$A$3:$A$2927,$A46)=0,0,SUMIF('Raw Data'!$A$3:$A$2927, $A46,'Raw Data'!G$3:G$2927) / COUNTIF('Raw Data'!$A$3:$A$2927,$A46))</f>
        <v>0</v>
      </c>
      <c r="K46">
        <f>IF( COUNTIF('Raw Data'!$A$3:$A$2927,$A46)=0,0,SUMIF('Raw Data'!$A$3:$A$2927, $A46,'Raw Data'!H$3:H$2927) / COUNTIF('Raw Data'!$A$3:$A$2927,$A46))</f>
        <v>0</v>
      </c>
      <c r="L46">
        <f>MAX(IF('Raw Data'!$A$3:$A$927=$A46, 'Raw Data'!$N$3:$N$927))</f>
        <v>0</v>
      </c>
      <c r="M46">
        <f>IF( COUNTIF('Raw Data'!$A$3:$A$2927,$A46)=0,0,SUMIF('Raw Data'!$A$3:$A$2927, $A46,'Raw Data'!J$3:J$2927) / COUNTIF('Raw Data'!$A$3:$A$2927,$A46))</f>
        <v>0</v>
      </c>
      <c r="N46">
        <f>IF( COUNTIF('Raw Data'!$A$3:$A$2927,$A46)=0,0,SUMIF('Raw Data'!$A$3:$A$2927, $A46,'Raw Data'!K$3:K$2927) / COUNTIF('Raw Data'!$A$3:$A$2927,$A46))</f>
        <v>0</v>
      </c>
      <c r="O46">
        <f>IF( COUNTIF('Raw Data'!$A$3:$A$2927,$A46)=0,0,SUMIF('Raw Data'!$A$3:$A$2927, $A46,'Raw Data'!L$3:L$2927) / COUNTIF('Raw Data'!$A$3:$A$2927,$A46))</f>
        <v>0</v>
      </c>
      <c r="P46" s="58">
        <f>IF( COUNTIF('Raw Data'!$A$3:$A$2927,$A46)=0,0,SUMIF('Raw Data'!$A$3:$A$2927, $A46,'Raw Data'!M$3:M$2927) / COUNTIF('Raw Data'!$A$3:$A$2927,$A46))</f>
        <v>0</v>
      </c>
      <c r="Q46">
        <f>MAX(IF('Raw Data'!$A$3:$A$927=$A46, 'Raw Data'!$Z$3:$Z$927))</f>
        <v>0</v>
      </c>
      <c r="R46">
        <f>MAX(IF('Raw Data'!$A$3:$A$927=$A46, 'Raw Data'!$T$3:$T$927))</f>
        <v>0</v>
      </c>
      <c r="S46">
        <f>IF( COUNTIF('Raw Data'!$A$3:$A$2927,$A46)=0,0,SUMIF('Raw Data'!$A$3:$A$2927, $A46,'Raw Data'!P$3:P$2927) / COUNTIF('Raw Data'!$A$3:$A$2927,$A46))</f>
        <v>0</v>
      </c>
      <c r="T46">
        <f>IF( COUNTIF('Raw Data'!$A$3:$A$2927,$A46)=0,0,SUMIF('Raw Data'!$A$3:$A$2927, $A46,'Raw Data'!Q$3:Q$2927) / COUNTIF('Raw Data'!$A$3:$A$2927,$A46))</f>
        <v>0</v>
      </c>
      <c r="U46">
        <f>IF( COUNTIF('Raw Data'!$A$3:$A$2927,$A46)=0,0,SUMIF('Raw Data'!$A$3:$A$2927, $A46,'Raw Data'!R$3:R$2927) / COUNTIF('Raw Data'!$A$3:$A$2927,$A46))</f>
        <v>0</v>
      </c>
      <c r="V46">
        <f>IF( COUNTIF('Raw Data'!$A$3:$A$2927,$A46)=0,0,SUMIF('Raw Data'!$A$3:$A$2927, $A46,'Raw Data'!S$3:S$2927) / COUNTIF('Raw Data'!$A$3:$A$2927,$A46))</f>
        <v>0</v>
      </c>
      <c r="W46">
        <f>MAX(IF('Raw Data'!$A$3:$A$927=$A46, 'Raw Data'!$Y$3:$Y$927))</f>
        <v>0</v>
      </c>
      <c r="X46">
        <f>IF( COUNTIF('Raw Data'!$A$3:$A$2927,$A46)=0,0,SUMIF('Raw Data'!$A$3:$A$2927, $A46,'Raw Data'!U$3:U$2927) / COUNTIF('Raw Data'!$A$3:$A$2927,$A46))</f>
        <v>0</v>
      </c>
      <c r="Y46">
        <f>IF( COUNTIF('Raw Data'!$A$3:$A$2927,$A46)=0,0,SUMIF('Raw Data'!$A$3:$A$2927, $A46,'Raw Data'!V$3:V$2927) / COUNTIF('Raw Data'!$A$3:$A$2927,$A46))</f>
        <v>0</v>
      </c>
      <c r="Z46">
        <f>IF( COUNTIF('Raw Data'!$A$3:$A$2927,$A46)=0,0,SUMIF('Raw Data'!$A$3:$A$2927, $A46,'Raw Data'!W$3:W$2927) / COUNTIF('Raw Data'!$A$3:$A$2927,$A46))</f>
        <v>0</v>
      </c>
      <c r="AA46">
        <f>IF( COUNTIF('Raw Data'!$A$3:$A$2927,$A46)=0,0,SUMIF('Raw Data'!$A$3:$A$2927, $A46,'Raw Data'!X$3:X$2927) / COUNTIF('Raw Data'!$A$3:$A$2927,$A46))</f>
        <v>0</v>
      </c>
      <c r="AB46">
        <f>IF( COUNTIF('Raw Data'!$A$3:$A$2927,$A46)=0,0,SUMIF('Raw Data'!$A$3:$A$2927, $A46,'Raw Data'!AA$3:AA$2927) / COUNTIF('Raw Data'!$A$3:$A$2927,$A46))</f>
        <v>0</v>
      </c>
      <c r="AC46">
        <f>IF( COUNTIF('Raw Data'!$A$3:$A$2927,$A46)=0,0,SUMIF('Raw Data'!$A$3:$A$2927, $A46,'Raw Data'!AB$3:AB$2927) / COUNTIF('Raw Data'!$A$3:$A$2927,$A46))</f>
        <v>0</v>
      </c>
      <c r="AD46">
        <f>IF( COUNTIF('Raw Data'!$A$3:$A$2927,$A46)=0,0,SUMIF('Raw Data'!$A$3:$A$2927, $A46,'Raw Data'!AC$3:AC$2927) / COUNTIF('Raw Data'!$A$3:$A$2927,$A46))</f>
        <v>0</v>
      </c>
      <c r="AE46" s="117">
        <f>IF( COUNTIF('Raw Data'!$A$3:$A$2927,$A46)=0,0,SUMIF('Raw Data'!$A$3:$A$2927, $A46,'Raw Data'!AD$3:AD$2927) / COUNTIF('Raw Data'!$A$3:$A$2927,$A46))</f>
        <v>0</v>
      </c>
      <c r="AF46">
        <f>IF( COUNTIF('Raw Data'!$A$3:$A$2927,$A46)=0,0,SUMIF('Raw Data'!$A$3:$A$2927, $A46,'Raw Data'!AE$3:AE$2927) / COUNTIF('Raw Data'!$A$3:$A$2927,$A46))</f>
        <v>0</v>
      </c>
      <c r="AG46">
        <f>IF( COUNTIF('Raw Data'!$A$3:$A$2927,$A46)=0,0,SUMIF('Raw Data'!$A$3:$A$2927, $A46,'Raw Data'!AF$3:AF$2927) / COUNTIF('Raw Data'!$A$3:$A$2927,$A46))</f>
        <v>0</v>
      </c>
      <c r="AH46">
        <f>IF( COUNTIF('Raw Data'!$A$3:$A$2927,$A46)=0,0,SUMIF('Raw Data'!$A$3:$A$2927, $A46,'Raw Data'!AG$3:AG$2927) / COUNTIF('Raw Data'!$A$3:$A$2927,$A46))</f>
        <v>0</v>
      </c>
      <c r="AI46">
        <f>IF( COUNTIF('Raw Data'!$A$3:$A$2927,$A46)=0,0,SUMIF('Raw Data'!$A$3:$A$2927, $A46,'Raw Data'!AH$3:AH$2927) / COUNTIF('Raw Data'!$A$3:$A$2927,$A46))</f>
        <v>0</v>
      </c>
      <c r="AJ46" s="117">
        <f>COUNTIF('Raw Data'!A$3:A$2927, $A46)</f>
        <v>0</v>
      </c>
      <c r="AK46">
        <f t="shared" si="6"/>
        <v>-21</v>
      </c>
      <c r="AL46">
        <f t="shared" si="7"/>
        <v>-1.5</v>
      </c>
      <c r="AM46">
        <f t="shared" si="8"/>
        <v>-1</v>
      </c>
    </row>
    <row r="47" spans="1:51">
      <c r="A47">
        <v>5036</v>
      </c>
      <c r="B47" t="s">
        <v>217</v>
      </c>
      <c r="C47">
        <f t="shared" si="0"/>
        <v>15.399999999999999</v>
      </c>
      <c r="D47">
        <f t="shared" si="1"/>
        <v>11.299999999999999</v>
      </c>
      <c r="E47">
        <f>IF( COUNTIF('Raw Data'!$A$3:$A$2927,$A47)=0,0,SUMIF('Raw Data'!$A$3:$A$2927, $A47,'Raw Data'!D$3:D$2927) / COUNTIF('Raw Data'!$A$3:$A$2927,$A47))</f>
        <v>1</v>
      </c>
      <c r="F47">
        <f>MAX(IF('Raw Data'!$A$3:$A$927=$A47, 'Raw Data'!$O$3:$O$927))</f>
        <v>0</v>
      </c>
      <c r="G47">
        <f>MAX(IF('Raw Data'!$A$3:$A$927=$A47, 'Raw Data'!$I$3:$I$927))</f>
        <v>0</v>
      </c>
      <c r="H47">
        <f>IF( COUNTIF('Raw Data'!$A$3:$A$2927,$A47)=0,0,SUMIF('Raw Data'!$A$3:$A$2927, $A47,'Raw Data'!E$3:E$2927) / COUNTIF('Raw Data'!$A$3:$A$2927,$A47))</f>
        <v>0</v>
      </c>
      <c r="I47">
        <f>IF( COUNTIF('Raw Data'!$A$3:$A$2927,$A47)=0,0,SUMIF('Raw Data'!$A$3:$A$2927, $A47,'Raw Data'!F$3:F$2927) / COUNTIF('Raw Data'!$A$3:$A$2927,$A47))</f>
        <v>0</v>
      </c>
      <c r="J47">
        <f>IF( COUNTIF('Raw Data'!$A$3:$A$2927,$A47)=0,0,SUMIF('Raw Data'!$A$3:$A$2927, $A47,'Raw Data'!G$3:G$2927) / COUNTIF('Raw Data'!$A$3:$A$2927,$A47))</f>
        <v>0</v>
      </c>
      <c r="K47">
        <f>IF( COUNTIF('Raw Data'!$A$3:$A$2927,$A47)=0,0,SUMIF('Raw Data'!$A$3:$A$2927, $A47,'Raw Data'!H$3:H$2927) / COUNTIF('Raw Data'!$A$3:$A$2927,$A47))</f>
        <v>0</v>
      </c>
      <c r="L47">
        <f>MAX(IF('Raw Data'!$A$3:$A$927=$A47, 'Raw Data'!$N$3:$N$927))</f>
        <v>0</v>
      </c>
      <c r="M47">
        <f>IF( COUNTIF('Raw Data'!$A$3:$A$2927,$A47)=0,0,SUMIF('Raw Data'!$A$3:$A$2927, $A47,'Raw Data'!J$3:J$2927) / COUNTIF('Raw Data'!$A$3:$A$2927,$A47))</f>
        <v>0.1</v>
      </c>
      <c r="N47">
        <f>IF( COUNTIF('Raw Data'!$A$3:$A$2927,$A47)=0,0,SUMIF('Raw Data'!$A$3:$A$2927, $A47,'Raw Data'!K$3:K$2927) / COUNTIF('Raw Data'!$A$3:$A$2927,$A47))</f>
        <v>0</v>
      </c>
      <c r="O47">
        <f>IF( COUNTIF('Raw Data'!$A$3:$A$2927,$A47)=0,0,SUMIF('Raw Data'!$A$3:$A$2927, $A47,'Raw Data'!L$3:L$2927) / COUNTIF('Raw Data'!$A$3:$A$2927,$A47))</f>
        <v>0</v>
      </c>
      <c r="P47" s="58">
        <f>IF( COUNTIF('Raw Data'!$A$3:$A$2927,$A47)=0,0,SUMIF('Raw Data'!$A$3:$A$2927, $A47,'Raw Data'!M$3:M$2927) / COUNTIF('Raw Data'!$A$3:$A$2927,$A47))</f>
        <v>0</v>
      </c>
      <c r="Q47">
        <f>MAX(IF('Raw Data'!$A$3:$A$927=$A47, 'Raw Data'!$Z$3:$Z$927))</f>
        <v>0</v>
      </c>
      <c r="R47">
        <f>MAX(IF('Raw Data'!$A$3:$A$927=$A47, 'Raw Data'!$T$3:$T$927))</f>
        <v>0</v>
      </c>
      <c r="S47">
        <f>IF( COUNTIF('Raw Data'!$A$3:$A$2927,$A47)=0,0,SUMIF('Raw Data'!$A$3:$A$2927, $A47,'Raw Data'!P$3:P$2927) / COUNTIF('Raw Data'!$A$3:$A$2927,$A47))</f>
        <v>0.4</v>
      </c>
      <c r="T47">
        <f>IF( COUNTIF('Raw Data'!$A$3:$A$2927,$A47)=0,0,SUMIF('Raw Data'!$A$3:$A$2927, $A47,'Raw Data'!Q$3:Q$2927) / COUNTIF('Raw Data'!$A$3:$A$2927,$A47))</f>
        <v>0</v>
      </c>
      <c r="U47">
        <f>IF( COUNTIF('Raw Data'!$A$3:$A$2927,$A47)=0,0,SUMIF('Raw Data'!$A$3:$A$2927, $A47,'Raw Data'!R$3:R$2927) / COUNTIF('Raw Data'!$A$3:$A$2927,$A47))</f>
        <v>0</v>
      </c>
      <c r="V47">
        <f>IF( COUNTIF('Raw Data'!$A$3:$A$2927,$A47)=0,0,SUMIF('Raw Data'!$A$3:$A$2927, $A47,'Raw Data'!S$3:S$2927) / COUNTIF('Raw Data'!$A$3:$A$2927,$A47))</f>
        <v>0</v>
      </c>
      <c r="W47">
        <f>MAX(IF('Raw Data'!$A$3:$A$927=$A47, 'Raw Data'!$Y$3:$Y$927))</f>
        <v>0</v>
      </c>
      <c r="X47">
        <f>IF( COUNTIF('Raw Data'!$A$3:$A$2927,$A47)=0,0,SUMIF('Raw Data'!$A$3:$A$2927, $A47,'Raw Data'!U$3:U$2927) / COUNTIF('Raw Data'!$A$3:$A$2927,$A47))</f>
        <v>3.4</v>
      </c>
      <c r="Y47">
        <f>IF( COUNTIF('Raw Data'!$A$3:$A$2927,$A47)=0,0,SUMIF('Raw Data'!$A$3:$A$2927, $A47,'Raw Data'!V$3:V$2927) / COUNTIF('Raw Data'!$A$3:$A$2927,$A47))</f>
        <v>0</v>
      </c>
      <c r="Z47">
        <f>IF( COUNTIF('Raw Data'!$A$3:$A$2927,$A47)=0,0,SUMIF('Raw Data'!$A$3:$A$2927, $A47,'Raw Data'!W$3:W$2927) / COUNTIF('Raw Data'!$A$3:$A$2927,$A47))</f>
        <v>0</v>
      </c>
      <c r="AA47">
        <f>IF( COUNTIF('Raw Data'!$A$3:$A$2927,$A47)=0,0,SUMIF('Raw Data'!$A$3:$A$2927, $A47,'Raw Data'!X$3:X$2927) / COUNTIF('Raw Data'!$A$3:$A$2927,$A47))</f>
        <v>0</v>
      </c>
      <c r="AB47">
        <f>IF( COUNTIF('Raw Data'!$A$3:$A$2927,$A47)=0,0,SUMIF('Raw Data'!$A$3:$A$2927, $A47,'Raw Data'!AA$3:AA$2927) / COUNTIF('Raw Data'!$A$3:$A$2927,$A47))</f>
        <v>11.5</v>
      </c>
      <c r="AC47">
        <f>IF( COUNTIF('Raw Data'!$A$3:$A$2927,$A47)=0,0,SUMIF('Raw Data'!$A$3:$A$2927, $A47,'Raw Data'!AB$3:AB$2927) / COUNTIF('Raw Data'!$A$3:$A$2927,$A47))</f>
        <v>0</v>
      </c>
      <c r="AD47">
        <f>IF( COUNTIF('Raw Data'!$A$3:$A$2927,$A47)=0,0,SUMIF('Raw Data'!$A$3:$A$2927, $A47,'Raw Data'!AC$3:AC$2927) / COUNTIF('Raw Data'!$A$3:$A$2927,$A47))</f>
        <v>0.8</v>
      </c>
      <c r="AE47" s="117">
        <f>IF( COUNTIF('Raw Data'!$A$3:$A$2927,$A47)=0,0,SUMIF('Raw Data'!$A$3:$A$2927, $A47,'Raw Data'!AD$3:AD$2927) / COUNTIF('Raw Data'!$A$3:$A$2927,$A47))</f>
        <v>0</v>
      </c>
      <c r="AF47">
        <f>IF( COUNTIF('Raw Data'!$A$3:$A$2927,$A47)=0,0,SUMIF('Raw Data'!$A$3:$A$2927, $A47,'Raw Data'!AE$3:AE$2927) / COUNTIF('Raw Data'!$A$3:$A$2927,$A47))</f>
        <v>0</v>
      </c>
      <c r="AG47">
        <f>IF( COUNTIF('Raw Data'!$A$3:$A$2927,$A47)=0,0,SUMIF('Raw Data'!$A$3:$A$2927, $A47,'Raw Data'!AF$3:AF$2927) / COUNTIF('Raw Data'!$A$3:$A$2927,$A47))</f>
        <v>0</v>
      </c>
      <c r="AH47">
        <f>IF( COUNTIF('Raw Data'!$A$3:$A$2927,$A47)=0,0,SUMIF('Raw Data'!$A$3:$A$2927, $A47,'Raw Data'!AG$3:AG$2927) / COUNTIF('Raw Data'!$A$3:$A$2927,$A47))</f>
        <v>1.3</v>
      </c>
      <c r="AI47">
        <f>IF( COUNTIF('Raw Data'!$A$3:$A$2927,$A47)=0,0,SUMIF('Raw Data'!$A$3:$A$2927, $A47,'Raw Data'!AH$3:AH$2927) / COUNTIF('Raw Data'!$A$3:$A$2927,$A47))</f>
        <v>0.3</v>
      </c>
      <c r="AJ47" s="117">
        <f>COUNTIF('Raw Data'!A$3:A$2927, $A47)</f>
        <v>10</v>
      </c>
      <c r="AK47">
        <f t="shared" si="6"/>
        <v>1.4600000000000004</v>
      </c>
      <c r="AL47">
        <f t="shared" si="7"/>
        <v>-0.85</v>
      </c>
      <c r="AM47">
        <f t="shared" si="8"/>
        <v>3.0960000000000001</v>
      </c>
    </row>
    <row r="48" spans="1:51">
      <c r="A48">
        <v>5039</v>
      </c>
      <c r="B48" t="s">
        <v>427</v>
      </c>
      <c r="C48">
        <f t="shared" si="0"/>
        <v>0</v>
      </c>
      <c r="D48">
        <f t="shared" si="1"/>
        <v>0</v>
      </c>
      <c r="E48">
        <f>IF( COUNTIF('Raw Data'!$A$3:$A$2927,$A48)=0,0,SUMIF('Raw Data'!$A$3:$A$2927, $A48,'Raw Data'!D$3:D$2927) / COUNTIF('Raw Data'!$A$3:$A$2927,$A48))</f>
        <v>0</v>
      </c>
      <c r="F48">
        <f>MAX(IF('Raw Data'!$A$3:$A$927=$A48, 'Raw Data'!$O$3:$O$927))</f>
        <v>0</v>
      </c>
      <c r="G48">
        <f>MAX(IF('Raw Data'!$A$3:$A$927=$A48, 'Raw Data'!$I$3:$I$927))</f>
        <v>0</v>
      </c>
      <c r="H48">
        <f>IF( COUNTIF('Raw Data'!$A$3:$A$2927,$A48)=0,0,SUMIF('Raw Data'!$A$3:$A$2927, $A48,'Raw Data'!E$3:E$2927) / COUNTIF('Raw Data'!$A$3:$A$2927,$A48))</f>
        <v>0</v>
      </c>
      <c r="I48">
        <f>IF( COUNTIF('Raw Data'!$A$3:$A$2927,$A48)=0,0,SUMIF('Raw Data'!$A$3:$A$2927, $A48,'Raw Data'!F$3:F$2927) / COUNTIF('Raw Data'!$A$3:$A$2927,$A48))</f>
        <v>0</v>
      </c>
      <c r="J48">
        <f>IF( COUNTIF('Raw Data'!$A$3:$A$2927,$A48)=0,0,SUMIF('Raw Data'!$A$3:$A$2927, $A48,'Raw Data'!G$3:G$2927) / COUNTIF('Raw Data'!$A$3:$A$2927,$A48))</f>
        <v>0</v>
      </c>
      <c r="K48">
        <f>IF( COUNTIF('Raw Data'!$A$3:$A$2927,$A48)=0,0,SUMIF('Raw Data'!$A$3:$A$2927, $A48,'Raw Data'!H$3:H$2927) / COUNTIF('Raw Data'!$A$3:$A$2927,$A48))</f>
        <v>0</v>
      </c>
      <c r="L48">
        <f>MAX(IF('Raw Data'!$A$3:$A$927=$A48, 'Raw Data'!$N$3:$N$927))</f>
        <v>0</v>
      </c>
      <c r="M48">
        <f>IF( COUNTIF('Raw Data'!$A$3:$A$2927,$A48)=0,0,SUMIF('Raw Data'!$A$3:$A$2927, $A48,'Raw Data'!J$3:J$2927) / COUNTIF('Raw Data'!$A$3:$A$2927,$A48))</f>
        <v>0</v>
      </c>
      <c r="N48">
        <f>IF( COUNTIF('Raw Data'!$A$3:$A$2927,$A48)=0,0,SUMIF('Raw Data'!$A$3:$A$2927, $A48,'Raw Data'!K$3:K$2927) / COUNTIF('Raw Data'!$A$3:$A$2927,$A48))</f>
        <v>0</v>
      </c>
      <c r="O48">
        <f>IF( COUNTIF('Raw Data'!$A$3:$A$2927,$A48)=0,0,SUMIF('Raw Data'!$A$3:$A$2927, $A48,'Raw Data'!L$3:L$2927) / COUNTIF('Raw Data'!$A$3:$A$2927,$A48))</f>
        <v>0</v>
      </c>
      <c r="P48" s="58">
        <f>IF( COUNTIF('Raw Data'!$A$3:$A$2927,$A48)=0,0,SUMIF('Raw Data'!$A$3:$A$2927, $A48,'Raw Data'!M$3:M$2927) / COUNTIF('Raw Data'!$A$3:$A$2927,$A48))</f>
        <v>0</v>
      </c>
      <c r="Q48">
        <f>MAX(IF('Raw Data'!$A$3:$A$927=$A48, 'Raw Data'!$Z$3:$Z$927))</f>
        <v>0</v>
      </c>
      <c r="R48">
        <f>MAX(IF('Raw Data'!$A$3:$A$927=$A48, 'Raw Data'!$T$3:$T$927))</f>
        <v>0</v>
      </c>
      <c r="S48">
        <f>IF( COUNTIF('Raw Data'!$A$3:$A$2927,$A48)=0,0,SUMIF('Raw Data'!$A$3:$A$2927, $A48,'Raw Data'!P$3:P$2927) / COUNTIF('Raw Data'!$A$3:$A$2927,$A48))</f>
        <v>0</v>
      </c>
      <c r="T48">
        <f>IF( COUNTIF('Raw Data'!$A$3:$A$2927,$A48)=0,0,SUMIF('Raw Data'!$A$3:$A$2927, $A48,'Raw Data'!Q$3:Q$2927) / COUNTIF('Raw Data'!$A$3:$A$2927,$A48))</f>
        <v>0</v>
      </c>
      <c r="U48">
        <f>IF( COUNTIF('Raw Data'!$A$3:$A$2927,$A48)=0,0,SUMIF('Raw Data'!$A$3:$A$2927, $A48,'Raw Data'!R$3:R$2927) / COUNTIF('Raw Data'!$A$3:$A$2927,$A48))</f>
        <v>0</v>
      </c>
      <c r="V48">
        <f>IF( COUNTIF('Raw Data'!$A$3:$A$2927,$A48)=0,0,SUMIF('Raw Data'!$A$3:$A$2927, $A48,'Raw Data'!S$3:S$2927) / COUNTIF('Raw Data'!$A$3:$A$2927,$A48))</f>
        <v>0</v>
      </c>
      <c r="W48">
        <f>MAX(IF('Raw Data'!$A$3:$A$927=$A48, 'Raw Data'!$Y$3:$Y$927))</f>
        <v>0</v>
      </c>
      <c r="X48">
        <f>IF( COUNTIF('Raw Data'!$A$3:$A$2927,$A48)=0,0,SUMIF('Raw Data'!$A$3:$A$2927, $A48,'Raw Data'!U$3:U$2927) / COUNTIF('Raw Data'!$A$3:$A$2927,$A48))</f>
        <v>0</v>
      </c>
      <c r="Y48">
        <f>IF( COUNTIF('Raw Data'!$A$3:$A$2927,$A48)=0,0,SUMIF('Raw Data'!$A$3:$A$2927, $A48,'Raw Data'!V$3:V$2927) / COUNTIF('Raw Data'!$A$3:$A$2927,$A48))</f>
        <v>0</v>
      </c>
      <c r="Z48">
        <f>IF( COUNTIF('Raw Data'!$A$3:$A$2927,$A48)=0,0,SUMIF('Raw Data'!$A$3:$A$2927, $A48,'Raw Data'!W$3:W$2927) / COUNTIF('Raw Data'!$A$3:$A$2927,$A48))</f>
        <v>0</v>
      </c>
      <c r="AA48">
        <f>IF( COUNTIF('Raw Data'!$A$3:$A$2927,$A48)=0,0,SUMIF('Raw Data'!$A$3:$A$2927, $A48,'Raw Data'!X$3:X$2927) / COUNTIF('Raw Data'!$A$3:$A$2927,$A48))</f>
        <v>0</v>
      </c>
      <c r="AB48">
        <f>IF( COUNTIF('Raw Data'!$A$3:$A$2927,$A48)=0,0,SUMIF('Raw Data'!$A$3:$A$2927, $A48,'Raw Data'!AA$3:AA$2927) / COUNTIF('Raw Data'!$A$3:$A$2927,$A48))</f>
        <v>0</v>
      </c>
      <c r="AC48">
        <f>IF( COUNTIF('Raw Data'!$A$3:$A$2927,$A48)=0,0,SUMIF('Raw Data'!$A$3:$A$2927, $A48,'Raw Data'!AB$3:AB$2927) / COUNTIF('Raw Data'!$A$3:$A$2927,$A48))</f>
        <v>0</v>
      </c>
      <c r="AD48">
        <f>IF( COUNTIF('Raw Data'!$A$3:$A$2927,$A48)=0,0,SUMIF('Raw Data'!$A$3:$A$2927, $A48,'Raw Data'!AC$3:AC$2927) / COUNTIF('Raw Data'!$A$3:$A$2927,$A48))</f>
        <v>0</v>
      </c>
      <c r="AE48" s="117">
        <f>IF( COUNTIF('Raw Data'!$A$3:$A$2927,$A48)=0,0,SUMIF('Raw Data'!$A$3:$A$2927, $A48,'Raw Data'!AD$3:AD$2927) / COUNTIF('Raw Data'!$A$3:$A$2927,$A48))</f>
        <v>0</v>
      </c>
      <c r="AF48">
        <f>IF( COUNTIF('Raw Data'!$A$3:$A$2927,$A48)=0,0,SUMIF('Raw Data'!$A$3:$A$2927, $A48,'Raw Data'!AE$3:AE$2927) / COUNTIF('Raw Data'!$A$3:$A$2927,$A48))</f>
        <v>0</v>
      </c>
      <c r="AG48">
        <f>IF( COUNTIF('Raw Data'!$A$3:$A$2927,$A48)=0,0,SUMIF('Raw Data'!$A$3:$A$2927, $A48,'Raw Data'!AF$3:AF$2927) / COUNTIF('Raw Data'!$A$3:$A$2927,$A48))</f>
        <v>0</v>
      </c>
      <c r="AH48">
        <f>IF( COUNTIF('Raw Data'!$A$3:$A$2927,$A48)=0,0,SUMIF('Raw Data'!$A$3:$A$2927, $A48,'Raw Data'!AG$3:AG$2927) / COUNTIF('Raw Data'!$A$3:$A$2927,$A48))</f>
        <v>0</v>
      </c>
      <c r="AI48">
        <f>IF( COUNTIF('Raw Data'!$A$3:$A$2927,$A48)=0,0,SUMIF('Raw Data'!$A$3:$A$2927, $A48,'Raw Data'!AH$3:AH$2927) / COUNTIF('Raw Data'!$A$3:$A$2927,$A48))</f>
        <v>0</v>
      </c>
      <c r="AJ48" s="117">
        <f>COUNTIF('Raw Data'!A$3:A$2927, $A48)</f>
        <v>0</v>
      </c>
      <c r="AK48">
        <f t="shared" si="6"/>
        <v>-21</v>
      </c>
      <c r="AL48">
        <f t="shared" si="7"/>
        <v>-1.5</v>
      </c>
      <c r="AM48">
        <f t="shared" si="8"/>
        <v>-1</v>
      </c>
    </row>
    <row r="49" spans="1:39">
      <c r="A49">
        <v>5076</v>
      </c>
      <c r="B49" t="s">
        <v>428</v>
      </c>
      <c r="C49">
        <f t="shared" si="0"/>
        <v>0</v>
      </c>
      <c r="D49">
        <f t="shared" si="1"/>
        <v>0</v>
      </c>
      <c r="E49">
        <f>IF( COUNTIF('Raw Data'!$A$3:$A$2927,$A49)=0,0,SUMIF('Raw Data'!$A$3:$A$2927, $A49,'Raw Data'!D$3:D$2927) / COUNTIF('Raw Data'!$A$3:$A$2927,$A49))</f>
        <v>0</v>
      </c>
      <c r="F49">
        <f>MAX(IF('Raw Data'!$A$3:$A$927=$A49, 'Raw Data'!$O$3:$O$927))</f>
        <v>0</v>
      </c>
      <c r="G49">
        <f>MAX(IF('Raw Data'!$A$3:$A$927=$A49, 'Raw Data'!$I$3:$I$927))</f>
        <v>0</v>
      </c>
      <c r="H49">
        <f>IF( COUNTIF('Raw Data'!$A$3:$A$2927,$A49)=0,0,SUMIF('Raw Data'!$A$3:$A$2927, $A49,'Raw Data'!E$3:E$2927) / COUNTIF('Raw Data'!$A$3:$A$2927,$A49))</f>
        <v>0</v>
      </c>
      <c r="I49">
        <f>IF( COUNTIF('Raw Data'!$A$3:$A$2927,$A49)=0,0,SUMIF('Raw Data'!$A$3:$A$2927, $A49,'Raw Data'!F$3:F$2927) / COUNTIF('Raw Data'!$A$3:$A$2927,$A49))</f>
        <v>0</v>
      </c>
      <c r="J49">
        <f>IF( COUNTIF('Raw Data'!$A$3:$A$2927,$A49)=0,0,SUMIF('Raw Data'!$A$3:$A$2927, $A49,'Raw Data'!G$3:G$2927) / COUNTIF('Raw Data'!$A$3:$A$2927,$A49))</f>
        <v>0</v>
      </c>
      <c r="K49">
        <f>IF( COUNTIF('Raw Data'!$A$3:$A$2927,$A49)=0,0,SUMIF('Raw Data'!$A$3:$A$2927, $A49,'Raw Data'!H$3:H$2927) / COUNTIF('Raw Data'!$A$3:$A$2927,$A49))</f>
        <v>0</v>
      </c>
      <c r="L49">
        <f>MAX(IF('Raw Data'!$A$3:$A$927=$A49, 'Raw Data'!$N$3:$N$927))</f>
        <v>0</v>
      </c>
      <c r="M49">
        <f>IF( COUNTIF('Raw Data'!$A$3:$A$2927,$A49)=0,0,SUMIF('Raw Data'!$A$3:$A$2927, $A49,'Raw Data'!J$3:J$2927) / COUNTIF('Raw Data'!$A$3:$A$2927,$A49))</f>
        <v>0</v>
      </c>
      <c r="N49">
        <f>IF( COUNTIF('Raw Data'!$A$3:$A$2927,$A49)=0,0,SUMIF('Raw Data'!$A$3:$A$2927, $A49,'Raw Data'!K$3:K$2927) / COUNTIF('Raw Data'!$A$3:$A$2927,$A49))</f>
        <v>0</v>
      </c>
      <c r="O49">
        <f>IF( COUNTIF('Raw Data'!$A$3:$A$2927,$A49)=0,0,SUMIF('Raw Data'!$A$3:$A$2927, $A49,'Raw Data'!L$3:L$2927) / COUNTIF('Raw Data'!$A$3:$A$2927,$A49))</f>
        <v>0</v>
      </c>
      <c r="P49" s="58">
        <f>IF( COUNTIF('Raw Data'!$A$3:$A$2927,$A49)=0,0,SUMIF('Raw Data'!$A$3:$A$2927, $A49,'Raw Data'!M$3:M$2927) / COUNTIF('Raw Data'!$A$3:$A$2927,$A49))</f>
        <v>0</v>
      </c>
      <c r="Q49">
        <f>MAX(IF('Raw Data'!$A$3:$A$927=$A49, 'Raw Data'!$Z$3:$Z$927))</f>
        <v>0</v>
      </c>
      <c r="R49">
        <f>MAX(IF('Raw Data'!$A$3:$A$927=$A49, 'Raw Data'!$T$3:$T$927))</f>
        <v>0</v>
      </c>
      <c r="S49">
        <f>IF( COUNTIF('Raw Data'!$A$3:$A$2927,$A49)=0,0,SUMIF('Raw Data'!$A$3:$A$2927, $A49,'Raw Data'!P$3:P$2927) / COUNTIF('Raw Data'!$A$3:$A$2927,$A49))</f>
        <v>0</v>
      </c>
      <c r="T49">
        <f>IF( COUNTIF('Raw Data'!$A$3:$A$2927,$A49)=0,0,SUMIF('Raw Data'!$A$3:$A$2927, $A49,'Raw Data'!Q$3:Q$2927) / COUNTIF('Raw Data'!$A$3:$A$2927,$A49))</f>
        <v>0</v>
      </c>
      <c r="U49">
        <f>IF( COUNTIF('Raw Data'!$A$3:$A$2927,$A49)=0,0,SUMIF('Raw Data'!$A$3:$A$2927, $A49,'Raw Data'!R$3:R$2927) / COUNTIF('Raw Data'!$A$3:$A$2927,$A49))</f>
        <v>0</v>
      </c>
      <c r="V49">
        <f>IF( COUNTIF('Raw Data'!$A$3:$A$2927,$A49)=0,0,SUMIF('Raw Data'!$A$3:$A$2927, $A49,'Raw Data'!S$3:S$2927) / COUNTIF('Raw Data'!$A$3:$A$2927,$A49))</f>
        <v>0</v>
      </c>
      <c r="W49">
        <f>MAX(IF('Raw Data'!$A$3:$A$927=$A49, 'Raw Data'!$Y$3:$Y$927))</f>
        <v>0</v>
      </c>
      <c r="X49">
        <f>IF( COUNTIF('Raw Data'!$A$3:$A$2927,$A49)=0,0,SUMIF('Raw Data'!$A$3:$A$2927, $A49,'Raw Data'!U$3:U$2927) / COUNTIF('Raw Data'!$A$3:$A$2927,$A49))</f>
        <v>0</v>
      </c>
      <c r="Y49">
        <f>IF( COUNTIF('Raw Data'!$A$3:$A$2927,$A49)=0,0,SUMIF('Raw Data'!$A$3:$A$2927, $A49,'Raw Data'!V$3:V$2927) / COUNTIF('Raw Data'!$A$3:$A$2927,$A49))</f>
        <v>0</v>
      </c>
      <c r="Z49">
        <f>IF( COUNTIF('Raw Data'!$A$3:$A$2927,$A49)=0,0,SUMIF('Raw Data'!$A$3:$A$2927, $A49,'Raw Data'!W$3:W$2927) / COUNTIF('Raw Data'!$A$3:$A$2927,$A49))</f>
        <v>0</v>
      </c>
      <c r="AA49">
        <f>IF( COUNTIF('Raw Data'!$A$3:$A$2927,$A49)=0,0,SUMIF('Raw Data'!$A$3:$A$2927, $A49,'Raw Data'!X$3:X$2927) / COUNTIF('Raw Data'!$A$3:$A$2927,$A49))</f>
        <v>0</v>
      </c>
      <c r="AB49">
        <f>IF( COUNTIF('Raw Data'!$A$3:$A$2927,$A49)=0,0,SUMIF('Raw Data'!$A$3:$A$2927, $A49,'Raw Data'!AA$3:AA$2927) / COUNTIF('Raw Data'!$A$3:$A$2927,$A49))</f>
        <v>0</v>
      </c>
      <c r="AC49">
        <f>IF( COUNTIF('Raw Data'!$A$3:$A$2927,$A49)=0,0,SUMIF('Raw Data'!$A$3:$A$2927, $A49,'Raw Data'!AB$3:AB$2927) / COUNTIF('Raw Data'!$A$3:$A$2927,$A49))</f>
        <v>0</v>
      </c>
      <c r="AD49">
        <f>IF( COUNTIF('Raw Data'!$A$3:$A$2927,$A49)=0,0,SUMIF('Raw Data'!$A$3:$A$2927, $A49,'Raw Data'!AC$3:AC$2927) / COUNTIF('Raw Data'!$A$3:$A$2927,$A49))</f>
        <v>0</v>
      </c>
      <c r="AE49" s="117">
        <f>IF( COUNTIF('Raw Data'!$A$3:$A$2927,$A49)=0,0,SUMIF('Raw Data'!$A$3:$A$2927, $A49,'Raw Data'!AD$3:AD$2927) / COUNTIF('Raw Data'!$A$3:$A$2927,$A49))</f>
        <v>0</v>
      </c>
      <c r="AF49">
        <f>IF( COUNTIF('Raw Data'!$A$3:$A$2927,$A49)=0,0,SUMIF('Raw Data'!$A$3:$A$2927, $A49,'Raw Data'!AE$3:AE$2927) / COUNTIF('Raw Data'!$A$3:$A$2927,$A49))</f>
        <v>0</v>
      </c>
      <c r="AG49">
        <f>IF( COUNTIF('Raw Data'!$A$3:$A$2927,$A49)=0,0,SUMIF('Raw Data'!$A$3:$A$2927, $A49,'Raw Data'!AF$3:AF$2927) / COUNTIF('Raw Data'!$A$3:$A$2927,$A49))</f>
        <v>0</v>
      </c>
      <c r="AH49">
        <f>IF( COUNTIF('Raw Data'!$A$3:$A$2927,$A49)=0,0,SUMIF('Raw Data'!$A$3:$A$2927, $A49,'Raw Data'!AG$3:AG$2927) / COUNTIF('Raw Data'!$A$3:$A$2927,$A49))</f>
        <v>0</v>
      </c>
      <c r="AI49">
        <f>IF( COUNTIF('Raw Data'!$A$3:$A$2927,$A49)=0,0,SUMIF('Raw Data'!$A$3:$A$2927, $A49,'Raw Data'!AH$3:AH$2927) / COUNTIF('Raw Data'!$A$3:$A$2927,$A49))</f>
        <v>0</v>
      </c>
      <c r="AJ49" s="117">
        <f>COUNTIF('Raw Data'!A$3:A$2927, $A49)</f>
        <v>0</v>
      </c>
      <c r="AK49">
        <f t="shared" si="6"/>
        <v>-21</v>
      </c>
      <c r="AL49">
        <f t="shared" si="7"/>
        <v>-1.5</v>
      </c>
      <c r="AM49">
        <f t="shared" si="8"/>
        <v>-1</v>
      </c>
    </row>
    <row r="50" spans="1:39">
      <c r="A50">
        <v>5406</v>
      </c>
      <c r="B50" t="s">
        <v>429</v>
      </c>
      <c r="C50">
        <f t="shared" si="0"/>
        <v>34</v>
      </c>
      <c r="D50">
        <f t="shared" si="1"/>
        <v>15</v>
      </c>
      <c r="E50">
        <f>IF( COUNTIF('Raw Data'!$A$3:$A$2927,$A50)=0,0,SUMIF('Raw Data'!$A$3:$A$2927, $A50,'Raw Data'!D$3:D$2927) / COUNTIF('Raw Data'!$A$3:$A$2927,$A50))</f>
        <v>1</v>
      </c>
      <c r="F50">
        <f>MAX(IF('Raw Data'!$A$3:$A$927=$A50, 'Raw Data'!$O$3:$O$927))</f>
        <v>0</v>
      </c>
      <c r="G50">
        <f>MAX(IF('Raw Data'!$A$3:$A$927=$A50, 'Raw Data'!$I$3:$I$927))</f>
        <v>0</v>
      </c>
      <c r="H50">
        <f>IF( COUNTIF('Raw Data'!$A$3:$A$2927,$A50)=0,0,SUMIF('Raw Data'!$A$3:$A$2927, $A50,'Raw Data'!E$3:E$2927) / COUNTIF('Raw Data'!$A$3:$A$2927,$A50))</f>
        <v>0</v>
      </c>
      <c r="I50">
        <f>IF( COUNTIF('Raw Data'!$A$3:$A$2927,$A50)=0,0,SUMIF('Raw Data'!$A$3:$A$2927, $A50,'Raw Data'!F$3:F$2927) / COUNTIF('Raw Data'!$A$3:$A$2927,$A50))</f>
        <v>0</v>
      </c>
      <c r="J50">
        <f>IF( COUNTIF('Raw Data'!$A$3:$A$2927,$A50)=0,0,SUMIF('Raw Data'!$A$3:$A$2927, $A50,'Raw Data'!G$3:G$2927) / COUNTIF('Raw Data'!$A$3:$A$2927,$A50))</f>
        <v>1</v>
      </c>
      <c r="K50">
        <f>IF( COUNTIF('Raw Data'!$A$3:$A$2927,$A50)=0,0,SUMIF('Raw Data'!$A$3:$A$2927, $A50,'Raw Data'!H$3:H$2927) / COUNTIF('Raw Data'!$A$3:$A$2927,$A50))</f>
        <v>0</v>
      </c>
      <c r="L50">
        <f>MAX(IF('Raw Data'!$A$3:$A$927=$A50, 'Raw Data'!$N$3:$N$927))</f>
        <v>0</v>
      </c>
      <c r="M50">
        <f>IF( COUNTIF('Raw Data'!$A$3:$A$2927,$A50)=0,0,SUMIF('Raw Data'!$A$3:$A$2927, $A50,'Raw Data'!J$3:J$2927) / COUNTIF('Raw Data'!$A$3:$A$2927,$A50))</f>
        <v>0</v>
      </c>
      <c r="N50">
        <f>IF( COUNTIF('Raw Data'!$A$3:$A$2927,$A50)=0,0,SUMIF('Raw Data'!$A$3:$A$2927, $A50,'Raw Data'!K$3:K$2927) / COUNTIF('Raw Data'!$A$3:$A$2927,$A50))</f>
        <v>0</v>
      </c>
      <c r="O50">
        <f>IF( COUNTIF('Raw Data'!$A$3:$A$2927,$A50)=0,0,SUMIF('Raw Data'!$A$3:$A$2927, $A50,'Raw Data'!L$3:L$2927) / COUNTIF('Raw Data'!$A$3:$A$2927,$A50))</f>
        <v>0</v>
      </c>
      <c r="P50" s="58">
        <f>IF( COUNTIF('Raw Data'!$A$3:$A$2927,$A50)=0,0,SUMIF('Raw Data'!$A$3:$A$2927, $A50,'Raw Data'!M$3:M$2927) / COUNTIF('Raw Data'!$A$3:$A$2927,$A50))</f>
        <v>0</v>
      </c>
      <c r="Q50">
        <f>MAX(IF('Raw Data'!$A$3:$A$927=$A50, 'Raw Data'!$Z$3:$Z$927))</f>
        <v>0</v>
      </c>
      <c r="R50">
        <f>MAX(IF('Raw Data'!$A$3:$A$927=$A50, 'Raw Data'!$T$3:$T$927))</f>
        <v>0</v>
      </c>
      <c r="S50">
        <f>IF( COUNTIF('Raw Data'!$A$3:$A$2927,$A50)=0,0,SUMIF('Raw Data'!$A$3:$A$2927, $A50,'Raw Data'!P$3:P$2927) / COUNTIF('Raw Data'!$A$3:$A$2927,$A50))</f>
        <v>0</v>
      </c>
      <c r="T50">
        <f>IF( COUNTIF('Raw Data'!$A$3:$A$2927,$A50)=0,0,SUMIF('Raw Data'!$A$3:$A$2927, $A50,'Raw Data'!Q$3:Q$2927) / COUNTIF('Raw Data'!$A$3:$A$2927,$A50))</f>
        <v>0</v>
      </c>
      <c r="U50">
        <f>IF( COUNTIF('Raw Data'!$A$3:$A$2927,$A50)=0,0,SUMIF('Raw Data'!$A$3:$A$2927, $A50,'Raw Data'!R$3:R$2927) / COUNTIF('Raw Data'!$A$3:$A$2927,$A50))</f>
        <v>1</v>
      </c>
      <c r="V50">
        <f>IF( COUNTIF('Raw Data'!$A$3:$A$2927,$A50)=0,0,SUMIF('Raw Data'!$A$3:$A$2927, $A50,'Raw Data'!S$3:S$2927) / COUNTIF('Raw Data'!$A$3:$A$2927,$A50))</f>
        <v>0</v>
      </c>
      <c r="W50">
        <f>MAX(IF('Raw Data'!$A$3:$A$927=$A50, 'Raw Data'!$Y$3:$Y$927))</f>
        <v>0</v>
      </c>
      <c r="X50">
        <f>IF( COUNTIF('Raw Data'!$A$3:$A$2927,$A50)=0,0,SUMIF('Raw Data'!$A$3:$A$2927, $A50,'Raw Data'!U$3:U$2927) / COUNTIF('Raw Data'!$A$3:$A$2927,$A50))</f>
        <v>5</v>
      </c>
      <c r="Y50">
        <f>IF( COUNTIF('Raw Data'!$A$3:$A$2927,$A50)=0,0,SUMIF('Raw Data'!$A$3:$A$2927, $A50,'Raw Data'!V$3:V$2927) / COUNTIF('Raw Data'!$A$3:$A$2927,$A50))</f>
        <v>0</v>
      </c>
      <c r="Z50">
        <f>IF( COUNTIF('Raw Data'!$A$3:$A$2927,$A50)=0,0,SUMIF('Raw Data'!$A$3:$A$2927, $A50,'Raw Data'!W$3:W$2927) / COUNTIF('Raw Data'!$A$3:$A$2927,$A50))</f>
        <v>0</v>
      </c>
      <c r="AA50">
        <f>IF( COUNTIF('Raw Data'!$A$3:$A$2927,$A50)=0,0,SUMIF('Raw Data'!$A$3:$A$2927, $A50,'Raw Data'!X$3:X$2927) / COUNTIF('Raw Data'!$A$3:$A$2927,$A50))</f>
        <v>0</v>
      </c>
      <c r="AB50">
        <f>IF( COUNTIF('Raw Data'!$A$3:$A$2927,$A50)=0,0,SUMIF('Raw Data'!$A$3:$A$2927, $A50,'Raw Data'!AA$3:AA$2927) / COUNTIF('Raw Data'!$A$3:$A$2927,$A50))</f>
        <v>0</v>
      </c>
      <c r="AC50">
        <f>IF( COUNTIF('Raw Data'!$A$3:$A$2927,$A50)=0,0,SUMIF('Raw Data'!$A$3:$A$2927, $A50,'Raw Data'!AB$3:AB$2927) / COUNTIF('Raw Data'!$A$3:$A$2927,$A50))</f>
        <v>0</v>
      </c>
      <c r="AD50">
        <f>IF( COUNTIF('Raw Data'!$A$3:$A$2927,$A50)=0,0,SUMIF('Raw Data'!$A$3:$A$2927, $A50,'Raw Data'!AC$3:AC$2927) / COUNTIF('Raw Data'!$A$3:$A$2927,$A50))</f>
        <v>3</v>
      </c>
      <c r="AE50" s="117">
        <f>IF( COUNTIF('Raw Data'!$A$3:$A$2927,$A50)=0,0,SUMIF('Raw Data'!$A$3:$A$2927, $A50,'Raw Data'!AD$3:AD$2927) / COUNTIF('Raw Data'!$A$3:$A$2927,$A50))</f>
        <v>0</v>
      </c>
      <c r="AF50">
        <f>IF( COUNTIF('Raw Data'!$A$3:$A$2927,$A50)=0,0,SUMIF('Raw Data'!$A$3:$A$2927, $A50,'Raw Data'!AE$3:AE$2927) / COUNTIF('Raw Data'!$A$3:$A$2927,$A50))</f>
        <v>0</v>
      </c>
      <c r="AG50">
        <f>IF( COUNTIF('Raw Data'!$A$3:$A$2927,$A50)=0,0,SUMIF('Raw Data'!$A$3:$A$2927, $A50,'Raw Data'!AF$3:AF$2927) / COUNTIF('Raw Data'!$A$3:$A$2927,$A50))</f>
        <v>0</v>
      </c>
      <c r="AH50">
        <f>IF( COUNTIF('Raw Data'!$A$3:$A$2927,$A50)=0,0,SUMIF('Raw Data'!$A$3:$A$2927, $A50,'Raw Data'!AG$3:AG$2927) / COUNTIF('Raw Data'!$A$3:$A$2927,$A50))</f>
        <v>0</v>
      </c>
      <c r="AI50">
        <f>IF( COUNTIF('Raw Data'!$A$3:$A$2927,$A50)=0,0,SUMIF('Raw Data'!$A$3:$A$2927, $A50,'Raw Data'!AH$3:AH$2927) / COUNTIF('Raw Data'!$A$3:$A$2927,$A50))</f>
        <v>0</v>
      </c>
      <c r="AJ50" s="117">
        <f>COUNTIF('Raw Data'!A$3:A$2927, $A50)</f>
        <v>1</v>
      </c>
      <c r="AK50">
        <f t="shared" si="6"/>
        <v>13.3</v>
      </c>
      <c r="AL50">
        <f t="shared" si="7"/>
        <v>3.5</v>
      </c>
      <c r="AM50">
        <f t="shared" si="8"/>
        <v>5</v>
      </c>
    </row>
    <row r="51" spans="1:39">
      <c r="A51">
        <v>5409</v>
      </c>
      <c r="B51" t="s">
        <v>218</v>
      </c>
      <c r="C51">
        <f t="shared" si="0"/>
        <v>13.222222222222221</v>
      </c>
      <c r="D51">
        <f t="shared" si="1"/>
        <v>7</v>
      </c>
      <c r="E51">
        <f>IF( COUNTIF('Raw Data'!$A$3:$A$2927,$A51)=0,0,SUMIF('Raw Data'!$A$3:$A$2927, $A51,'Raw Data'!D$3:D$2927) / COUNTIF('Raw Data'!$A$3:$A$2927,$A51))</f>
        <v>1.4444444444444444</v>
      </c>
      <c r="F51">
        <f>MAX(IF('Raw Data'!$A$3:$A$927=$A51, 'Raw Data'!$O$3:$O$927))</f>
        <v>0</v>
      </c>
      <c r="G51">
        <f>MAX(IF('Raw Data'!$A$3:$A$927=$A51, 'Raw Data'!$I$3:$I$927))</f>
        <v>0</v>
      </c>
      <c r="H51">
        <f>IF( COUNTIF('Raw Data'!$A$3:$A$2927,$A51)=0,0,SUMIF('Raw Data'!$A$3:$A$2927, $A51,'Raw Data'!E$3:E$2927) / COUNTIF('Raw Data'!$A$3:$A$2927,$A51))</f>
        <v>0</v>
      </c>
      <c r="I51">
        <f>IF( COUNTIF('Raw Data'!$A$3:$A$2927,$A51)=0,0,SUMIF('Raw Data'!$A$3:$A$2927, $A51,'Raw Data'!F$3:F$2927) / COUNTIF('Raw Data'!$A$3:$A$2927,$A51))</f>
        <v>0</v>
      </c>
      <c r="J51">
        <f>IF( COUNTIF('Raw Data'!$A$3:$A$2927,$A51)=0,0,SUMIF('Raw Data'!$A$3:$A$2927, $A51,'Raw Data'!G$3:G$2927) / COUNTIF('Raw Data'!$A$3:$A$2927,$A51))</f>
        <v>0</v>
      </c>
      <c r="K51">
        <f>IF( COUNTIF('Raw Data'!$A$3:$A$2927,$A51)=0,0,SUMIF('Raw Data'!$A$3:$A$2927, $A51,'Raw Data'!H$3:H$2927) / COUNTIF('Raw Data'!$A$3:$A$2927,$A51))</f>
        <v>0</v>
      </c>
      <c r="L51">
        <f>MAX(IF('Raw Data'!$A$3:$A$927=$A51, 'Raw Data'!$N$3:$N$927))</f>
        <v>0</v>
      </c>
      <c r="M51">
        <f>IF( COUNTIF('Raw Data'!$A$3:$A$2927,$A51)=0,0,SUMIF('Raw Data'!$A$3:$A$2927, $A51,'Raw Data'!J$3:J$2927) / COUNTIF('Raw Data'!$A$3:$A$2927,$A51))</f>
        <v>0</v>
      </c>
      <c r="N51">
        <f>IF( COUNTIF('Raw Data'!$A$3:$A$2927,$A51)=0,0,SUMIF('Raw Data'!$A$3:$A$2927, $A51,'Raw Data'!K$3:K$2927) / COUNTIF('Raw Data'!$A$3:$A$2927,$A51))</f>
        <v>0</v>
      </c>
      <c r="O51">
        <f>IF( COUNTIF('Raw Data'!$A$3:$A$2927,$A51)=0,0,SUMIF('Raw Data'!$A$3:$A$2927, $A51,'Raw Data'!L$3:L$2927) / COUNTIF('Raw Data'!$A$3:$A$2927,$A51))</f>
        <v>0</v>
      </c>
      <c r="P51" s="58">
        <f>IF( COUNTIF('Raw Data'!$A$3:$A$2927,$A51)=0,0,SUMIF('Raw Data'!$A$3:$A$2927, $A51,'Raw Data'!M$3:M$2927) / COUNTIF('Raw Data'!$A$3:$A$2927,$A51))</f>
        <v>0</v>
      </c>
      <c r="Q51">
        <f>MAX(IF('Raw Data'!$A$3:$A$927=$A51, 'Raw Data'!$Z$3:$Z$927))</f>
        <v>0</v>
      </c>
      <c r="R51">
        <f>MAX(IF('Raw Data'!$A$3:$A$927=$A51, 'Raw Data'!$T$3:$T$927))</f>
        <v>0</v>
      </c>
      <c r="S51">
        <f>IF( COUNTIF('Raw Data'!$A$3:$A$2927,$A51)=0,0,SUMIF('Raw Data'!$A$3:$A$2927, $A51,'Raw Data'!P$3:P$2927) / COUNTIF('Raw Data'!$A$3:$A$2927,$A51))</f>
        <v>0</v>
      </c>
      <c r="T51">
        <f>IF( COUNTIF('Raw Data'!$A$3:$A$2927,$A51)=0,0,SUMIF('Raw Data'!$A$3:$A$2927, $A51,'Raw Data'!Q$3:Q$2927) / COUNTIF('Raw Data'!$A$3:$A$2927,$A51))</f>
        <v>0</v>
      </c>
      <c r="U51">
        <f>IF( COUNTIF('Raw Data'!$A$3:$A$2927,$A51)=0,0,SUMIF('Raw Data'!$A$3:$A$2927, $A51,'Raw Data'!R$3:R$2927) / COUNTIF('Raw Data'!$A$3:$A$2927,$A51))</f>
        <v>0</v>
      </c>
      <c r="V51">
        <f>IF( COUNTIF('Raw Data'!$A$3:$A$2927,$A51)=0,0,SUMIF('Raw Data'!$A$3:$A$2927, $A51,'Raw Data'!S$3:S$2927) / COUNTIF('Raw Data'!$A$3:$A$2927,$A51))</f>
        <v>0</v>
      </c>
      <c r="W51">
        <f>MAX(IF('Raw Data'!$A$3:$A$927=$A51, 'Raw Data'!$Y$3:$Y$927))</f>
        <v>0</v>
      </c>
      <c r="X51">
        <f>IF( COUNTIF('Raw Data'!$A$3:$A$2927,$A51)=0,0,SUMIF('Raw Data'!$A$3:$A$2927, $A51,'Raw Data'!U$3:U$2927) / COUNTIF('Raw Data'!$A$3:$A$2927,$A51))</f>
        <v>2.3333333333333335</v>
      </c>
      <c r="Y51">
        <f>IF( COUNTIF('Raw Data'!$A$3:$A$2927,$A51)=0,0,SUMIF('Raw Data'!$A$3:$A$2927, $A51,'Raw Data'!V$3:V$2927) / COUNTIF('Raw Data'!$A$3:$A$2927,$A51))</f>
        <v>0</v>
      </c>
      <c r="Z51">
        <f>IF( COUNTIF('Raw Data'!$A$3:$A$2927,$A51)=0,0,SUMIF('Raw Data'!$A$3:$A$2927, $A51,'Raw Data'!W$3:W$2927) / COUNTIF('Raw Data'!$A$3:$A$2927,$A51))</f>
        <v>0.22222222222222221</v>
      </c>
      <c r="AA51">
        <f>IF( COUNTIF('Raw Data'!$A$3:$A$2927,$A51)=0,0,SUMIF('Raw Data'!$A$3:$A$2927, $A51,'Raw Data'!X$3:X$2927) / COUNTIF('Raw Data'!$A$3:$A$2927,$A51))</f>
        <v>0.1111111111111111</v>
      </c>
      <c r="AB51">
        <f>IF( COUNTIF('Raw Data'!$A$3:$A$2927,$A51)=0,0,SUMIF('Raw Data'!$A$3:$A$2927, $A51,'Raw Data'!AA$3:AA$2927) / COUNTIF('Raw Data'!$A$3:$A$2927,$A51))</f>
        <v>4.2222222222222223</v>
      </c>
      <c r="AC51">
        <f>IF( COUNTIF('Raw Data'!$A$3:$A$2927,$A51)=0,0,SUMIF('Raw Data'!$A$3:$A$2927, $A51,'Raw Data'!AB$3:AB$2927) / COUNTIF('Raw Data'!$A$3:$A$2927,$A51))</f>
        <v>0</v>
      </c>
      <c r="AD51">
        <f>IF( COUNTIF('Raw Data'!$A$3:$A$2927,$A51)=0,0,SUMIF('Raw Data'!$A$3:$A$2927, $A51,'Raw Data'!AC$3:AC$2927) / COUNTIF('Raw Data'!$A$3:$A$2927,$A51))</f>
        <v>0.77777777777777779</v>
      </c>
      <c r="AE51" s="117">
        <f>IF( COUNTIF('Raw Data'!$A$3:$A$2927,$A51)=0,0,SUMIF('Raw Data'!$A$3:$A$2927, $A51,'Raw Data'!AD$3:AD$2927) / COUNTIF('Raw Data'!$A$3:$A$2927,$A51))</f>
        <v>0</v>
      </c>
      <c r="AF51">
        <f>IF( COUNTIF('Raw Data'!$A$3:$A$2927,$A51)=0,0,SUMIF('Raw Data'!$A$3:$A$2927, $A51,'Raw Data'!AE$3:AE$2927) / COUNTIF('Raw Data'!$A$3:$A$2927,$A51))</f>
        <v>0.1111111111111111</v>
      </c>
      <c r="AG51">
        <f>IF( COUNTIF('Raw Data'!$A$3:$A$2927,$A51)=0,0,SUMIF('Raw Data'!$A$3:$A$2927, $A51,'Raw Data'!AF$3:AF$2927) / COUNTIF('Raw Data'!$A$3:$A$2927,$A51))</f>
        <v>0</v>
      </c>
      <c r="AH51">
        <f>IF( COUNTIF('Raw Data'!$A$3:$A$2927,$A51)=0,0,SUMIF('Raw Data'!$A$3:$A$2927, $A51,'Raw Data'!AG$3:AG$2927) / COUNTIF('Raw Data'!$A$3:$A$2927,$A51))</f>
        <v>1.4444444444444444</v>
      </c>
      <c r="AI51">
        <f>IF( COUNTIF('Raw Data'!$A$3:$A$2927,$A51)=0,0,SUMIF('Raw Data'!$A$3:$A$2927, $A51,'Raw Data'!AH$3:AH$2927) / COUNTIF('Raw Data'!$A$3:$A$2927,$A51))</f>
        <v>0</v>
      </c>
      <c r="AJ51" s="117">
        <f>COUNTIF('Raw Data'!A$3:A$2927, $A51)</f>
        <v>9</v>
      </c>
      <c r="AK51">
        <f t="shared" si="6"/>
        <v>0.98222222222222266</v>
      </c>
      <c r="AL51">
        <f t="shared" si="7"/>
        <v>-0.94444444444444442</v>
      </c>
      <c r="AM51">
        <f t="shared" si="8"/>
        <v>2.1344444444444446</v>
      </c>
    </row>
    <row r="52" spans="1:39">
      <c r="A52">
        <v>5426</v>
      </c>
      <c r="B52" t="s">
        <v>219</v>
      </c>
      <c r="C52">
        <f t="shared" si="0"/>
        <v>9.9999999999999982</v>
      </c>
      <c r="D52">
        <f t="shared" si="1"/>
        <v>3.4</v>
      </c>
      <c r="E52">
        <f>IF( COUNTIF('Raw Data'!$A$3:$A$2927,$A52)=0,0,SUMIF('Raw Data'!$A$3:$A$2927, $A52,'Raw Data'!D$3:D$2927) / COUNTIF('Raw Data'!$A$3:$A$2927,$A52))</f>
        <v>1.8</v>
      </c>
      <c r="F52">
        <f>MAX(IF('Raw Data'!$A$3:$A$927=$A52, 'Raw Data'!$O$3:$O$927))</f>
        <v>0</v>
      </c>
      <c r="G52">
        <f>MAX(IF('Raw Data'!$A$3:$A$927=$A52, 'Raw Data'!$I$3:$I$927))</f>
        <v>0</v>
      </c>
      <c r="H52">
        <f>IF( COUNTIF('Raw Data'!$A$3:$A$2927,$A52)=0,0,SUMIF('Raw Data'!$A$3:$A$2927, $A52,'Raw Data'!E$3:E$2927) / COUNTIF('Raw Data'!$A$3:$A$2927,$A52))</f>
        <v>0</v>
      </c>
      <c r="I52">
        <f>IF( COUNTIF('Raw Data'!$A$3:$A$2927,$A52)=0,0,SUMIF('Raw Data'!$A$3:$A$2927, $A52,'Raw Data'!F$3:F$2927) / COUNTIF('Raw Data'!$A$3:$A$2927,$A52))</f>
        <v>0</v>
      </c>
      <c r="J52">
        <f>IF( COUNTIF('Raw Data'!$A$3:$A$2927,$A52)=0,0,SUMIF('Raw Data'!$A$3:$A$2927, $A52,'Raw Data'!G$3:G$2927) / COUNTIF('Raw Data'!$A$3:$A$2927,$A52))</f>
        <v>0</v>
      </c>
      <c r="K52">
        <f>IF( COUNTIF('Raw Data'!$A$3:$A$2927,$A52)=0,0,SUMIF('Raw Data'!$A$3:$A$2927, $A52,'Raw Data'!H$3:H$2927) / COUNTIF('Raw Data'!$A$3:$A$2927,$A52))</f>
        <v>0</v>
      </c>
      <c r="L52">
        <f>MAX(IF('Raw Data'!$A$3:$A$927=$A52, 'Raw Data'!$N$3:$N$927))</f>
        <v>0</v>
      </c>
      <c r="M52">
        <f>IF( COUNTIF('Raw Data'!$A$3:$A$2927,$A52)=0,0,SUMIF('Raw Data'!$A$3:$A$2927, $A52,'Raw Data'!J$3:J$2927) / COUNTIF('Raw Data'!$A$3:$A$2927,$A52))</f>
        <v>0</v>
      </c>
      <c r="N52">
        <f>IF( COUNTIF('Raw Data'!$A$3:$A$2927,$A52)=0,0,SUMIF('Raw Data'!$A$3:$A$2927, $A52,'Raw Data'!K$3:K$2927) / COUNTIF('Raw Data'!$A$3:$A$2927,$A52))</f>
        <v>0</v>
      </c>
      <c r="O52">
        <f>IF( COUNTIF('Raw Data'!$A$3:$A$2927,$A52)=0,0,SUMIF('Raw Data'!$A$3:$A$2927, $A52,'Raw Data'!L$3:L$2927) / COUNTIF('Raw Data'!$A$3:$A$2927,$A52))</f>
        <v>0</v>
      </c>
      <c r="P52" s="58">
        <f>IF( COUNTIF('Raw Data'!$A$3:$A$2927,$A52)=0,0,SUMIF('Raw Data'!$A$3:$A$2927, $A52,'Raw Data'!M$3:M$2927) / COUNTIF('Raw Data'!$A$3:$A$2927,$A52))</f>
        <v>0</v>
      </c>
      <c r="Q52">
        <f>MAX(IF('Raw Data'!$A$3:$A$927=$A52, 'Raw Data'!$Z$3:$Z$927))</f>
        <v>0</v>
      </c>
      <c r="R52">
        <f>MAX(IF('Raw Data'!$A$3:$A$927=$A52, 'Raw Data'!$T$3:$T$927))</f>
        <v>0</v>
      </c>
      <c r="S52">
        <f>IF( COUNTIF('Raw Data'!$A$3:$A$2927,$A52)=0,0,SUMIF('Raw Data'!$A$3:$A$2927, $A52,'Raw Data'!P$3:P$2927) / COUNTIF('Raw Data'!$A$3:$A$2927,$A52))</f>
        <v>0.2</v>
      </c>
      <c r="T52">
        <f>IF( COUNTIF('Raw Data'!$A$3:$A$2927,$A52)=0,0,SUMIF('Raw Data'!$A$3:$A$2927, $A52,'Raw Data'!Q$3:Q$2927) / COUNTIF('Raw Data'!$A$3:$A$2927,$A52))</f>
        <v>1.2</v>
      </c>
      <c r="U52">
        <f>IF( COUNTIF('Raw Data'!$A$3:$A$2927,$A52)=0,0,SUMIF('Raw Data'!$A$3:$A$2927, $A52,'Raw Data'!R$3:R$2927) / COUNTIF('Raw Data'!$A$3:$A$2927,$A52))</f>
        <v>0</v>
      </c>
      <c r="V52">
        <f>IF( COUNTIF('Raw Data'!$A$3:$A$2927,$A52)=0,0,SUMIF('Raw Data'!$A$3:$A$2927, $A52,'Raw Data'!S$3:S$2927) / COUNTIF('Raw Data'!$A$3:$A$2927,$A52))</f>
        <v>0</v>
      </c>
      <c r="W52">
        <f>MAX(IF('Raw Data'!$A$3:$A$927=$A52, 'Raw Data'!$Y$3:$Y$927))</f>
        <v>0</v>
      </c>
      <c r="X52">
        <f>IF( COUNTIF('Raw Data'!$A$3:$A$2927,$A52)=0,0,SUMIF('Raw Data'!$A$3:$A$2927, $A52,'Raw Data'!U$3:U$2927) / COUNTIF('Raw Data'!$A$3:$A$2927,$A52))</f>
        <v>0</v>
      </c>
      <c r="Y52">
        <f>IF( COUNTIF('Raw Data'!$A$3:$A$2927,$A52)=0,0,SUMIF('Raw Data'!$A$3:$A$2927, $A52,'Raw Data'!V$3:V$2927) / COUNTIF('Raw Data'!$A$3:$A$2927,$A52))</f>
        <v>0.2</v>
      </c>
      <c r="Z52">
        <f>IF( COUNTIF('Raw Data'!$A$3:$A$2927,$A52)=0,0,SUMIF('Raw Data'!$A$3:$A$2927, $A52,'Raw Data'!W$3:W$2927) / COUNTIF('Raw Data'!$A$3:$A$2927,$A52))</f>
        <v>0</v>
      </c>
      <c r="AA52">
        <f>IF( COUNTIF('Raw Data'!$A$3:$A$2927,$A52)=0,0,SUMIF('Raw Data'!$A$3:$A$2927, $A52,'Raw Data'!X$3:X$2927) / COUNTIF('Raw Data'!$A$3:$A$2927,$A52))</f>
        <v>0</v>
      </c>
      <c r="AB52">
        <f>IF( COUNTIF('Raw Data'!$A$3:$A$2927,$A52)=0,0,SUMIF('Raw Data'!$A$3:$A$2927, $A52,'Raw Data'!AA$3:AA$2927) / COUNTIF('Raw Data'!$A$3:$A$2927,$A52))</f>
        <v>15.5</v>
      </c>
      <c r="AC52">
        <f>IF( COUNTIF('Raw Data'!$A$3:$A$2927,$A52)=0,0,SUMIF('Raw Data'!$A$3:$A$2927, $A52,'Raw Data'!AB$3:AB$2927) / COUNTIF('Raw Data'!$A$3:$A$2927,$A52))</f>
        <v>0</v>
      </c>
      <c r="AD52">
        <f>IF( COUNTIF('Raw Data'!$A$3:$A$2927,$A52)=0,0,SUMIF('Raw Data'!$A$3:$A$2927, $A52,'Raw Data'!AC$3:AC$2927) / COUNTIF('Raw Data'!$A$3:$A$2927,$A52))</f>
        <v>0.7</v>
      </c>
      <c r="AE52" s="117">
        <f>IF( COUNTIF('Raw Data'!$A$3:$A$2927,$A52)=0,0,SUMIF('Raw Data'!$A$3:$A$2927, $A52,'Raw Data'!AD$3:AD$2927) / COUNTIF('Raw Data'!$A$3:$A$2927,$A52))</f>
        <v>0</v>
      </c>
      <c r="AF52">
        <f>IF( COUNTIF('Raw Data'!$A$3:$A$2927,$A52)=0,0,SUMIF('Raw Data'!$A$3:$A$2927, $A52,'Raw Data'!AE$3:AE$2927) / COUNTIF('Raw Data'!$A$3:$A$2927,$A52))</f>
        <v>0.1</v>
      </c>
      <c r="AG52">
        <f>IF( COUNTIF('Raw Data'!$A$3:$A$2927,$A52)=0,0,SUMIF('Raw Data'!$A$3:$A$2927, $A52,'Raw Data'!AF$3:AF$2927) / COUNTIF('Raw Data'!$A$3:$A$2927,$A52))</f>
        <v>0</v>
      </c>
      <c r="AH52">
        <f>IF( COUNTIF('Raw Data'!$A$3:$A$2927,$A52)=0,0,SUMIF('Raw Data'!$A$3:$A$2927, $A52,'Raw Data'!AG$3:AG$2927) / COUNTIF('Raw Data'!$A$3:$A$2927,$A52))</f>
        <v>0.9</v>
      </c>
      <c r="AI52">
        <f>IF( COUNTIF('Raw Data'!$A$3:$A$2927,$A52)=0,0,SUMIF('Raw Data'!$A$3:$A$2927, $A52,'Raw Data'!AH$3:AH$2927) / COUNTIF('Raw Data'!$A$3:$A$2927,$A52))</f>
        <v>0.3</v>
      </c>
      <c r="AJ52" s="117">
        <f>COUNTIF('Raw Data'!A$3:A$2927, $A52)</f>
        <v>10</v>
      </c>
      <c r="AK52">
        <f t="shared" si="6"/>
        <v>1.2819999999999998</v>
      </c>
      <c r="AL52">
        <f t="shared" si="7"/>
        <v>0.14999999999999997</v>
      </c>
      <c r="AM52">
        <f t="shared" si="8"/>
        <v>-0.29700000000000004</v>
      </c>
    </row>
    <row r="53" spans="1:39">
      <c r="A53">
        <v>5719</v>
      </c>
      <c r="B53" t="s">
        <v>430</v>
      </c>
      <c r="C53">
        <f t="shared" si="0"/>
        <v>0</v>
      </c>
      <c r="D53">
        <f t="shared" si="1"/>
        <v>0</v>
      </c>
      <c r="E53">
        <f>IF( COUNTIF('Raw Data'!$A$3:$A$2927,$A53)=0,0,SUMIF('Raw Data'!$A$3:$A$2927, $A53,'Raw Data'!D$3:D$2927) / COUNTIF('Raw Data'!$A$3:$A$2927,$A53))</f>
        <v>0</v>
      </c>
      <c r="F53">
        <f>MAX(IF('Raw Data'!$A$3:$A$927=$A53, 'Raw Data'!$O$3:$O$927))</f>
        <v>0</v>
      </c>
      <c r="G53">
        <f>MAX(IF('Raw Data'!$A$3:$A$927=$A53, 'Raw Data'!$I$3:$I$927))</f>
        <v>0</v>
      </c>
      <c r="H53">
        <f>IF( COUNTIF('Raw Data'!$A$3:$A$2927,$A53)=0,0,SUMIF('Raw Data'!$A$3:$A$2927, $A53,'Raw Data'!E$3:E$2927) / COUNTIF('Raw Data'!$A$3:$A$2927,$A53))</f>
        <v>0</v>
      </c>
      <c r="I53">
        <f>IF( COUNTIF('Raw Data'!$A$3:$A$2927,$A53)=0,0,SUMIF('Raw Data'!$A$3:$A$2927, $A53,'Raw Data'!F$3:F$2927) / COUNTIF('Raw Data'!$A$3:$A$2927,$A53))</f>
        <v>0</v>
      </c>
      <c r="J53">
        <f>IF( COUNTIF('Raw Data'!$A$3:$A$2927,$A53)=0,0,SUMIF('Raw Data'!$A$3:$A$2927, $A53,'Raw Data'!G$3:G$2927) / COUNTIF('Raw Data'!$A$3:$A$2927,$A53))</f>
        <v>0</v>
      </c>
      <c r="K53">
        <f>IF( COUNTIF('Raw Data'!$A$3:$A$2927,$A53)=0,0,SUMIF('Raw Data'!$A$3:$A$2927, $A53,'Raw Data'!H$3:H$2927) / COUNTIF('Raw Data'!$A$3:$A$2927,$A53))</f>
        <v>0</v>
      </c>
      <c r="L53">
        <f>MAX(IF('Raw Data'!$A$3:$A$927=$A53, 'Raw Data'!$N$3:$N$927))</f>
        <v>0</v>
      </c>
      <c r="M53">
        <f>IF( COUNTIF('Raw Data'!$A$3:$A$2927,$A53)=0,0,SUMIF('Raw Data'!$A$3:$A$2927, $A53,'Raw Data'!J$3:J$2927) / COUNTIF('Raw Data'!$A$3:$A$2927,$A53))</f>
        <v>0</v>
      </c>
      <c r="N53">
        <f>IF( COUNTIF('Raw Data'!$A$3:$A$2927,$A53)=0,0,SUMIF('Raw Data'!$A$3:$A$2927, $A53,'Raw Data'!K$3:K$2927) / COUNTIF('Raw Data'!$A$3:$A$2927,$A53))</f>
        <v>0</v>
      </c>
      <c r="O53">
        <f>IF( COUNTIF('Raw Data'!$A$3:$A$2927,$A53)=0,0,SUMIF('Raw Data'!$A$3:$A$2927, $A53,'Raw Data'!L$3:L$2927) / COUNTIF('Raw Data'!$A$3:$A$2927,$A53))</f>
        <v>0</v>
      </c>
      <c r="P53" s="58">
        <f>IF( COUNTIF('Raw Data'!$A$3:$A$2927,$A53)=0,0,SUMIF('Raw Data'!$A$3:$A$2927, $A53,'Raw Data'!M$3:M$2927) / COUNTIF('Raw Data'!$A$3:$A$2927,$A53))</f>
        <v>0</v>
      </c>
      <c r="Q53">
        <f>MAX(IF('Raw Data'!$A$3:$A$927=$A53, 'Raw Data'!$Z$3:$Z$927))</f>
        <v>0</v>
      </c>
      <c r="R53">
        <f>MAX(IF('Raw Data'!$A$3:$A$927=$A53, 'Raw Data'!$T$3:$T$927))</f>
        <v>0</v>
      </c>
      <c r="S53">
        <f>IF( COUNTIF('Raw Data'!$A$3:$A$2927,$A53)=0,0,SUMIF('Raw Data'!$A$3:$A$2927, $A53,'Raw Data'!P$3:P$2927) / COUNTIF('Raw Data'!$A$3:$A$2927,$A53))</f>
        <v>0</v>
      </c>
      <c r="T53">
        <f>IF( COUNTIF('Raw Data'!$A$3:$A$2927,$A53)=0,0,SUMIF('Raw Data'!$A$3:$A$2927, $A53,'Raw Data'!Q$3:Q$2927) / COUNTIF('Raw Data'!$A$3:$A$2927,$A53))</f>
        <v>0</v>
      </c>
      <c r="U53">
        <f>IF( COUNTIF('Raw Data'!$A$3:$A$2927,$A53)=0,0,SUMIF('Raw Data'!$A$3:$A$2927, $A53,'Raw Data'!R$3:R$2927) / COUNTIF('Raw Data'!$A$3:$A$2927,$A53))</f>
        <v>0</v>
      </c>
      <c r="V53">
        <f>IF( COUNTIF('Raw Data'!$A$3:$A$2927,$A53)=0,0,SUMIF('Raw Data'!$A$3:$A$2927, $A53,'Raw Data'!S$3:S$2927) / COUNTIF('Raw Data'!$A$3:$A$2927,$A53))</f>
        <v>0</v>
      </c>
      <c r="W53">
        <f>MAX(IF('Raw Data'!$A$3:$A$927=$A53, 'Raw Data'!$Y$3:$Y$927))</f>
        <v>0</v>
      </c>
      <c r="X53">
        <f>IF( COUNTIF('Raw Data'!$A$3:$A$2927,$A53)=0,0,SUMIF('Raw Data'!$A$3:$A$2927, $A53,'Raw Data'!U$3:U$2927) / COUNTIF('Raw Data'!$A$3:$A$2927,$A53))</f>
        <v>0</v>
      </c>
      <c r="Y53">
        <f>IF( COUNTIF('Raw Data'!$A$3:$A$2927,$A53)=0,0,SUMIF('Raw Data'!$A$3:$A$2927, $A53,'Raw Data'!V$3:V$2927) / COUNTIF('Raw Data'!$A$3:$A$2927,$A53))</f>
        <v>0</v>
      </c>
      <c r="Z53">
        <f>IF( COUNTIF('Raw Data'!$A$3:$A$2927,$A53)=0,0,SUMIF('Raw Data'!$A$3:$A$2927, $A53,'Raw Data'!W$3:W$2927) / COUNTIF('Raw Data'!$A$3:$A$2927,$A53))</f>
        <v>0</v>
      </c>
      <c r="AA53">
        <f>IF( COUNTIF('Raw Data'!$A$3:$A$2927,$A53)=0,0,SUMIF('Raw Data'!$A$3:$A$2927, $A53,'Raw Data'!X$3:X$2927) / COUNTIF('Raw Data'!$A$3:$A$2927,$A53))</f>
        <v>0</v>
      </c>
      <c r="AB53">
        <f>IF( COUNTIF('Raw Data'!$A$3:$A$2927,$A53)=0,0,SUMIF('Raw Data'!$A$3:$A$2927, $A53,'Raw Data'!AA$3:AA$2927) / COUNTIF('Raw Data'!$A$3:$A$2927,$A53))</f>
        <v>0</v>
      </c>
      <c r="AC53">
        <f>IF( COUNTIF('Raw Data'!$A$3:$A$2927,$A53)=0,0,SUMIF('Raw Data'!$A$3:$A$2927, $A53,'Raw Data'!AB$3:AB$2927) / COUNTIF('Raw Data'!$A$3:$A$2927,$A53))</f>
        <v>0</v>
      </c>
      <c r="AD53">
        <f>IF( COUNTIF('Raw Data'!$A$3:$A$2927,$A53)=0,0,SUMIF('Raw Data'!$A$3:$A$2927, $A53,'Raw Data'!AC$3:AC$2927) / COUNTIF('Raw Data'!$A$3:$A$2927,$A53))</f>
        <v>0</v>
      </c>
      <c r="AE53" s="117">
        <f>IF( COUNTIF('Raw Data'!$A$3:$A$2927,$A53)=0,0,SUMIF('Raw Data'!$A$3:$A$2927, $A53,'Raw Data'!AD$3:AD$2927) / COUNTIF('Raw Data'!$A$3:$A$2927,$A53))</f>
        <v>0</v>
      </c>
      <c r="AF53">
        <f>IF( COUNTIF('Raw Data'!$A$3:$A$2927,$A53)=0,0,SUMIF('Raw Data'!$A$3:$A$2927, $A53,'Raw Data'!AE$3:AE$2927) / COUNTIF('Raw Data'!$A$3:$A$2927,$A53))</f>
        <v>0</v>
      </c>
      <c r="AG53">
        <f>IF( COUNTIF('Raw Data'!$A$3:$A$2927,$A53)=0,0,SUMIF('Raw Data'!$A$3:$A$2927, $A53,'Raw Data'!AF$3:AF$2927) / COUNTIF('Raw Data'!$A$3:$A$2927,$A53))</f>
        <v>0</v>
      </c>
      <c r="AH53">
        <f>IF( COUNTIF('Raw Data'!$A$3:$A$2927,$A53)=0,0,SUMIF('Raw Data'!$A$3:$A$2927, $A53,'Raw Data'!AG$3:AG$2927) / COUNTIF('Raw Data'!$A$3:$A$2927,$A53))</f>
        <v>0</v>
      </c>
      <c r="AI53">
        <f>IF( COUNTIF('Raw Data'!$A$3:$A$2927,$A53)=0,0,SUMIF('Raw Data'!$A$3:$A$2927, $A53,'Raw Data'!AH$3:AH$2927) / COUNTIF('Raw Data'!$A$3:$A$2927,$A53))</f>
        <v>0</v>
      </c>
      <c r="AJ53" s="117">
        <f>COUNTIF('Raw Data'!A$3:A$2927, $A53)</f>
        <v>0</v>
      </c>
      <c r="AK53">
        <f t="shared" si="6"/>
        <v>-21</v>
      </c>
      <c r="AL53">
        <f t="shared" si="7"/>
        <v>-1.5</v>
      </c>
      <c r="AM53">
        <f t="shared" si="8"/>
        <v>-1</v>
      </c>
    </row>
    <row r="54" spans="1:39">
      <c r="A54">
        <v>5885</v>
      </c>
      <c r="B54" t="s">
        <v>220</v>
      </c>
      <c r="C54">
        <f t="shared" si="0"/>
        <v>23.666666666666664</v>
      </c>
      <c r="D54">
        <f t="shared" si="1"/>
        <v>8</v>
      </c>
      <c r="E54">
        <f>IF( COUNTIF('Raw Data'!$A$3:$A$2927,$A54)=0,0,SUMIF('Raw Data'!$A$3:$A$2927, $A54,'Raw Data'!D$3:D$2927) / COUNTIF('Raw Data'!$A$3:$A$2927,$A54))</f>
        <v>1.7777777777777777</v>
      </c>
      <c r="F54">
        <f>MAX(IF('Raw Data'!$A$3:$A$927=$A54, 'Raw Data'!$O$3:$O$927))</f>
        <v>0</v>
      </c>
      <c r="G54">
        <f>MAX(IF('Raw Data'!$A$3:$A$927=$A54, 'Raw Data'!$I$3:$I$927))</f>
        <v>0</v>
      </c>
      <c r="H54">
        <f>IF( COUNTIF('Raw Data'!$A$3:$A$2927,$A54)=0,0,SUMIF('Raw Data'!$A$3:$A$2927, $A54,'Raw Data'!E$3:E$2927) / COUNTIF('Raw Data'!$A$3:$A$2927,$A54))</f>
        <v>0.44444444444444442</v>
      </c>
      <c r="I54">
        <f>IF( COUNTIF('Raw Data'!$A$3:$A$2927,$A54)=0,0,SUMIF('Raw Data'!$A$3:$A$2927, $A54,'Raw Data'!F$3:F$2927) / COUNTIF('Raw Data'!$A$3:$A$2927,$A54))</f>
        <v>0</v>
      </c>
      <c r="J54">
        <f>IF( COUNTIF('Raw Data'!$A$3:$A$2927,$A54)=0,0,SUMIF('Raw Data'!$A$3:$A$2927, $A54,'Raw Data'!G$3:G$2927) / COUNTIF('Raw Data'!$A$3:$A$2927,$A54))</f>
        <v>0</v>
      </c>
      <c r="K54">
        <f>IF( COUNTIF('Raw Data'!$A$3:$A$2927,$A54)=0,0,SUMIF('Raw Data'!$A$3:$A$2927, $A54,'Raw Data'!H$3:H$2927) / COUNTIF('Raw Data'!$A$3:$A$2927,$A54))</f>
        <v>0</v>
      </c>
      <c r="L54">
        <f>MAX(IF('Raw Data'!$A$3:$A$927=$A54, 'Raw Data'!$N$3:$N$927))</f>
        <v>0</v>
      </c>
      <c r="M54">
        <f>IF( COUNTIF('Raw Data'!$A$3:$A$2927,$A54)=0,0,SUMIF('Raw Data'!$A$3:$A$2927, $A54,'Raw Data'!J$3:J$2927) / COUNTIF('Raw Data'!$A$3:$A$2927,$A54))</f>
        <v>0</v>
      </c>
      <c r="N54">
        <f>IF( COUNTIF('Raw Data'!$A$3:$A$2927,$A54)=0,0,SUMIF('Raw Data'!$A$3:$A$2927, $A54,'Raw Data'!K$3:K$2927) / COUNTIF('Raw Data'!$A$3:$A$2927,$A54))</f>
        <v>0</v>
      </c>
      <c r="O54">
        <f>IF( COUNTIF('Raw Data'!$A$3:$A$2927,$A54)=0,0,SUMIF('Raw Data'!$A$3:$A$2927, $A54,'Raw Data'!L$3:L$2927) / COUNTIF('Raw Data'!$A$3:$A$2927,$A54))</f>
        <v>0</v>
      </c>
      <c r="P54" s="58">
        <f>IF( COUNTIF('Raw Data'!$A$3:$A$2927,$A54)=0,0,SUMIF('Raw Data'!$A$3:$A$2927, $A54,'Raw Data'!M$3:M$2927) / COUNTIF('Raw Data'!$A$3:$A$2927,$A54))</f>
        <v>0</v>
      </c>
      <c r="Q54">
        <f>MAX(IF('Raw Data'!$A$3:$A$927=$A54, 'Raw Data'!$Z$3:$Z$927))</f>
        <v>0</v>
      </c>
      <c r="R54">
        <f>MAX(IF('Raw Data'!$A$3:$A$927=$A54, 'Raw Data'!$T$3:$T$927))</f>
        <v>0</v>
      </c>
      <c r="S54">
        <f>IF( COUNTIF('Raw Data'!$A$3:$A$2927,$A54)=0,0,SUMIF('Raw Data'!$A$3:$A$2927, $A54,'Raw Data'!P$3:P$2927) / COUNTIF('Raw Data'!$A$3:$A$2927,$A54))</f>
        <v>2.6666666666666665</v>
      </c>
      <c r="T54">
        <f>IF( COUNTIF('Raw Data'!$A$3:$A$2927,$A54)=0,0,SUMIF('Raw Data'!$A$3:$A$2927, $A54,'Raw Data'!Q$3:Q$2927) / COUNTIF('Raw Data'!$A$3:$A$2927,$A54))</f>
        <v>0.88888888888888884</v>
      </c>
      <c r="U54">
        <f>IF( COUNTIF('Raw Data'!$A$3:$A$2927,$A54)=0,0,SUMIF('Raw Data'!$A$3:$A$2927, $A54,'Raw Data'!R$3:R$2927) / COUNTIF('Raw Data'!$A$3:$A$2927,$A54))</f>
        <v>0</v>
      </c>
      <c r="V54">
        <f>IF( COUNTIF('Raw Data'!$A$3:$A$2927,$A54)=0,0,SUMIF('Raw Data'!$A$3:$A$2927, $A54,'Raw Data'!S$3:S$2927) / COUNTIF('Raw Data'!$A$3:$A$2927,$A54))</f>
        <v>0</v>
      </c>
      <c r="W54">
        <f>MAX(IF('Raw Data'!$A$3:$A$927=$A54, 'Raw Data'!$Y$3:$Y$927))</f>
        <v>0</v>
      </c>
      <c r="X54">
        <f>IF( COUNTIF('Raw Data'!$A$3:$A$2927,$A54)=0,0,SUMIF('Raw Data'!$A$3:$A$2927, $A54,'Raw Data'!U$3:U$2927) / COUNTIF('Raw Data'!$A$3:$A$2927,$A54))</f>
        <v>0</v>
      </c>
      <c r="Y54">
        <f>IF( COUNTIF('Raw Data'!$A$3:$A$2927,$A54)=0,0,SUMIF('Raw Data'!$A$3:$A$2927, $A54,'Raw Data'!V$3:V$2927) / COUNTIF('Raw Data'!$A$3:$A$2927,$A54))</f>
        <v>0</v>
      </c>
      <c r="Z54">
        <f>IF( COUNTIF('Raw Data'!$A$3:$A$2927,$A54)=0,0,SUMIF('Raw Data'!$A$3:$A$2927, $A54,'Raw Data'!W$3:W$2927) / COUNTIF('Raw Data'!$A$3:$A$2927,$A54))</f>
        <v>0</v>
      </c>
      <c r="AA54">
        <f>IF( COUNTIF('Raw Data'!$A$3:$A$2927,$A54)=0,0,SUMIF('Raw Data'!$A$3:$A$2927, $A54,'Raw Data'!X$3:X$2927) / COUNTIF('Raw Data'!$A$3:$A$2927,$A54))</f>
        <v>0</v>
      </c>
      <c r="AB54">
        <f>IF( COUNTIF('Raw Data'!$A$3:$A$2927,$A54)=0,0,SUMIF('Raw Data'!$A$3:$A$2927, $A54,'Raw Data'!AA$3:AA$2927) / COUNTIF('Raw Data'!$A$3:$A$2927,$A54))</f>
        <v>0</v>
      </c>
      <c r="AC54">
        <f>IF( COUNTIF('Raw Data'!$A$3:$A$2927,$A54)=0,0,SUMIF('Raw Data'!$A$3:$A$2927, $A54,'Raw Data'!AB$3:AB$2927) / COUNTIF('Raw Data'!$A$3:$A$2927,$A54))</f>
        <v>0</v>
      </c>
      <c r="AD54">
        <f>IF( COUNTIF('Raw Data'!$A$3:$A$2927,$A54)=0,0,SUMIF('Raw Data'!$A$3:$A$2927, $A54,'Raw Data'!AC$3:AC$2927) / COUNTIF('Raw Data'!$A$3:$A$2927,$A54))</f>
        <v>3</v>
      </c>
      <c r="AE54" s="117">
        <f>IF( COUNTIF('Raw Data'!$A$3:$A$2927,$A54)=0,0,SUMIF('Raw Data'!$A$3:$A$2927, $A54,'Raw Data'!AD$3:AD$2927) / COUNTIF('Raw Data'!$A$3:$A$2927,$A54))</f>
        <v>0</v>
      </c>
      <c r="AF54">
        <f>IF( COUNTIF('Raw Data'!$A$3:$A$2927,$A54)=0,0,SUMIF('Raw Data'!$A$3:$A$2927, $A54,'Raw Data'!AE$3:AE$2927) / COUNTIF('Raw Data'!$A$3:$A$2927,$A54))</f>
        <v>0</v>
      </c>
      <c r="AG54">
        <f>IF( COUNTIF('Raw Data'!$A$3:$A$2927,$A54)=0,0,SUMIF('Raw Data'!$A$3:$A$2927, $A54,'Raw Data'!AF$3:AF$2927) / COUNTIF('Raw Data'!$A$3:$A$2927,$A54))</f>
        <v>0</v>
      </c>
      <c r="AH54">
        <f>IF( COUNTIF('Raw Data'!$A$3:$A$2927,$A54)=0,0,SUMIF('Raw Data'!$A$3:$A$2927, $A54,'Raw Data'!AG$3:AG$2927) / COUNTIF('Raw Data'!$A$3:$A$2927,$A54))</f>
        <v>1.6666666666666667</v>
      </c>
      <c r="AI54">
        <f>IF( COUNTIF('Raw Data'!$A$3:$A$2927,$A54)=0,0,SUMIF('Raw Data'!$A$3:$A$2927, $A54,'Raw Data'!AH$3:AH$2927) / COUNTIF('Raw Data'!$A$3:$A$2927,$A54))</f>
        <v>0.44444444444444442</v>
      </c>
      <c r="AJ54" s="117">
        <f>COUNTIF('Raw Data'!A$3:A$2927, $A54)</f>
        <v>9</v>
      </c>
      <c r="AK54">
        <f t="shared" si="6"/>
        <v>10.277777777777777</v>
      </c>
      <c r="AL54">
        <f t="shared" si="7"/>
        <v>2.5</v>
      </c>
      <c r="AM54">
        <f t="shared" si="8"/>
        <v>-0.55000000000000004</v>
      </c>
    </row>
    <row r="55" spans="1:39">
      <c r="A55">
        <v>5911</v>
      </c>
      <c r="B55" t="s">
        <v>431</v>
      </c>
      <c r="C55">
        <f t="shared" si="0"/>
        <v>0</v>
      </c>
      <c r="D55">
        <f t="shared" si="1"/>
        <v>0</v>
      </c>
      <c r="E55">
        <f>IF( COUNTIF('Raw Data'!$A$3:$A$2927,$A55)=0,0,SUMIF('Raw Data'!$A$3:$A$2927, $A55,'Raw Data'!D$3:D$2927) / COUNTIF('Raw Data'!$A$3:$A$2927,$A55))</f>
        <v>0</v>
      </c>
      <c r="F55">
        <f>MAX(IF('Raw Data'!$A$3:$A$927=$A55, 'Raw Data'!$O$3:$O$927))</f>
        <v>0</v>
      </c>
      <c r="G55">
        <f>MAX(IF('Raw Data'!$A$3:$A$927=$A55, 'Raw Data'!$I$3:$I$927))</f>
        <v>0</v>
      </c>
      <c r="H55">
        <f>IF( COUNTIF('Raw Data'!$A$3:$A$2927,$A55)=0,0,SUMIF('Raw Data'!$A$3:$A$2927, $A55,'Raw Data'!E$3:E$2927) / COUNTIF('Raw Data'!$A$3:$A$2927,$A55))</f>
        <v>0</v>
      </c>
      <c r="I55">
        <f>IF( COUNTIF('Raw Data'!$A$3:$A$2927,$A55)=0,0,SUMIF('Raw Data'!$A$3:$A$2927, $A55,'Raw Data'!F$3:F$2927) / COUNTIF('Raw Data'!$A$3:$A$2927,$A55))</f>
        <v>0</v>
      </c>
      <c r="J55">
        <f>IF( COUNTIF('Raw Data'!$A$3:$A$2927,$A55)=0,0,SUMIF('Raw Data'!$A$3:$A$2927, $A55,'Raw Data'!G$3:G$2927) / COUNTIF('Raw Data'!$A$3:$A$2927,$A55))</f>
        <v>0</v>
      </c>
      <c r="K55">
        <f>IF( COUNTIF('Raw Data'!$A$3:$A$2927,$A55)=0,0,SUMIF('Raw Data'!$A$3:$A$2927, $A55,'Raw Data'!H$3:H$2927) / COUNTIF('Raw Data'!$A$3:$A$2927,$A55))</f>
        <v>0</v>
      </c>
      <c r="L55">
        <f>MAX(IF('Raw Data'!$A$3:$A$927=$A55, 'Raw Data'!$N$3:$N$927))</f>
        <v>0</v>
      </c>
      <c r="M55">
        <f>IF( COUNTIF('Raw Data'!$A$3:$A$2927,$A55)=0,0,SUMIF('Raw Data'!$A$3:$A$2927, $A55,'Raw Data'!J$3:J$2927) / COUNTIF('Raw Data'!$A$3:$A$2927,$A55))</f>
        <v>0</v>
      </c>
      <c r="N55">
        <f>IF( COUNTIF('Raw Data'!$A$3:$A$2927,$A55)=0,0,SUMIF('Raw Data'!$A$3:$A$2927, $A55,'Raw Data'!K$3:K$2927) / COUNTIF('Raw Data'!$A$3:$A$2927,$A55))</f>
        <v>0</v>
      </c>
      <c r="O55">
        <f>IF( COUNTIF('Raw Data'!$A$3:$A$2927,$A55)=0,0,SUMIF('Raw Data'!$A$3:$A$2927, $A55,'Raw Data'!L$3:L$2927) / COUNTIF('Raw Data'!$A$3:$A$2927,$A55))</f>
        <v>0</v>
      </c>
      <c r="P55" s="58">
        <f>IF( COUNTIF('Raw Data'!$A$3:$A$2927,$A55)=0,0,SUMIF('Raw Data'!$A$3:$A$2927, $A55,'Raw Data'!M$3:M$2927) / COUNTIF('Raw Data'!$A$3:$A$2927,$A55))</f>
        <v>0</v>
      </c>
      <c r="Q55">
        <f>MAX(IF('Raw Data'!$A$3:$A$927=$A55, 'Raw Data'!$Z$3:$Z$927))</f>
        <v>0</v>
      </c>
      <c r="R55">
        <f>MAX(IF('Raw Data'!$A$3:$A$927=$A55, 'Raw Data'!$T$3:$T$927))</f>
        <v>0</v>
      </c>
      <c r="S55">
        <f>IF( COUNTIF('Raw Data'!$A$3:$A$2927,$A55)=0,0,SUMIF('Raw Data'!$A$3:$A$2927, $A55,'Raw Data'!P$3:P$2927) / COUNTIF('Raw Data'!$A$3:$A$2927,$A55))</f>
        <v>0</v>
      </c>
      <c r="T55">
        <f>IF( COUNTIF('Raw Data'!$A$3:$A$2927,$A55)=0,0,SUMIF('Raw Data'!$A$3:$A$2927, $A55,'Raw Data'!Q$3:Q$2927) / COUNTIF('Raw Data'!$A$3:$A$2927,$A55))</f>
        <v>0</v>
      </c>
      <c r="U55">
        <f>IF( COUNTIF('Raw Data'!$A$3:$A$2927,$A55)=0,0,SUMIF('Raw Data'!$A$3:$A$2927, $A55,'Raw Data'!R$3:R$2927) / COUNTIF('Raw Data'!$A$3:$A$2927,$A55))</f>
        <v>0</v>
      </c>
      <c r="V55">
        <f>IF( COUNTIF('Raw Data'!$A$3:$A$2927,$A55)=0,0,SUMIF('Raw Data'!$A$3:$A$2927, $A55,'Raw Data'!S$3:S$2927) / COUNTIF('Raw Data'!$A$3:$A$2927,$A55))</f>
        <v>0</v>
      </c>
      <c r="W55">
        <f>MAX(IF('Raw Data'!$A$3:$A$927=$A55, 'Raw Data'!$Y$3:$Y$927))</f>
        <v>0</v>
      </c>
      <c r="X55">
        <f>IF( COUNTIF('Raw Data'!$A$3:$A$2927,$A55)=0,0,SUMIF('Raw Data'!$A$3:$A$2927, $A55,'Raw Data'!U$3:U$2927) / COUNTIF('Raw Data'!$A$3:$A$2927,$A55))</f>
        <v>0</v>
      </c>
      <c r="Y55">
        <f>IF( COUNTIF('Raw Data'!$A$3:$A$2927,$A55)=0,0,SUMIF('Raw Data'!$A$3:$A$2927, $A55,'Raw Data'!V$3:V$2927) / COUNTIF('Raw Data'!$A$3:$A$2927,$A55))</f>
        <v>0</v>
      </c>
      <c r="Z55">
        <f>IF( COUNTIF('Raw Data'!$A$3:$A$2927,$A55)=0,0,SUMIF('Raw Data'!$A$3:$A$2927, $A55,'Raw Data'!W$3:W$2927) / COUNTIF('Raw Data'!$A$3:$A$2927,$A55))</f>
        <v>0</v>
      </c>
      <c r="AA55">
        <f>IF( COUNTIF('Raw Data'!$A$3:$A$2927,$A55)=0,0,SUMIF('Raw Data'!$A$3:$A$2927, $A55,'Raw Data'!X$3:X$2927) / COUNTIF('Raw Data'!$A$3:$A$2927,$A55))</f>
        <v>0</v>
      </c>
      <c r="AB55">
        <f>IF( COUNTIF('Raw Data'!$A$3:$A$2927,$A55)=0,0,SUMIF('Raw Data'!$A$3:$A$2927, $A55,'Raw Data'!AA$3:AA$2927) / COUNTIF('Raw Data'!$A$3:$A$2927,$A55))</f>
        <v>0</v>
      </c>
      <c r="AC55">
        <f>IF( COUNTIF('Raw Data'!$A$3:$A$2927,$A55)=0,0,SUMIF('Raw Data'!$A$3:$A$2927, $A55,'Raw Data'!AB$3:AB$2927) / COUNTIF('Raw Data'!$A$3:$A$2927,$A55))</f>
        <v>0</v>
      </c>
      <c r="AD55">
        <f>IF( COUNTIF('Raw Data'!$A$3:$A$2927,$A55)=0,0,SUMIF('Raw Data'!$A$3:$A$2927, $A55,'Raw Data'!AC$3:AC$2927) / COUNTIF('Raw Data'!$A$3:$A$2927,$A55))</f>
        <v>0</v>
      </c>
      <c r="AE55" s="117">
        <f>IF( COUNTIF('Raw Data'!$A$3:$A$2927,$A55)=0,0,SUMIF('Raw Data'!$A$3:$A$2927, $A55,'Raw Data'!AD$3:AD$2927) / COUNTIF('Raw Data'!$A$3:$A$2927,$A55))</f>
        <v>0</v>
      </c>
      <c r="AF55">
        <f>IF( COUNTIF('Raw Data'!$A$3:$A$2927,$A55)=0,0,SUMIF('Raw Data'!$A$3:$A$2927, $A55,'Raw Data'!AE$3:AE$2927) / COUNTIF('Raw Data'!$A$3:$A$2927,$A55))</f>
        <v>0</v>
      </c>
      <c r="AG55">
        <f>IF( COUNTIF('Raw Data'!$A$3:$A$2927,$A55)=0,0,SUMIF('Raw Data'!$A$3:$A$2927, $A55,'Raw Data'!AF$3:AF$2927) / COUNTIF('Raw Data'!$A$3:$A$2927,$A55))</f>
        <v>0</v>
      </c>
      <c r="AH55">
        <f>IF( COUNTIF('Raw Data'!$A$3:$A$2927,$A55)=0,0,SUMIF('Raw Data'!$A$3:$A$2927, $A55,'Raw Data'!AG$3:AG$2927) / COUNTIF('Raw Data'!$A$3:$A$2927,$A55))</f>
        <v>0</v>
      </c>
      <c r="AI55">
        <f>IF( COUNTIF('Raw Data'!$A$3:$A$2927,$A55)=0,0,SUMIF('Raw Data'!$A$3:$A$2927, $A55,'Raw Data'!AH$3:AH$2927) / COUNTIF('Raw Data'!$A$3:$A$2927,$A55))</f>
        <v>0</v>
      </c>
      <c r="AJ55" s="117">
        <f>COUNTIF('Raw Data'!A$3:A$2927, $A55)</f>
        <v>0</v>
      </c>
      <c r="AK55">
        <f t="shared" si="6"/>
        <v>-21</v>
      </c>
      <c r="AL55">
        <f t="shared" si="7"/>
        <v>-1.5</v>
      </c>
      <c r="AM55">
        <f t="shared" si="8"/>
        <v>-1</v>
      </c>
    </row>
    <row r="56" spans="1:39">
      <c r="A56">
        <v>6070</v>
      </c>
      <c r="B56" t="s">
        <v>221</v>
      </c>
      <c r="C56">
        <f t="shared" si="0"/>
        <v>8.7272727272727266</v>
      </c>
      <c r="D56">
        <f t="shared" si="1"/>
        <v>3.6363636363636362</v>
      </c>
      <c r="E56">
        <f>IF( COUNTIF('Raw Data'!$A$3:$A$2927,$A56)=0,0,SUMIF('Raw Data'!$A$3:$A$2927, $A56,'Raw Data'!D$3:D$2927) / COUNTIF('Raw Data'!$A$3:$A$2927,$A56))</f>
        <v>1.3636363636363635</v>
      </c>
      <c r="F56">
        <f>MAX(IF('Raw Data'!$A$3:$A$927=$A56, 'Raw Data'!$O$3:$O$927))</f>
        <v>0</v>
      </c>
      <c r="G56">
        <f>MAX(IF('Raw Data'!$A$3:$A$927=$A56, 'Raw Data'!$I$3:$I$927))</f>
        <v>0</v>
      </c>
      <c r="H56">
        <f>IF( COUNTIF('Raw Data'!$A$3:$A$2927,$A56)=0,0,SUMIF('Raw Data'!$A$3:$A$2927, $A56,'Raw Data'!E$3:E$2927) / COUNTIF('Raw Data'!$A$3:$A$2927,$A56))</f>
        <v>0.27272727272727271</v>
      </c>
      <c r="I56">
        <f>IF( COUNTIF('Raw Data'!$A$3:$A$2927,$A56)=0,0,SUMIF('Raw Data'!$A$3:$A$2927, $A56,'Raw Data'!F$3:F$2927) / COUNTIF('Raw Data'!$A$3:$A$2927,$A56))</f>
        <v>0</v>
      </c>
      <c r="J56">
        <f>IF( COUNTIF('Raw Data'!$A$3:$A$2927,$A56)=0,0,SUMIF('Raw Data'!$A$3:$A$2927, $A56,'Raw Data'!G$3:G$2927) / COUNTIF('Raw Data'!$A$3:$A$2927,$A56))</f>
        <v>0</v>
      </c>
      <c r="K56">
        <f>IF( COUNTIF('Raw Data'!$A$3:$A$2927,$A56)=0,0,SUMIF('Raw Data'!$A$3:$A$2927, $A56,'Raw Data'!H$3:H$2927) / COUNTIF('Raw Data'!$A$3:$A$2927,$A56))</f>
        <v>0</v>
      </c>
      <c r="L56">
        <f>MAX(IF('Raw Data'!$A$3:$A$927=$A56, 'Raw Data'!$N$3:$N$927))</f>
        <v>0</v>
      </c>
      <c r="M56">
        <f>IF( COUNTIF('Raw Data'!$A$3:$A$2927,$A56)=0,0,SUMIF('Raw Data'!$A$3:$A$2927, $A56,'Raw Data'!J$3:J$2927) / COUNTIF('Raw Data'!$A$3:$A$2927,$A56))</f>
        <v>0</v>
      </c>
      <c r="N56">
        <f>IF( COUNTIF('Raw Data'!$A$3:$A$2927,$A56)=0,0,SUMIF('Raw Data'!$A$3:$A$2927, $A56,'Raw Data'!K$3:K$2927) / COUNTIF('Raw Data'!$A$3:$A$2927,$A56))</f>
        <v>0</v>
      </c>
      <c r="O56">
        <f>IF( COUNTIF('Raw Data'!$A$3:$A$2927,$A56)=0,0,SUMIF('Raw Data'!$A$3:$A$2927, $A56,'Raw Data'!L$3:L$2927) / COUNTIF('Raw Data'!$A$3:$A$2927,$A56))</f>
        <v>0</v>
      </c>
      <c r="P56" s="58">
        <f>IF( COUNTIF('Raw Data'!$A$3:$A$2927,$A56)=0,0,SUMIF('Raw Data'!$A$3:$A$2927, $A56,'Raw Data'!M$3:M$2927) / COUNTIF('Raw Data'!$A$3:$A$2927,$A56))</f>
        <v>0</v>
      </c>
      <c r="Q56">
        <f>MAX(IF('Raw Data'!$A$3:$A$927=$A56, 'Raw Data'!$Z$3:$Z$927))</f>
        <v>0</v>
      </c>
      <c r="R56">
        <f>MAX(IF('Raw Data'!$A$3:$A$927=$A56, 'Raw Data'!$T$3:$T$927))</f>
        <v>0</v>
      </c>
      <c r="S56">
        <f>IF( COUNTIF('Raw Data'!$A$3:$A$2927,$A56)=0,0,SUMIF('Raw Data'!$A$3:$A$2927, $A56,'Raw Data'!P$3:P$2927) / COUNTIF('Raw Data'!$A$3:$A$2927,$A56))</f>
        <v>0.54545454545454541</v>
      </c>
      <c r="T56">
        <f>IF( COUNTIF('Raw Data'!$A$3:$A$2927,$A56)=0,0,SUMIF('Raw Data'!$A$3:$A$2927, $A56,'Raw Data'!Q$3:Q$2927) / COUNTIF('Raw Data'!$A$3:$A$2927,$A56))</f>
        <v>1</v>
      </c>
      <c r="U56">
        <f>IF( COUNTIF('Raw Data'!$A$3:$A$2927,$A56)=0,0,SUMIF('Raw Data'!$A$3:$A$2927, $A56,'Raw Data'!R$3:R$2927) / COUNTIF('Raw Data'!$A$3:$A$2927,$A56))</f>
        <v>0.54545454545454541</v>
      </c>
      <c r="V56">
        <f>IF( COUNTIF('Raw Data'!$A$3:$A$2927,$A56)=0,0,SUMIF('Raw Data'!$A$3:$A$2927, $A56,'Raw Data'!S$3:S$2927) / COUNTIF('Raw Data'!$A$3:$A$2927,$A56))</f>
        <v>0</v>
      </c>
      <c r="W56">
        <f>MAX(IF('Raw Data'!$A$3:$A$927=$A56, 'Raw Data'!$Y$3:$Y$927))</f>
        <v>0</v>
      </c>
      <c r="X56">
        <f>IF( COUNTIF('Raw Data'!$A$3:$A$2927,$A56)=0,0,SUMIF('Raw Data'!$A$3:$A$2927, $A56,'Raw Data'!U$3:U$2927) / COUNTIF('Raw Data'!$A$3:$A$2927,$A56))</f>
        <v>0</v>
      </c>
      <c r="Y56">
        <f>IF( COUNTIF('Raw Data'!$A$3:$A$2927,$A56)=0,0,SUMIF('Raw Data'!$A$3:$A$2927, $A56,'Raw Data'!V$3:V$2927) / COUNTIF('Raw Data'!$A$3:$A$2927,$A56))</f>
        <v>0</v>
      </c>
      <c r="Z56">
        <f>IF( COUNTIF('Raw Data'!$A$3:$A$2927,$A56)=0,0,SUMIF('Raw Data'!$A$3:$A$2927, $A56,'Raw Data'!W$3:W$2927) / COUNTIF('Raw Data'!$A$3:$A$2927,$A56))</f>
        <v>0</v>
      </c>
      <c r="AA56">
        <f>IF( COUNTIF('Raw Data'!$A$3:$A$2927,$A56)=0,0,SUMIF('Raw Data'!$A$3:$A$2927, $A56,'Raw Data'!X$3:X$2927) / COUNTIF('Raw Data'!$A$3:$A$2927,$A56))</f>
        <v>0</v>
      </c>
      <c r="AB56">
        <f>IF( COUNTIF('Raw Data'!$A$3:$A$2927,$A56)=0,0,SUMIF('Raw Data'!$A$3:$A$2927, $A56,'Raw Data'!AA$3:AA$2927) / COUNTIF('Raw Data'!$A$3:$A$2927,$A56))</f>
        <v>0.90909090909090906</v>
      </c>
      <c r="AC56">
        <f>IF( COUNTIF('Raw Data'!$A$3:$A$2927,$A56)=0,0,SUMIF('Raw Data'!$A$3:$A$2927, $A56,'Raw Data'!AB$3:AB$2927) / COUNTIF('Raw Data'!$A$3:$A$2927,$A56))</f>
        <v>0</v>
      </c>
      <c r="AD56">
        <f>IF( COUNTIF('Raw Data'!$A$3:$A$2927,$A56)=0,0,SUMIF('Raw Data'!$A$3:$A$2927, $A56,'Raw Data'!AC$3:AC$2927) / COUNTIF('Raw Data'!$A$3:$A$2927,$A56))</f>
        <v>0.72727272727272729</v>
      </c>
      <c r="AE56" s="117">
        <f>IF( COUNTIF('Raw Data'!$A$3:$A$2927,$A56)=0,0,SUMIF('Raw Data'!$A$3:$A$2927, $A56,'Raw Data'!AD$3:AD$2927) / COUNTIF('Raw Data'!$A$3:$A$2927,$A56))</f>
        <v>0</v>
      </c>
      <c r="AF56">
        <f>IF( COUNTIF('Raw Data'!$A$3:$A$2927,$A56)=0,0,SUMIF('Raw Data'!$A$3:$A$2927, $A56,'Raw Data'!AE$3:AE$2927) / COUNTIF('Raw Data'!$A$3:$A$2927,$A56))</f>
        <v>0.18181818181818182</v>
      </c>
      <c r="AG56">
        <f>IF( COUNTIF('Raw Data'!$A$3:$A$2927,$A56)=0,0,SUMIF('Raw Data'!$A$3:$A$2927, $A56,'Raw Data'!AF$3:AF$2927) / COUNTIF('Raw Data'!$A$3:$A$2927,$A56))</f>
        <v>0</v>
      </c>
      <c r="AH56">
        <f>IF( COUNTIF('Raw Data'!$A$3:$A$2927,$A56)=0,0,SUMIF('Raw Data'!$A$3:$A$2927, $A56,'Raw Data'!AG$3:AG$2927) / COUNTIF('Raw Data'!$A$3:$A$2927,$A56))</f>
        <v>2.2727272727272729</v>
      </c>
      <c r="AI56">
        <f>IF( COUNTIF('Raw Data'!$A$3:$A$2927,$A56)=0,0,SUMIF('Raw Data'!$A$3:$A$2927, $A56,'Raw Data'!AH$3:AH$2927) / COUNTIF('Raw Data'!$A$3:$A$2927,$A56))</f>
        <v>0.90909090909090906</v>
      </c>
      <c r="AJ56" s="117">
        <f>COUNTIF('Raw Data'!A$3:A$2927, $A56)</f>
        <v>11</v>
      </c>
      <c r="AK56">
        <f t="shared" si="6"/>
        <v>-0.68181818181818243</v>
      </c>
      <c r="AL56">
        <f t="shared" si="7"/>
        <v>-0.54545454545454619</v>
      </c>
      <c r="AM56">
        <f t="shared" si="8"/>
        <v>-1.1136363636363638</v>
      </c>
    </row>
    <row r="57" spans="1:39">
      <c r="A57">
        <v>6110</v>
      </c>
      <c r="B57" t="s">
        <v>222</v>
      </c>
      <c r="C57">
        <f t="shared" si="0"/>
        <v>11.700000000000001</v>
      </c>
      <c r="D57">
        <f t="shared" si="1"/>
        <v>8.8000000000000007</v>
      </c>
      <c r="E57">
        <f>IF( COUNTIF('Raw Data'!$A$3:$A$2927,$A57)=0,0,SUMIF('Raw Data'!$A$3:$A$2927, $A57,'Raw Data'!D$3:D$2927) / COUNTIF('Raw Data'!$A$3:$A$2927,$A57))</f>
        <v>1</v>
      </c>
      <c r="F57">
        <f>MAX(IF('Raw Data'!$A$3:$A$927=$A57, 'Raw Data'!$O$3:$O$927))</f>
        <v>0</v>
      </c>
      <c r="G57">
        <f>MAX(IF('Raw Data'!$A$3:$A$927=$A57, 'Raw Data'!$I$3:$I$927))</f>
        <v>0</v>
      </c>
      <c r="H57">
        <f>IF( COUNTIF('Raw Data'!$A$3:$A$2927,$A57)=0,0,SUMIF('Raw Data'!$A$3:$A$2927, $A57,'Raw Data'!E$3:E$2927) / COUNTIF('Raw Data'!$A$3:$A$2927,$A57))</f>
        <v>0.2</v>
      </c>
      <c r="I57">
        <f>IF( COUNTIF('Raw Data'!$A$3:$A$2927,$A57)=0,0,SUMIF('Raw Data'!$A$3:$A$2927, $A57,'Raw Data'!F$3:F$2927) / COUNTIF('Raw Data'!$A$3:$A$2927,$A57))</f>
        <v>0</v>
      </c>
      <c r="J57">
        <f>IF( COUNTIF('Raw Data'!$A$3:$A$2927,$A57)=0,0,SUMIF('Raw Data'!$A$3:$A$2927, $A57,'Raw Data'!G$3:G$2927) / COUNTIF('Raw Data'!$A$3:$A$2927,$A57))</f>
        <v>0</v>
      </c>
      <c r="K57">
        <f>IF( COUNTIF('Raw Data'!$A$3:$A$2927,$A57)=0,0,SUMIF('Raw Data'!$A$3:$A$2927, $A57,'Raw Data'!H$3:H$2927) / COUNTIF('Raw Data'!$A$3:$A$2927,$A57))</f>
        <v>0</v>
      </c>
      <c r="L57">
        <f>MAX(IF('Raw Data'!$A$3:$A$927=$A57, 'Raw Data'!$N$3:$N$927))</f>
        <v>0</v>
      </c>
      <c r="M57">
        <f>IF( COUNTIF('Raw Data'!$A$3:$A$2927,$A57)=0,0,SUMIF('Raw Data'!$A$3:$A$2927, $A57,'Raw Data'!J$3:J$2927) / COUNTIF('Raw Data'!$A$3:$A$2927,$A57))</f>
        <v>0</v>
      </c>
      <c r="N57">
        <f>IF( COUNTIF('Raw Data'!$A$3:$A$2927,$A57)=0,0,SUMIF('Raw Data'!$A$3:$A$2927, $A57,'Raw Data'!K$3:K$2927) / COUNTIF('Raw Data'!$A$3:$A$2927,$A57))</f>
        <v>0</v>
      </c>
      <c r="O57">
        <f>IF( COUNTIF('Raw Data'!$A$3:$A$2927,$A57)=0,0,SUMIF('Raw Data'!$A$3:$A$2927, $A57,'Raw Data'!L$3:L$2927) / COUNTIF('Raw Data'!$A$3:$A$2927,$A57))</f>
        <v>0</v>
      </c>
      <c r="P57" s="58">
        <f>IF( COUNTIF('Raw Data'!$A$3:$A$2927,$A57)=0,0,SUMIF('Raw Data'!$A$3:$A$2927, $A57,'Raw Data'!M$3:M$2927) / COUNTIF('Raw Data'!$A$3:$A$2927,$A57))</f>
        <v>0</v>
      </c>
      <c r="Q57">
        <f>MAX(IF('Raw Data'!$A$3:$A$927=$A57, 'Raw Data'!$Z$3:$Z$927))</f>
        <v>0</v>
      </c>
      <c r="R57">
        <f>MAX(IF('Raw Data'!$A$3:$A$927=$A57, 'Raw Data'!$T$3:$T$927))</f>
        <v>0</v>
      </c>
      <c r="S57">
        <f>IF( COUNTIF('Raw Data'!$A$3:$A$2927,$A57)=0,0,SUMIF('Raw Data'!$A$3:$A$2927, $A57,'Raw Data'!P$3:P$2927) / COUNTIF('Raw Data'!$A$3:$A$2927,$A57))</f>
        <v>1.2</v>
      </c>
      <c r="T57">
        <f>IF( COUNTIF('Raw Data'!$A$3:$A$2927,$A57)=0,0,SUMIF('Raw Data'!$A$3:$A$2927, $A57,'Raw Data'!Q$3:Q$2927) / COUNTIF('Raw Data'!$A$3:$A$2927,$A57))</f>
        <v>0</v>
      </c>
      <c r="U57">
        <f>IF( COUNTIF('Raw Data'!$A$3:$A$2927,$A57)=0,0,SUMIF('Raw Data'!$A$3:$A$2927, $A57,'Raw Data'!R$3:R$2927) / COUNTIF('Raw Data'!$A$3:$A$2927,$A57))</f>
        <v>0</v>
      </c>
      <c r="V57">
        <f>IF( COUNTIF('Raw Data'!$A$3:$A$2927,$A57)=0,0,SUMIF('Raw Data'!$A$3:$A$2927, $A57,'Raw Data'!S$3:S$2927) / COUNTIF('Raw Data'!$A$3:$A$2927,$A57))</f>
        <v>0</v>
      </c>
      <c r="W57">
        <f>MAX(IF('Raw Data'!$A$3:$A$927=$A57, 'Raw Data'!$Y$3:$Y$927))</f>
        <v>0</v>
      </c>
      <c r="X57">
        <f>IF( COUNTIF('Raw Data'!$A$3:$A$2927,$A57)=0,0,SUMIF('Raw Data'!$A$3:$A$2927, $A57,'Raw Data'!U$3:U$2927) / COUNTIF('Raw Data'!$A$3:$A$2927,$A57))</f>
        <v>2</v>
      </c>
      <c r="Y57">
        <f>IF( COUNTIF('Raw Data'!$A$3:$A$2927,$A57)=0,0,SUMIF('Raw Data'!$A$3:$A$2927, $A57,'Raw Data'!V$3:V$2927) / COUNTIF('Raw Data'!$A$3:$A$2927,$A57))</f>
        <v>0</v>
      </c>
      <c r="Z57">
        <f>IF( COUNTIF('Raw Data'!$A$3:$A$2927,$A57)=0,0,SUMIF('Raw Data'!$A$3:$A$2927, $A57,'Raw Data'!W$3:W$2927) / COUNTIF('Raw Data'!$A$3:$A$2927,$A57))</f>
        <v>0</v>
      </c>
      <c r="AA57">
        <f>IF( COUNTIF('Raw Data'!$A$3:$A$2927,$A57)=0,0,SUMIF('Raw Data'!$A$3:$A$2927, $A57,'Raw Data'!X$3:X$2927) / COUNTIF('Raw Data'!$A$3:$A$2927,$A57))</f>
        <v>0</v>
      </c>
      <c r="AB57">
        <f>IF( COUNTIF('Raw Data'!$A$3:$A$2927,$A57)=0,0,SUMIF('Raw Data'!$A$3:$A$2927, $A57,'Raw Data'!AA$3:AA$2927) / COUNTIF('Raw Data'!$A$3:$A$2927,$A57))</f>
        <v>0</v>
      </c>
      <c r="AC57">
        <f>IF( COUNTIF('Raw Data'!$A$3:$A$2927,$A57)=0,0,SUMIF('Raw Data'!$A$3:$A$2927, $A57,'Raw Data'!AB$3:AB$2927) / COUNTIF('Raw Data'!$A$3:$A$2927,$A57))</f>
        <v>0</v>
      </c>
      <c r="AD57">
        <f>IF( COUNTIF('Raw Data'!$A$3:$A$2927,$A57)=0,0,SUMIF('Raw Data'!$A$3:$A$2927, $A57,'Raw Data'!AC$3:AC$2927) / COUNTIF('Raw Data'!$A$3:$A$2927,$A57))</f>
        <v>0.8</v>
      </c>
      <c r="AE57" s="117">
        <f>IF( COUNTIF('Raw Data'!$A$3:$A$2927,$A57)=0,0,SUMIF('Raw Data'!$A$3:$A$2927, $A57,'Raw Data'!AD$3:AD$2927) / COUNTIF('Raw Data'!$A$3:$A$2927,$A57))</f>
        <v>0</v>
      </c>
      <c r="AF57">
        <f>IF( COUNTIF('Raw Data'!$A$3:$A$2927,$A57)=0,0,SUMIF('Raw Data'!$A$3:$A$2927, $A57,'Raw Data'!AE$3:AE$2927) / COUNTIF('Raw Data'!$A$3:$A$2927,$A57))</f>
        <v>0.2</v>
      </c>
      <c r="AG57">
        <f>IF( COUNTIF('Raw Data'!$A$3:$A$2927,$A57)=0,0,SUMIF('Raw Data'!$A$3:$A$2927, $A57,'Raw Data'!AF$3:AF$2927) / COUNTIF('Raw Data'!$A$3:$A$2927,$A57))</f>
        <v>0</v>
      </c>
      <c r="AH57">
        <f>IF( COUNTIF('Raw Data'!$A$3:$A$2927,$A57)=0,0,SUMIF('Raw Data'!$A$3:$A$2927, $A57,'Raw Data'!AG$3:AG$2927) / COUNTIF('Raw Data'!$A$3:$A$2927,$A57))</f>
        <v>2.5</v>
      </c>
      <c r="AI57">
        <f>IF( COUNTIF('Raw Data'!$A$3:$A$2927,$A57)=0,0,SUMIF('Raw Data'!$A$3:$A$2927, $A57,'Raw Data'!AH$3:AH$2927) / COUNTIF('Raw Data'!$A$3:$A$2927,$A57))</f>
        <v>0.4</v>
      </c>
      <c r="AJ57" s="117">
        <f>COUNTIF('Raw Data'!A$3:A$2927, $A57)</f>
        <v>10</v>
      </c>
      <c r="AK57">
        <f t="shared" si="6"/>
        <v>0.26999999999999968</v>
      </c>
      <c r="AL57">
        <f t="shared" si="7"/>
        <v>-0.95000000000000007</v>
      </c>
      <c r="AM57">
        <f t="shared" si="8"/>
        <v>0.7749999999999998</v>
      </c>
    </row>
    <row r="58" spans="1:39">
      <c r="A58">
        <v>6135</v>
      </c>
      <c r="B58" t="s">
        <v>223</v>
      </c>
      <c r="C58">
        <f t="shared" si="0"/>
        <v>18.666666666666664</v>
      </c>
      <c r="D58">
        <f t="shared" si="1"/>
        <v>10.666666666666668</v>
      </c>
      <c r="E58">
        <f>IF( COUNTIF('Raw Data'!$A$3:$A$2927,$A58)=0,0,SUMIF('Raw Data'!$A$3:$A$2927, $A58,'Raw Data'!D$3:D$2927) / COUNTIF('Raw Data'!$A$3:$A$2927,$A58))</f>
        <v>1.7777777777777777</v>
      </c>
      <c r="F58">
        <f>MAX(IF('Raw Data'!$A$3:$A$927=$A58, 'Raw Data'!$O$3:$O$927))</f>
        <v>0</v>
      </c>
      <c r="G58">
        <f>MAX(IF('Raw Data'!$A$3:$A$927=$A58, 'Raw Data'!$I$3:$I$927))</f>
        <v>0</v>
      </c>
      <c r="H58">
        <f>IF( COUNTIF('Raw Data'!$A$3:$A$2927,$A58)=0,0,SUMIF('Raw Data'!$A$3:$A$2927, $A58,'Raw Data'!E$3:E$2927) / COUNTIF('Raw Data'!$A$3:$A$2927,$A58))</f>
        <v>0.1111111111111111</v>
      </c>
      <c r="I58">
        <f>IF( COUNTIF('Raw Data'!$A$3:$A$2927,$A58)=0,0,SUMIF('Raw Data'!$A$3:$A$2927, $A58,'Raw Data'!F$3:F$2927) / COUNTIF('Raw Data'!$A$3:$A$2927,$A58))</f>
        <v>0.1111111111111111</v>
      </c>
      <c r="J58">
        <f>IF( COUNTIF('Raw Data'!$A$3:$A$2927,$A58)=0,0,SUMIF('Raw Data'!$A$3:$A$2927, $A58,'Raw Data'!G$3:G$2927) / COUNTIF('Raw Data'!$A$3:$A$2927,$A58))</f>
        <v>0</v>
      </c>
      <c r="K58">
        <f>IF( COUNTIF('Raw Data'!$A$3:$A$2927,$A58)=0,0,SUMIF('Raw Data'!$A$3:$A$2927, $A58,'Raw Data'!H$3:H$2927) / COUNTIF('Raw Data'!$A$3:$A$2927,$A58))</f>
        <v>0</v>
      </c>
      <c r="L58">
        <f>MAX(IF('Raw Data'!$A$3:$A$927=$A58, 'Raw Data'!$N$3:$N$927))</f>
        <v>0</v>
      </c>
      <c r="M58">
        <f>IF( COUNTIF('Raw Data'!$A$3:$A$2927,$A58)=0,0,SUMIF('Raw Data'!$A$3:$A$2927, $A58,'Raw Data'!J$3:J$2927) / COUNTIF('Raw Data'!$A$3:$A$2927,$A58))</f>
        <v>0</v>
      </c>
      <c r="N58">
        <f>IF( COUNTIF('Raw Data'!$A$3:$A$2927,$A58)=0,0,SUMIF('Raw Data'!$A$3:$A$2927, $A58,'Raw Data'!K$3:K$2927) / COUNTIF('Raw Data'!$A$3:$A$2927,$A58))</f>
        <v>0</v>
      </c>
      <c r="O58">
        <f>IF( COUNTIF('Raw Data'!$A$3:$A$2927,$A58)=0,0,SUMIF('Raw Data'!$A$3:$A$2927, $A58,'Raw Data'!L$3:L$2927) / COUNTIF('Raw Data'!$A$3:$A$2927,$A58))</f>
        <v>0</v>
      </c>
      <c r="P58" s="58">
        <f>IF( COUNTIF('Raw Data'!$A$3:$A$2927,$A58)=0,0,SUMIF('Raw Data'!$A$3:$A$2927, $A58,'Raw Data'!M$3:M$2927) / COUNTIF('Raw Data'!$A$3:$A$2927,$A58))</f>
        <v>0</v>
      </c>
      <c r="Q58">
        <f>MAX(IF('Raw Data'!$A$3:$A$927=$A58, 'Raw Data'!$Z$3:$Z$927))</f>
        <v>0</v>
      </c>
      <c r="R58">
        <f>MAX(IF('Raw Data'!$A$3:$A$927=$A58, 'Raw Data'!$T$3:$T$927))</f>
        <v>0</v>
      </c>
      <c r="S58">
        <f>IF( COUNTIF('Raw Data'!$A$3:$A$2927,$A58)=0,0,SUMIF('Raw Data'!$A$3:$A$2927, $A58,'Raw Data'!P$3:P$2927) / COUNTIF('Raw Data'!$A$3:$A$2927,$A58))</f>
        <v>0.66666666666666663</v>
      </c>
      <c r="T58">
        <f>IF( COUNTIF('Raw Data'!$A$3:$A$2927,$A58)=0,0,SUMIF('Raw Data'!$A$3:$A$2927, $A58,'Raw Data'!Q$3:Q$2927) / COUNTIF('Raw Data'!$A$3:$A$2927,$A58))</f>
        <v>0.77777777777777779</v>
      </c>
      <c r="U58">
        <f>IF( COUNTIF('Raw Data'!$A$3:$A$2927,$A58)=0,0,SUMIF('Raw Data'!$A$3:$A$2927, $A58,'Raw Data'!R$3:R$2927) / COUNTIF('Raw Data'!$A$3:$A$2927,$A58))</f>
        <v>0</v>
      </c>
      <c r="V58">
        <f>IF( COUNTIF('Raw Data'!$A$3:$A$2927,$A58)=0,0,SUMIF('Raw Data'!$A$3:$A$2927, $A58,'Raw Data'!S$3:S$2927) / COUNTIF('Raw Data'!$A$3:$A$2927,$A58))</f>
        <v>0</v>
      </c>
      <c r="W58">
        <f>MAX(IF('Raw Data'!$A$3:$A$927=$A58, 'Raw Data'!$Y$3:$Y$927))</f>
        <v>0</v>
      </c>
      <c r="X58">
        <f>IF( COUNTIF('Raw Data'!$A$3:$A$2927,$A58)=0,0,SUMIF('Raw Data'!$A$3:$A$2927, $A58,'Raw Data'!U$3:U$2927) / COUNTIF('Raw Data'!$A$3:$A$2927,$A58))</f>
        <v>2.1111111111111112</v>
      </c>
      <c r="Y58">
        <f>IF( COUNTIF('Raw Data'!$A$3:$A$2927,$A58)=0,0,SUMIF('Raw Data'!$A$3:$A$2927, $A58,'Raw Data'!V$3:V$2927) / COUNTIF('Raw Data'!$A$3:$A$2927,$A58))</f>
        <v>0.33333333333333331</v>
      </c>
      <c r="Z58">
        <f>IF( COUNTIF('Raw Data'!$A$3:$A$2927,$A58)=0,0,SUMIF('Raw Data'!$A$3:$A$2927, $A58,'Raw Data'!W$3:W$2927) / COUNTIF('Raw Data'!$A$3:$A$2927,$A58))</f>
        <v>0</v>
      </c>
      <c r="AA58">
        <f>IF( COUNTIF('Raw Data'!$A$3:$A$2927,$A58)=0,0,SUMIF('Raw Data'!$A$3:$A$2927, $A58,'Raw Data'!X$3:X$2927) / COUNTIF('Raw Data'!$A$3:$A$2927,$A58))</f>
        <v>0</v>
      </c>
      <c r="AB58">
        <f>IF( COUNTIF('Raw Data'!$A$3:$A$2927,$A58)=0,0,SUMIF('Raw Data'!$A$3:$A$2927, $A58,'Raw Data'!AA$3:AA$2927) / COUNTIF('Raw Data'!$A$3:$A$2927,$A58))</f>
        <v>6.8888888888888893</v>
      </c>
      <c r="AC58">
        <f>IF( COUNTIF('Raw Data'!$A$3:$A$2927,$A58)=0,0,SUMIF('Raw Data'!$A$3:$A$2927, $A58,'Raw Data'!AB$3:AB$2927) / COUNTIF('Raw Data'!$A$3:$A$2927,$A58))</f>
        <v>0</v>
      </c>
      <c r="AD58">
        <f>IF( COUNTIF('Raw Data'!$A$3:$A$2927,$A58)=0,0,SUMIF('Raw Data'!$A$3:$A$2927, $A58,'Raw Data'!AC$3:AC$2927) / COUNTIF('Raw Data'!$A$3:$A$2927,$A58))</f>
        <v>1.1111111111111112</v>
      </c>
      <c r="AE58" s="117">
        <f>IF( COUNTIF('Raw Data'!$A$3:$A$2927,$A58)=0,0,SUMIF('Raw Data'!$A$3:$A$2927, $A58,'Raw Data'!AD$3:AD$2927) / COUNTIF('Raw Data'!$A$3:$A$2927,$A58))</f>
        <v>0</v>
      </c>
      <c r="AF58">
        <f>IF( COUNTIF('Raw Data'!$A$3:$A$2927,$A58)=0,0,SUMIF('Raw Data'!$A$3:$A$2927, $A58,'Raw Data'!AE$3:AE$2927) / COUNTIF('Raw Data'!$A$3:$A$2927,$A58))</f>
        <v>0</v>
      </c>
      <c r="AG58">
        <f>IF( COUNTIF('Raw Data'!$A$3:$A$2927,$A58)=0,0,SUMIF('Raw Data'!$A$3:$A$2927, $A58,'Raw Data'!AF$3:AF$2927) / COUNTIF('Raw Data'!$A$3:$A$2927,$A58))</f>
        <v>0</v>
      </c>
      <c r="AH58">
        <f>IF( COUNTIF('Raw Data'!$A$3:$A$2927,$A58)=0,0,SUMIF('Raw Data'!$A$3:$A$2927, $A58,'Raw Data'!AG$3:AG$2927) / COUNTIF('Raw Data'!$A$3:$A$2927,$A58))</f>
        <v>0.66666666666666663</v>
      </c>
      <c r="AI58">
        <f>IF( COUNTIF('Raw Data'!$A$3:$A$2927,$A58)=0,0,SUMIF('Raw Data'!$A$3:$A$2927, $A58,'Raw Data'!AH$3:AH$2927) / COUNTIF('Raw Data'!$A$3:$A$2927,$A58))</f>
        <v>0.22222222222222221</v>
      </c>
      <c r="AJ58" s="117">
        <f>COUNTIF('Raw Data'!A$3:A$2927, $A58)</f>
        <v>9</v>
      </c>
      <c r="AK58">
        <f t="shared" si="6"/>
        <v>3.5022222222222226</v>
      </c>
      <c r="AL58">
        <f t="shared" si="7"/>
        <v>1</v>
      </c>
      <c r="AM58">
        <f t="shared" si="8"/>
        <v>2.2244444444444444</v>
      </c>
    </row>
    <row r="59" spans="1:39">
      <c r="A59">
        <v>6162</v>
      </c>
      <c r="B59" t="s">
        <v>432</v>
      </c>
      <c r="C59">
        <f t="shared" si="0"/>
        <v>0</v>
      </c>
      <c r="D59">
        <f t="shared" si="1"/>
        <v>0</v>
      </c>
      <c r="E59">
        <f>IF( COUNTIF('Raw Data'!$A$3:$A$2927,$A59)=0,0,SUMIF('Raw Data'!$A$3:$A$2927, $A59,'Raw Data'!D$3:D$2927) / COUNTIF('Raw Data'!$A$3:$A$2927,$A59))</f>
        <v>0</v>
      </c>
      <c r="F59">
        <f>MAX(IF('Raw Data'!$A$3:$A$927=$A59, 'Raw Data'!$O$3:$O$927))</f>
        <v>0</v>
      </c>
      <c r="G59">
        <f>MAX(IF('Raw Data'!$A$3:$A$927=$A59, 'Raw Data'!$I$3:$I$927))</f>
        <v>0</v>
      </c>
      <c r="H59">
        <f>IF( COUNTIF('Raw Data'!$A$3:$A$2927,$A59)=0,0,SUMIF('Raw Data'!$A$3:$A$2927, $A59,'Raw Data'!E$3:E$2927) / COUNTIF('Raw Data'!$A$3:$A$2927,$A59))</f>
        <v>0</v>
      </c>
      <c r="I59">
        <f>IF( COUNTIF('Raw Data'!$A$3:$A$2927,$A59)=0,0,SUMIF('Raw Data'!$A$3:$A$2927, $A59,'Raw Data'!F$3:F$2927) / COUNTIF('Raw Data'!$A$3:$A$2927,$A59))</f>
        <v>0</v>
      </c>
      <c r="J59">
        <f>IF( COUNTIF('Raw Data'!$A$3:$A$2927,$A59)=0,0,SUMIF('Raw Data'!$A$3:$A$2927, $A59,'Raw Data'!G$3:G$2927) / COUNTIF('Raw Data'!$A$3:$A$2927,$A59))</f>
        <v>0</v>
      </c>
      <c r="K59">
        <f>IF( COUNTIF('Raw Data'!$A$3:$A$2927,$A59)=0,0,SUMIF('Raw Data'!$A$3:$A$2927, $A59,'Raw Data'!H$3:H$2927) / COUNTIF('Raw Data'!$A$3:$A$2927,$A59))</f>
        <v>0</v>
      </c>
      <c r="L59">
        <f>MAX(IF('Raw Data'!$A$3:$A$927=$A59, 'Raw Data'!$N$3:$N$927))</f>
        <v>0</v>
      </c>
      <c r="M59">
        <f>IF( COUNTIF('Raw Data'!$A$3:$A$2927,$A59)=0,0,SUMIF('Raw Data'!$A$3:$A$2927, $A59,'Raw Data'!J$3:J$2927) / COUNTIF('Raw Data'!$A$3:$A$2927,$A59))</f>
        <v>0</v>
      </c>
      <c r="N59">
        <f>IF( COUNTIF('Raw Data'!$A$3:$A$2927,$A59)=0,0,SUMIF('Raw Data'!$A$3:$A$2927, $A59,'Raw Data'!K$3:K$2927) / COUNTIF('Raw Data'!$A$3:$A$2927,$A59))</f>
        <v>0</v>
      </c>
      <c r="O59">
        <f>IF( COUNTIF('Raw Data'!$A$3:$A$2927,$A59)=0,0,SUMIF('Raw Data'!$A$3:$A$2927, $A59,'Raw Data'!L$3:L$2927) / COUNTIF('Raw Data'!$A$3:$A$2927,$A59))</f>
        <v>0</v>
      </c>
      <c r="P59" s="58">
        <f>IF( COUNTIF('Raw Data'!$A$3:$A$2927,$A59)=0,0,SUMIF('Raw Data'!$A$3:$A$2927, $A59,'Raw Data'!M$3:M$2927) / COUNTIF('Raw Data'!$A$3:$A$2927,$A59))</f>
        <v>0</v>
      </c>
      <c r="Q59">
        <f>MAX(IF('Raw Data'!$A$3:$A$927=$A59, 'Raw Data'!$Z$3:$Z$927))</f>
        <v>0</v>
      </c>
      <c r="R59">
        <f>MAX(IF('Raw Data'!$A$3:$A$927=$A59, 'Raw Data'!$T$3:$T$927))</f>
        <v>0</v>
      </c>
      <c r="S59">
        <f>IF( COUNTIF('Raw Data'!$A$3:$A$2927,$A59)=0,0,SUMIF('Raw Data'!$A$3:$A$2927, $A59,'Raw Data'!P$3:P$2927) / COUNTIF('Raw Data'!$A$3:$A$2927,$A59))</f>
        <v>0</v>
      </c>
      <c r="T59">
        <f>IF( COUNTIF('Raw Data'!$A$3:$A$2927,$A59)=0,0,SUMIF('Raw Data'!$A$3:$A$2927, $A59,'Raw Data'!Q$3:Q$2927) / COUNTIF('Raw Data'!$A$3:$A$2927,$A59))</f>
        <v>0</v>
      </c>
      <c r="U59">
        <f>IF( COUNTIF('Raw Data'!$A$3:$A$2927,$A59)=0,0,SUMIF('Raw Data'!$A$3:$A$2927, $A59,'Raw Data'!R$3:R$2927) / COUNTIF('Raw Data'!$A$3:$A$2927,$A59))</f>
        <v>0</v>
      </c>
      <c r="V59">
        <f>IF( COUNTIF('Raw Data'!$A$3:$A$2927,$A59)=0,0,SUMIF('Raw Data'!$A$3:$A$2927, $A59,'Raw Data'!S$3:S$2927) / COUNTIF('Raw Data'!$A$3:$A$2927,$A59))</f>
        <v>0</v>
      </c>
      <c r="W59">
        <f>MAX(IF('Raw Data'!$A$3:$A$927=$A59, 'Raw Data'!$Y$3:$Y$927))</f>
        <v>0</v>
      </c>
      <c r="X59">
        <f>IF( COUNTIF('Raw Data'!$A$3:$A$2927,$A59)=0,0,SUMIF('Raw Data'!$A$3:$A$2927, $A59,'Raw Data'!U$3:U$2927) / COUNTIF('Raw Data'!$A$3:$A$2927,$A59))</f>
        <v>0</v>
      </c>
      <c r="Y59">
        <f>IF( COUNTIF('Raw Data'!$A$3:$A$2927,$A59)=0,0,SUMIF('Raw Data'!$A$3:$A$2927, $A59,'Raw Data'!V$3:V$2927) / COUNTIF('Raw Data'!$A$3:$A$2927,$A59))</f>
        <v>0</v>
      </c>
      <c r="Z59">
        <f>IF( COUNTIF('Raw Data'!$A$3:$A$2927,$A59)=0,0,SUMIF('Raw Data'!$A$3:$A$2927, $A59,'Raw Data'!W$3:W$2927) / COUNTIF('Raw Data'!$A$3:$A$2927,$A59))</f>
        <v>0</v>
      </c>
      <c r="AA59">
        <f>IF( COUNTIF('Raw Data'!$A$3:$A$2927,$A59)=0,0,SUMIF('Raw Data'!$A$3:$A$2927, $A59,'Raw Data'!X$3:X$2927) / COUNTIF('Raw Data'!$A$3:$A$2927,$A59))</f>
        <v>0</v>
      </c>
      <c r="AB59">
        <f>IF( COUNTIF('Raw Data'!$A$3:$A$2927,$A59)=0,0,SUMIF('Raw Data'!$A$3:$A$2927, $A59,'Raw Data'!AA$3:AA$2927) / COUNTIF('Raw Data'!$A$3:$A$2927,$A59))</f>
        <v>0</v>
      </c>
      <c r="AC59">
        <f>IF( COUNTIF('Raw Data'!$A$3:$A$2927,$A59)=0,0,SUMIF('Raw Data'!$A$3:$A$2927, $A59,'Raw Data'!AB$3:AB$2927) / COUNTIF('Raw Data'!$A$3:$A$2927,$A59))</f>
        <v>0</v>
      </c>
      <c r="AD59">
        <f>IF( COUNTIF('Raw Data'!$A$3:$A$2927,$A59)=0,0,SUMIF('Raw Data'!$A$3:$A$2927, $A59,'Raw Data'!AC$3:AC$2927) / COUNTIF('Raw Data'!$A$3:$A$2927,$A59))</f>
        <v>0</v>
      </c>
      <c r="AE59" s="117">
        <f>IF( COUNTIF('Raw Data'!$A$3:$A$2927,$A59)=0,0,SUMIF('Raw Data'!$A$3:$A$2927, $A59,'Raw Data'!AD$3:AD$2927) / COUNTIF('Raw Data'!$A$3:$A$2927,$A59))</f>
        <v>0</v>
      </c>
      <c r="AF59">
        <f>IF( COUNTIF('Raw Data'!$A$3:$A$2927,$A59)=0,0,SUMIF('Raw Data'!$A$3:$A$2927, $A59,'Raw Data'!AE$3:AE$2927) / COUNTIF('Raw Data'!$A$3:$A$2927,$A59))</f>
        <v>0</v>
      </c>
      <c r="AG59">
        <f>IF( COUNTIF('Raw Data'!$A$3:$A$2927,$A59)=0,0,SUMIF('Raw Data'!$A$3:$A$2927, $A59,'Raw Data'!AF$3:AF$2927) / COUNTIF('Raw Data'!$A$3:$A$2927,$A59))</f>
        <v>0</v>
      </c>
      <c r="AH59">
        <f>IF( COUNTIF('Raw Data'!$A$3:$A$2927,$A59)=0,0,SUMIF('Raw Data'!$A$3:$A$2927, $A59,'Raw Data'!AG$3:AG$2927) / COUNTIF('Raw Data'!$A$3:$A$2927,$A59))</f>
        <v>0</v>
      </c>
      <c r="AI59">
        <f>IF( COUNTIF('Raw Data'!$A$3:$A$2927,$A59)=0,0,SUMIF('Raw Data'!$A$3:$A$2927, $A59,'Raw Data'!AH$3:AH$2927) / COUNTIF('Raw Data'!$A$3:$A$2927,$A59))</f>
        <v>0</v>
      </c>
      <c r="AJ59" s="117">
        <f>COUNTIF('Raw Data'!A$3:A$2927, $A59)</f>
        <v>0</v>
      </c>
      <c r="AK59">
        <f t="shared" si="6"/>
        <v>-21</v>
      </c>
      <c r="AL59">
        <f t="shared" si="7"/>
        <v>-1.5</v>
      </c>
      <c r="AM59">
        <f t="shared" si="8"/>
        <v>-1</v>
      </c>
    </row>
    <row r="60" spans="1:39">
      <c r="A60">
        <v>6331</v>
      </c>
      <c r="B60" t="s">
        <v>455</v>
      </c>
      <c r="C60">
        <f t="shared" si="0"/>
        <v>0</v>
      </c>
      <c r="D60">
        <f t="shared" si="1"/>
        <v>0</v>
      </c>
      <c r="E60">
        <f>IF( COUNTIF('Raw Data'!$A$3:$A$2927,$A60)=0,0,SUMIF('Raw Data'!$A$3:$A$2927, $A60,'Raw Data'!D$3:D$2927) / COUNTIF('Raw Data'!$A$3:$A$2927,$A60))</f>
        <v>0</v>
      </c>
      <c r="F60">
        <f>MAX(IF('Raw Data'!$A$3:$A$927=$A60, 'Raw Data'!$O$3:$O$927))</f>
        <v>0</v>
      </c>
      <c r="G60">
        <f>MAX(IF('Raw Data'!$A$3:$A$927=$A60, 'Raw Data'!$I$3:$I$927))</f>
        <v>0</v>
      </c>
      <c r="H60">
        <f>IF( COUNTIF('Raw Data'!$A$3:$A$2927,$A60)=0,0,SUMIF('Raw Data'!$A$3:$A$2927, $A60,'Raw Data'!E$3:E$2927) / COUNTIF('Raw Data'!$A$3:$A$2927,$A60))</f>
        <v>0</v>
      </c>
      <c r="I60">
        <f>IF( COUNTIF('Raw Data'!$A$3:$A$2927,$A60)=0,0,SUMIF('Raw Data'!$A$3:$A$2927, $A60,'Raw Data'!F$3:F$2927) / COUNTIF('Raw Data'!$A$3:$A$2927,$A60))</f>
        <v>0</v>
      </c>
      <c r="J60">
        <f>IF( COUNTIF('Raw Data'!$A$3:$A$2927,$A60)=0,0,SUMIF('Raw Data'!$A$3:$A$2927, $A60,'Raw Data'!G$3:G$2927) / COUNTIF('Raw Data'!$A$3:$A$2927,$A60))</f>
        <v>0</v>
      </c>
      <c r="K60">
        <f>IF( COUNTIF('Raw Data'!$A$3:$A$2927,$A60)=0,0,SUMIF('Raw Data'!$A$3:$A$2927, $A60,'Raw Data'!H$3:H$2927) / COUNTIF('Raw Data'!$A$3:$A$2927,$A60))</f>
        <v>0</v>
      </c>
      <c r="L60">
        <f>MAX(IF('Raw Data'!$A$3:$A$927=$A60, 'Raw Data'!$N$3:$N$927))</f>
        <v>0</v>
      </c>
      <c r="M60">
        <f>IF( COUNTIF('Raw Data'!$A$3:$A$2927,$A60)=0,0,SUMIF('Raw Data'!$A$3:$A$2927, $A60,'Raw Data'!J$3:J$2927) / COUNTIF('Raw Data'!$A$3:$A$2927,$A60))</f>
        <v>0</v>
      </c>
      <c r="N60">
        <f>IF( COUNTIF('Raw Data'!$A$3:$A$2927,$A60)=0,0,SUMIF('Raw Data'!$A$3:$A$2927, $A60,'Raw Data'!K$3:K$2927) / COUNTIF('Raw Data'!$A$3:$A$2927,$A60))</f>
        <v>0</v>
      </c>
      <c r="O60">
        <f>IF( COUNTIF('Raw Data'!$A$3:$A$2927,$A60)=0,0,SUMIF('Raw Data'!$A$3:$A$2927, $A60,'Raw Data'!L$3:L$2927) / COUNTIF('Raw Data'!$A$3:$A$2927,$A60))</f>
        <v>0</v>
      </c>
      <c r="P60" s="58">
        <f>IF( COUNTIF('Raw Data'!$A$3:$A$2927,$A60)=0,0,SUMIF('Raw Data'!$A$3:$A$2927, $A60,'Raw Data'!M$3:M$2927) / COUNTIF('Raw Data'!$A$3:$A$2927,$A60))</f>
        <v>0</v>
      </c>
      <c r="Q60">
        <f>MAX(IF('Raw Data'!$A$3:$A$927=$A60, 'Raw Data'!$Z$3:$Z$927))</f>
        <v>0</v>
      </c>
      <c r="R60">
        <f>MAX(IF('Raw Data'!$A$3:$A$927=$A60, 'Raw Data'!$T$3:$T$927))</f>
        <v>0</v>
      </c>
      <c r="S60">
        <f>IF( COUNTIF('Raw Data'!$A$3:$A$2927,$A60)=0,0,SUMIF('Raw Data'!$A$3:$A$2927, $A60,'Raw Data'!P$3:P$2927) / COUNTIF('Raw Data'!$A$3:$A$2927,$A60))</f>
        <v>0</v>
      </c>
      <c r="T60">
        <f>IF( COUNTIF('Raw Data'!$A$3:$A$2927,$A60)=0,0,SUMIF('Raw Data'!$A$3:$A$2927, $A60,'Raw Data'!Q$3:Q$2927) / COUNTIF('Raw Data'!$A$3:$A$2927,$A60))</f>
        <v>0</v>
      </c>
      <c r="U60">
        <f>IF( COUNTIF('Raw Data'!$A$3:$A$2927,$A60)=0,0,SUMIF('Raw Data'!$A$3:$A$2927, $A60,'Raw Data'!R$3:R$2927) / COUNTIF('Raw Data'!$A$3:$A$2927,$A60))</f>
        <v>0</v>
      </c>
      <c r="V60">
        <f>IF( COUNTIF('Raw Data'!$A$3:$A$2927,$A60)=0,0,SUMIF('Raw Data'!$A$3:$A$2927, $A60,'Raw Data'!S$3:S$2927) / COUNTIF('Raw Data'!$A$3:$A$2927,$A60))</f>
        <v>0</v>
      </c>
      <c r="W60">
        <f>MAX(IF('Raw Data'!$A$3:$A$927=$A60, 'Raw Data'!$Y$3:$Y$927))</f>
        <v>0</v>
      </c>
      <c r="X60">
        <f>IF( COUNTIF('Raw Data'!$A$3:$A$2927,$A60)=0,0,SUMIF('Raw Data'!$A$3:$A$2927, $A60,'Raw Data'!U$3:U$2927) / COUNTIF('Raw Data'!$A$3:$A$2927,$A60))</f>
        <v>0</v>
      </c>
      <c r="Y60">
        <f>IF( COUNTIF('Raw Data'!$A$3:$A$2927,$A60)=0,0,SUMIF('Raw Data'!$A$3:$A$2927, $A60,'Raw Data'!V$3:V$2927) / COUNTIF('Raw Data'!$A$3:$A$2927,$A60))</f>
        <v>0</v>
      </c>
      <c r="Z60">
        <f>IF( COUNTIF('Raw Data'!$A$3:$A$2927,$A60)=0,0,SUMIF('Raw Data'!$A$3:$A$2927, $A60,'Raw Data'!W$3:W$2927) / COUNTIF('Raw Data'!$A$3:$A$2927,$A60))</f>
        <v>0</v>
      </c>
      <c r="AA60">
        <f>IF( COUNTIF('Raw Data'!$A$3:$A$2927,$A60)=0,0,SUMIF('Raw Data'!$A$3:$A$2927, $A60,'Raw Data'!X$3:X$2927) / COUNTIF('Raw Data'!$A$3:$A$2927,$A60))</f>
        <v>0</v>
      </c>
      <c r="AB60">
        <f>IF( COUNTIF('Raw Data'!$A$3:$A$2927,$A60)=0,0,SUMIF('Raw Data'!$A$3:$A$2927, $A60,'Raw Data'!AA$3:AA$2927) / COUNTIF('Raw Data'!$A$3:$A$2927,$A60))</f>
        <v>0</v>
      </c>
      <c r="AC60">
        <f>IF( COUNTIF('Raw Data'!$A$3:$A$2927,$A60)=0,0,SUMIF('Raw Data'!$A$3:$A$2927, $A60,'Raw Data'!AB$3:AB$2927) / COUNTIF('Raw Data'!$A$3:$A$2927,$A60))</f>
        <v>0</v>
      </c>
      <c r="AD60">
        <f>IF( COUNTIF('Raw Data'!$A$3:$A$2927,$A60)=0,0,SUMIF('Raw Data'!$A$3:$A$2927, $A60,'Raw Data'!AC$3:AC$2927) / COUNTIF('Raw Data'!$A$3:$A$2927,$A60))</f>
        <v>0</v>
      </c>
      <c r="AE60" s="117">
        <f>IF( COUNTIF('Raw Data'!$A$3:$A$2927,$A60)=0,0,SUMIF('Raw Data'!$A$3:$A$2927, $A60,'Raw Data'!AD$3:AD$2927) / COUNTIF('Raw Data'!$A$3:$A$2927,$A60))</f>
        <v>0</v>
      </c>
      <c r="AF60">
        <f>IF( COUNTIF('Raw Data'!$A$3:$A$2927,$A60)=0,0,SUMIF('Raw Data'!$A$3:$A$2927, $A60,'Raw Data'!AE$3:AE$2927) / COUNTIF('Raw Data'!$A$3:$A$2927,$A60))</f>
        <v>0</v>
      </c>
      <c r="AG60">
        <f>IF( COUNTIF('Raw Data'!$A$3:$A$2927,$A60)=0,0,SUMIF('Raw Data'!$A$3:$A$2927, $A60,'Raw Data'!AF$3:AF$2927) / COUNTIF('Raw Data'!$A$3:$A$2927,$A60))</f>
        <v>0</v>
      </c>
      <c r="AH60">
        <f>IF( COUNTIF('Raw Data'!$A$3:$A$2927,$A60)=0,0,SUMIF('Raw Data'!$A$3:$A$2927, $A60,'Raw Data'!AG$3:AG$2927) / COUNTIF('Raw Data'!$A$3:$A$2927,$A60))</f>
        <v>0</v>
      </c>
      <c r="AI60">
        <f>IF( COUNTIF('Raw Data'!$A$3:$A$2927,$A60)=0,0,SUMIF('Raw Data'!$A$3:$A$2927, $A60,'Raw Data'!AH$3:AH$2927) / COUNTIF('Raw Data'!$A$3:$A$2927,$A60))</f>
        <v>0</v>
      </c>
      <c r="AJ60" s="117">
        <f>COUNTIF('Raw Data'!A$3:A$2927, $A60)</f>
        <v>0</v>
      </c>
      <c r="AK60">
        <f t="shared" si="6"/>
        <v>-21</v>
      </c>
      <c r="AL60">
        <f t="shared" si="7"/>
        <v>-1.5</v>
      </c>
      <c r="AM60">
        <f t="shared" si="8"/>
        <v>-1</v>
      </c>
    </row>
    <row r="61" spans="1:39">
      <c r="A61">
        <v>6336</v>
      </c>
      <c r="B61" t="s">
        <v>456</v>
      </c>
      <c r="C61">
        <f t="shared" si="0"/>
        <v>15.000000000000002</v>
      </c>
      <c r="D61">
        <f t="shared" si="1"/>
        <v>4.333333333333333</v>
      </c>
      <c r="E61">
        <f>IF( COUNTIF('Raw Data'!$A$3:$A$2927,$A61)=0,0,SUMIF('Raw Data'!$A$3:$A$2927, $A61,'Raw Data'!D$3:D$2927) / COUNTIF('Raw Data'!$A$3:$A$2927,$A61))</f>
        <v>1.8888888888888888</v>
      </c>
      <c r="F61">
        <f>MAX(IF('Raw Data'!$A$3:$A$927=$A61, 'Raw Data'!$O$3:$O$927))</f>
        <v>0</v>
      </c>
      <c r="G61">
        <f>MAX(IF('Raw Data'!$A$3:$A$927=$A61, 'Raw Data'!$I$3:$I$927))</f>
        <v>0</v>
      </c>
      <c r="H61">
        <f>IF( COUNTIF('Raw Data'!$A$3:$A$2927,$A61)=0,0,SUMIF('Raw Data'!$A$3:$A$2927, $A61,'Raw Data'!E$3:E$2927) / COUNTIF('Raw Data'!$A$3:$A$2927,$A61))</f>
        <v>0</v>
      </c>
      <c r="I61">
        <f>IF( COUNTIF('Raw Data'!$A$3:$A$2927,$A61)=0,0,SUMIF('Raw Data'!$A$3:$A$2927, $A61,'Raw Data'!F$3:F$2927) / COUNTIF('Raw Data'!$A$3:$A$2927,$A61))</f>
        <v>0</v>
      </c>
      <c r="J61">
        <f>IF( COUNTIF('Raw Data'!$A$3:$A$2927,$A61)=0,0,SUMIF('Raw Data'!$A$3:$A$2927, $A61,'Raw Data'!G$3:G$2927) / COUNTIF('Raw Data'!$A$3:$A$2927,$A61))</f>
        <v>0</v>
      </c>
      <c r="K61">
        <f>IF( COUNTIF('Raw Data'!$A$3:$A$2927,$A61)=0,0,SUMIF('Raw Data'!$A$3:$A$2927, $A61,'Raw Data'!H$3:H$2927) / COUNTIF('Raw Data'!$A$3:$A$2927,$A61))</f>
        <v>0</v>
      </c>
      <c r="L61">
        <f>MAX(IF('Raw Data'!$A$3:$A$927=$A61, 'Raw Data'!$N$3:$N$927))</f>
        <v>0</v>
      </c>
      <c r="M61">
        <f>IF( COUNTIF('Raw Data'!$A$3:$A$2927,$A61)=0,0,SUMIF('Raw Data'!$A$3:$A$2927, $A61,'Raw Data'!J$3:J$2927) / COUNTIF('Raw Data'!$A$3:$A$2927,$A61))</f>
        <v>0</v>
      </c>
      <c r="N61">
        <f>IF( COUNTIF('Raw Data'!$A$3:$A$2927,$A61)=0,0,SUMIF('Raw Data'!$A$3:$A$2927, $A61,'Raw Data'!K$3:K$2927) / COUNTIF('Raw Data'!$A$3:$A$2927,$A61))</f>
        <v>0</v>
      </c>
      <c r="O61">
        <f>IF( COUNTIF('Raw Data'!$A$3:$A$2927,$A61)=0,0,SUMIF('Raw Data'!$A$3:$A$2927, $A61,'Raw Data'!L$3:L$2927) / COUNTIF('Raw Data'!$A$3:$A$2927,$A61))</f>
        <v>0</v>
      </c>
      <c r="P61" s="58">
        <f>IF( COUNTIF('Raw Data'!$A$3:$A$2927,$A61)=0,0,SUMIF('Raw Data'!$A$3:$A$2927, $A61,'Raw Data'!M$3:M$2927) / COUNTIF('Raw Data'!$A$3:$A$2927,$A61))</f>
        <v>0</v>
      </c>
      <c r="Q61">
        <f>MAX(IF('Raw Data'!$A$3:$A$927=$A61, 'Raw Data'!$Z$3:$Z$927))</f>
        <v>0</v>
      </c>
      <c r="R61">
        <f>MAX(IF('Raw Data'!$A$3:$A$927=$A61, 'Raw Data'!$T$3:$T$927))</f>
        <v>0</v>
      </c>
      <c r="S61">
        <f>IF( COUNTIF('Raw Data'!$A$3:$A$2927,$A61)=0,0,SUMIF('Raw Data'!$A$3:$A$2927, $A61,'Raw Data'!P$3:P$2927) / COUNTIF('Raw Data'!$A$3:$A$2927,$A61))</f>
        <v>0</v>
      </c>
      <c r="T61">
        <f>IF( COUNTIF('Raw Data'!$A$3:$A$2927,$A61)=0,0,SUMIF('Raw Data'!$A$3:$A$2927, $A61,'Raw Data'!Q$3:Q$2927) / COUNTIF('Raw Data'!$A$3:$A$2927,$A61))</f>
        <v>1.3333333333333333</v>
      </c>
      <c r="U61">
        <f>IF( COUNTIF('Raw Data'!$A$3:$A$2927,$A61)=0,0,SUMIF('Raw Data'!$A$3:$A$2927, $A61,'Raw Data'!R$3:R$2927) / COUNTIF('Raw Data'!$A$3:$A$2927,$A61))</f>
        <v>0.55555555555555558</v>
      </c>
      <c r="V61">
        <f>IF( COUNTIF('Raw Data'!$A$3:$A$2927,$A61)=0,0,SUMIF('Raw Data'!$A$3:$A$2927, $A61,'Raw Data'!S$3:S$2927) / COUNTIF('Raw Data'!$A$3:$A$2927,$A61))</f>
        <v>0.44444444444444442</v>
      </c>
      <c r="W61">
        <f>MAX(IF('Raw Data'!$A$3:$A$927=$A61, 'Raw Data'!$Y$3:$Y$927))</f>
        <v>0</v>
      </c>
      <c r="X61">
        <f>IF( COUNTIF('Raw Data'!$A$3:$A$2927,$A61)=0,0,SUMIF('Raw Data'!$A$3:$A$2927, $A61,'Raw Data'!U$3:U$2927) / COUNTIF('Raw Data'!$A$3:$A$2927,$A61))</f>
        <v>0</v>
      </c>
      <c r="Y61">
        <f>IF( COUNTIF('Raw Data'!$A$3:$A$2927,$A61)=0,0,SUMIF('Raw Data'!$A$3:$A$2927, $A61,'Raw Data'!V$3:V$2927) / COUNTIF('Raw Data'!$A$3:$A$2927,$A61))</f>
        <v>0.55555555555555558</v>
      </c>
      <c r="Z61">
        <f>IF( COUNTIF('Raw Data'!$A$3:$A$2927,$A61)=0,0,SUMIF('Raw Data'!$A$3:$A$2927, $A61,'Raw Data'!W$3:W$2927) / COUNTIF('Raw Data'!$A$3:$A$2927,$A61))</f>
        <v>0.22222222222222221</v>
      </c>
      <c r="AA61">
        <f>IF( COUNTIF('Raw Data'!$A$3:$A$2927,$A61)=0,0,SUMIF('Raw Data'!$A$3:$A$2927, $A61,'Raw Data'!X$3:X$2927) / COUNTIF('Raw Data'!$A$3:$A$2927,$A61))</f>
        <v>0</v>
      </c>
      <c r="AB61">
        <f>IF( COUNTIF('Raw Data'!$A$3:$A$2927,$A61)=0,0,SUMIF('Raw Data'!$A$3:$A$2927, $A61,'Raw Data'!AA$3:AA$2927) / COUNTIF('Raw Data'!$A$3:$A$2927,$A61))</f>
        <v>0.33333333333333331</v>
      </c>
      <c r="AC61">
        <f>IF( COUNTIF('Raw Data'!$A$3:$A$2927,$A61)=0,0,SUMIF('Raw Data'!$A$3:$A$2927, $A61,'Raw Data'!AB$3:AB$2927) / COUNTIF('Raw Data'!$A$3:$A$2927,$A61))</f>
        <v>0.1111111111111111</v>
      </c>
      <c r="AD61">
        <f>IF( COUNTIF('Raw Data'!$A$3:$A$2927,$A61)=0,0,SUMIF('Raw Data'!$A$3:$A$2927, $A61,'Raw Data'!AC$3:AC$2927) / COUNTIF('Raw Data'!$A$3:$A$2927,$A61))</f>
        <v>1.5555555555555556</v>
      </c>
      <c r="AE61" s="117">
        <f>IF( COUNTIF('Raw Data'!$A$3:$A$2927,$A61)=0,0,SUMIF('Raw Data'!$A$3:$A$2927, $A61,'Raw Data'!AD$3:AD$2927) / COUNTIF('Raw Data'!$A$3:$A$2927,$A61))</f>
        <v>0.1111111111111111</v>
      </c>
      <c r="AF61">
        <f>IF( COUNTIF('Raw Data'!$A$3:$A$2927,$A61)=0,0,SUMIF('Raw Data'!$A$3:$A$2927, $A61,'Raw Data'!AE$3:AE$2927) / COUNTIF('Raw Data'!$A$3:$A$2927,$A61))</f>
        <v>0</v>
      </c>
      <c r="AG61">
        <f>IF( COUNTIF('Raw Data'!$A$3:$A$2927,$A61)=0,0,SUMIF('Raw Data'!$A$3:$A$2927, $A61,'Raw Data'!AF$3:AF$2927) / COUNTIF('Raw Data'!$A$3:$A$2927,$A61))</f>
        <v>0</v>
      </c>
      <c r="AH61">
        <f>IF( COUNTIF('Raw Data'!$A$3:$A$2927,$A61)=0,0,SUMIF('Raw Data'!$A$3:$A$2927, $A61,'Raw Data'!AG$3:AG$2927) / COUNTIF('Raw Data'!$A$3:$A$2927,$A61))</f>
        <v>2.6666666666666665</v>
      </c>
      <c r="AI61">
        <f>IF( COUNTIF('Raw Data'!$A$3:$A$2927,$A61)=0,0,SUMIF('Raw Data'!$A$3:$A$2927, $A61,'Raw Data'!AH$3:AH$2927) / COUNTIF('Raw Data'!$A$3:$A$2927,$A61))</f>
        <v>0.22222222222222221</v>
      </c>
      <c r="AJ61" s="117">
        <f>COUNTIF('Raw Data'!A$3:A$2927, $A61)</f>
        <v>9</v>
      </c>
      <c r="AK61">
        <f t="shared" si="6"/>
        <v>4.4577777777777783</v>
      </c>
      <c r="AL61">
        <f t="shared" si="7"/>
        <v>0.83333333333333315</v>
      </c>
      <c r="AM61">
        <f t="shared" si="8"/>
        <v>-0.21333333333333337</v>
      </c>
    </row>
    <row r="62" spans="1:39">
      <c r="A62">
        <v>6342</v>
      </c>
      <c r="B62" t="s">
        <v>433</v>
      </c>
      <c r="C62">
        <f t="shared" si="0"/>
        <v>0</v>
      </c>
      <c r="D62">
        <f t="shared" si="1"/>
        <v>0</v>
      </c>
      <c r="E62">
        <f>IF( COUNTIF('Raw Data'!$A$3:$A$2927,$A62)=0,0,SUMIF('Raw Data'!$A$3:$A$2927, $A62,'Raw Data'!D$3:D$2927) / COUNTIF('Raw Data'!$A$3:$A$2927,$A62))</f>
        <v>0</v>
      </c>
      <c r="F62">
        <f>MAX(IF('Raw Data'!$A$3:$A$927=$A62, 'Raw Data'!$O$3:$O$927))</f>
        <v>0</v>
      </c>
      <c r="G62">
        <f>MAX(IF('Raw Data'!$A$3:$A$927=$A62, 'Raw Data'!$I$3:$I$927))</f>
        <v>0</v>
      </c>
      <c r="H62">
        <f>IF( COUNTIF('Raw Data'!$A$3:$A$2927,$A62)=0,0,SUMIF('Raw Data'!$A$3:$A$2927, $A62,'Raw Data'!E$3:E$2927) / COUNTIF('Raw Data'!$A$3:$A$2927,$A62))</f>
        <v>0</v>
      </c>
      <c r="I62">
        <f>IF( COUNTIF('Raw Data'!$A$3:$A$2927,$A62)=0,0,SUMIF('Raw Data'!$A$3:$A$2927, $A62,'Raw Data'!F$3:F$2927) / COUNTIF('Raw Data'!$A$3:$A$2927,$A62))</f>
        <v>0</v>
      </c>
      <c r="J62">
        <f>IF( COUNTIF('Raw Data'!$A$3:$A$2927,$A62)=0,0,SUMIF('Raw Data'!$A$3:$A$2927, $A62,'Raw Data'!G$3:G$2927) / COUNTIF('Raw Data'!$A$3:$A$2927,$A62))</f>
        <v>0</v>
      </c>
      <c r="K62">
        <f>IF( COUNTIF('Raw Data'!$A$3:$A$2927,$A62)=0,0,SUMIF('Raw Data'!$A$3:$A$2927, $A62,'Raw Data'!H$3:H$2927) / COUNTIF('Raw Data'!$A$3:$A$2927,$A62))</f>
        <v>0</v>
      </c>
      <c r="L62">
        <f>MAX(IF('Raw Data'!$A$3:$A$927=$A62, 'Raw Data'!$N$3:$N$927))</f>
        <v>0</v>
      </c>
      <c r="M62">
        <f>IF( COUNTIF('Raw Data'!$A$3:$A$2927,$A62)=0,0,SUMIF('Raw Data'!$A$3:$A$2927, $A62,'Raw Data'!J$3:J$2927) / COUNTIF('Raw Data'!$A$3:$A$2927,$A62))</f>
        <v>0</v>
      </c>
      <c r="N62">
        <f>IF( COUNTIF('Raw Data'!$A$3:$A$2927,$A62)=0,0,SUMIF('Raw Data'!$A$3:$A$2927, $A62,'Raw Data'!K$3:K$2927) / COUNTIF('Raw Data'!$A$3:$A$2927,$A62))</f>
        <v>0</v>
      </c>
      <c r="O62">
        <f>IF( COUNTIF('Raw Data'!$A$3:$A$2927,$A62)=0,0,SUMIF('Raw Data'!$A$3:$A$2927, $A62,'Raw Data'!L$3:L$2927) / COUNTIF('Raw Data'!$A$3:$A$2927,$A62))</f>
        <v>0</v>
      </c>
      <c r="P62" s="58">
        <f>IF( COUNTIF('Raw Data'!$A$3:$A$2927,$A62)=0,0,SUMIF('Raw Data'!$A$3:$A$2927, $A62,'Raw Data'!M$3:M$2927) / COUNTIF('Raw Data'!$A$3:$A$2927,$A62))</f>
        <v>0</v>
      </c>
      <c r="Q62">
        <f>MAX(IF('Raw Data'!$A$3:$A$927=$A62, 'Raw Data'!$Z$3:$Z$927))</f>
        <v>0</v>
      </c>
      <c r="R62">
        <f>MAX(IF('Raw Data'!$A$3:$A$927=$A62, 'Raw Data'!$T$3:$T$927))</f>
        <v>0</v>
      </c>
      <c r="S62">
        <f>IF( COUNTIF('Raw Data'!$A$3:$A$2927,$A62)=0,0,SUMIF('Raw Data'!$A$3:$A$2927, $A62,'Raw Data'!P$3:P$2927) / COUNTIF('Raw Data'!$A$3:$A$2927,$A62))</f>
        <v>0</v>
      </c>
      <c r="T62">
        <f>IF( COUNTIF('Raw Data'!$A$3:$A$2927,$A62)=0,0,SUMIF('Raw Data'!$A$3:$A$2927, $A62,'Raw Data'!Q$3:Q$2927) / COUNTIF('Raw Data'!$A$3:$A$2927,$A62))</f>
        <v>0</v>
      </c>
      <c r="U62">
        <f>IF( COUNTIF('Raw Data'!$A$3:$A$2927,$A62)=0,0,SUMIF('Raw Data'!$A$3:$A$2927, $A62,'Raw Data'!R$3:R$2927) / COUNTIF('Raw Data'!$A$3:$A$2927,$A62))</f>
        <v>0</v>
      </c>
      <c r="V62">
        <f>IF( COUNTIF('Raw Data'!$A$3:$A$2927,$A62)=0,0,SUMIF('Raw Data'!$A$3:$A$2927, $A62,'Raw Data'!S$3:S$2927) / COUNTIF('Raw Data'!$A$3:$A$2927,$A62))</f>
        <v>0</v>
      </c>
      <c r="W62">
        <f>MAX(IF('Raw Data'!$A$3:$A$927=$A62, 'Raw Data'!$Y$3:$Y$927))</f>
        <v>0</v>
      </c>
      <c r="X62">
        <f>IF( COUNTIF('Raw Data'!$A$3:$A$2927,$A62)=0,0,SUMIF('Raw Data'!$A$3:$A$2927, $A62,'Raw Data'!U$3:U$2927) / COUNTIF('Raw Data'!$A$3:$A$2927,$A62))</f>
        <v>0</v>
      </c>
      <c r="Y62">
        <f>IF( COUNTIF('Raw Data'!$A$3:$A$2927,$A62)=0,0,SUMIF('Raw Data'!$A$3:$A$2927, $A62,'Raw Data'!V$3:V$2927) / COUNTIF('Raw Data'!$A$3:$A$2927,$A62))</f>
        <v>0</v>
      </c>
      <c r="Z62">
        <f>IF( COUNTIF('Raw Data'!$A$3:$A$2927,$A62)=0,0,SUMIF('Raw Data'!$A$3:$A$2927, $A62,'Raw Data'!W$3:W$2927) / COUNTIF('Raw Data'!$A$3:$A$2927,$A62))</f>
        <v>0</v>
      </c>
      <c r="AA62">
        <f>IF( COUNTIF('Raw Data'!$A$3:$A$2927,$A62)=0,0,SUMIF('Raw Data'!$A$3:$A$2927, $A62,'Raw Data'!X$3:X$2927) / COUNTIF('Raw Data'!$A$3:$A$2927,$A62))</f>
        <v>0</v>
      </c>
      <c r="AB62">
        <f>IF( COUNTIF('Raw Data'!$A$3:$A$2927,$A62)=0,0,SUMIF('Raw Data'!$A$3:$A$2927, $A62,'Raw Data'!AA$3:AA$2927) / COUNTIF('Raw Data'!$A$3:$A$2927,$A62))</f>
        <v>0</v>
      </c>
      <c r="AC62">
        <f>IF( COUNTIF('Raw Data'!$A$3:$A$2927,$A62)=0,0,SUMIF('Raw Data'!$A$3:$A$2927, $A62,'Raw Data'!AB$3:AB$2927) / COUNTIF('Raw Data'!$A$3:$A$2927,$A62))</f>
        <v>0</v>
      </c>
      <c r="AD62">
        <f>IF( COUNTIF('Raw Data'!$A$3:$A$2927,$A62)=0,0,SUMIF('Raw Data'!$A$3:$A$2927, $A62,'Raw Data'!AC$3:AC$2927) / COUNTIF('Raw Data'!$A$3:$A$2927,$A62))</f>
        <v>0</v>
      </c>
      <c r="AE62" s="117">
        <f>IF( COUNTIF('Raw Data'!$A$3:$A$2927,$A62)=0,0,SUMIF('Raw Data'!$A$3:$A$2927, $A62,'Raw Data'!AD$3:AD$2927) / COUNTIF('Raw Data'!$A$3:$A$2927,$A62))</f>
        <v>0</v>
      </c>
      <c r="AF62">
        <f>IF( COUNTIF('Raw Data'!$A$3:$A$2927,$A62)=0,0,SUMIF('Raw Data'!$A$3:$A$2927, $A62,'Raw Data'!AE$3:AE$2927) / COUNTIF('Raw Data'!$A$3:$A$2927,$A62))</f>
        <v>0</v>
      </c>
      <c r="AG62">
        <f>IF( COUNTIF('Raw Data'!$A$3:$A$2927,$A62)=0,0,SUMIF('Raw Data'!$A$3:$A$2927, $A62,'Raw Data'!AF$3:AF$2927) / COUNTIF('Raw Data'!$A$3:$A$2927,$A62))</f>
        <v>0</v>
      </c>
      <c r="AH62">
        <f>IF( COUNTIF('Raw Data'!$A$3:$A$2927,$A62)=0,0,SUMIF('Raw Data'!$A$3:$A$2927, $A62,'Raw Data'!AG$3:AG$2927) / COUNTIF('Raw Data'!$A$3:$A$2927,$A62))</f>
        <v>0</v>
      </c>
      <c r="AI62">
        <f>IF( COUNTIF('Raw Data'!$A$3:$A$2927,$A62)=0,0,SUMIF('Raw Data'!$A$3:$A$2927, $A62,'Raw Data'!AH$3:AH$2927) / COUNTIF('Raw Data'!$A$3:$A$2927,$A62))</f>
        <v>0</v>
      </c>
      <c r="AJ62" s="117">
        <f>COUNTIF('Raw Data'!A$3:A$2927, $A62)</f>
        <v>0</v>
      </c>
      <c r="AK62">
        <f t="shared" si="6"/>
        <v>-21</v>
      </c>
      <c r="AL62">
        <f t="shared" si="7"/>
        <v>-1.5</v>
      </c>
      <c r="AM62">
        <f t="shared" si="8"/>
        <v>-1</v>
      </c>
    </row>
    <row r="63" spans="1:39">
      <c r="A63">
        <v>6397</v>
      </c>
      <c r="B63" t="s">
        <v>434</v>
      </c>
      <c r="C63">
        <f t="shared" si="0"/>
        <v>0</v>
      </c>
      <c r="D63">
        <f t="shared" si="1"/>
        <v>0</v>
      </c>
      <c r="E63">
        <f>IF( COUNTIF('Raw Data'!$A$3:$A$2927,$A63)=0,0,SUMIF('Raw Data'!$A$3:$A$2927, $A63,'Raw Data'!D$3:D$2927) / COUNTIF('Raw Data'!$A$3:$A$2927,$A63))</f>
        <v>0</v>
      </c>
      <c r="F63">
        <f>MAX(IF('Raw Data'!$A$3:$A$927=$A63, 'Raw Data'!$O$3:$O$927))</f>
        <v>0</v>
      </c>
      <c r="G63">
        <f>MAX(IF('Raw Data'!$A$3:$A$927=$A63, 'Raw Data'!$I$3:$I$927))</f>
        <v>0</v>
      </c>
      <c r="H63">
        <f>IF( COUNTIF('Raw Data'!$A$3:$A$2927,$A63)=0,0,SUMIF('Raw Data'!$A$3:$A$2927, $A63,'Raw Data'!E$3:E$2927) / COUNTIF('Raw Data'!$A$3:$A$2927,$A63))</f>
        <v>0</v>
      </c>
      <c r="I63">
        <f>IF( COUNTIF('Raw Data'!$A$3:$A$2927,$A63)=0,0,SUMIF('Raw Data'!$A$3:$A$2927, $A63,'Raw Data'!F$3:F$2927) / COUNTIF('Raw Data'!$A$3:$A$2927,$A63))</f>
        <v>0</v>
      </c>
      <c r="J63">
        <f>IF( COUNTIF('Raw Data'!$A$3:$A$2927,$A63)=0,0,SUMIF('Raw Data'!$A$3:$A$2927, $A63,'Raw Data'!G$3:G$2927) / COUNTIF('Raw Data'!$A$3:$A$2927,$A63))</f>
        <v>0</v>
      </c>
      <c r="K63">
        <f>IF( COUNTIF('Raw Data'!$A$3:$A$2927,$A63)=0,0,SUMIF('Raw Data'!$A$3:$A$2927, $A63,'Raw Data'!H$3:H$2927) / COUNTIF('Raw Data'!$A$3:$A$2927,$A63))</f>
        <v>0</v>
      </c>
      <c r="L63">
        <f>MAX(IF('Raw Data'!$A$3:$A$927=$A63, 'Raw Data'!$N$3:$N$927))</f>
        <v>0</v>
      </c>
      <c r="M63">
        <f>IF( COUNTIF('Raw Data'!$A$3:$A$2927,$A63)=0,0,SUMIF('Raw Data'!$A$3:$A$2927, $A63,'Raw Data'!J$3:J$2927) / COUNTIF('Raw Data'!$A$3:$A$2927,$A63))</f>
        <v>0</v>
      </c>
      <c r="N63">
        <f>IF( COUNTIF('Raw Data'!$A$3:$A$2927,$A63)=0,0,SUMIF('Raw Data'!$A$3:$A$2927, $A63,'Raw Data'!K$3:K$2927) / COUNTIF('Raw Data'!$A$3:$A$2927,$A63))</f>
        <v>0</v>
      </c>
      <c r="O63">
        <f>IF( COUNTIF('Raw Data'!$A$3:$A$2927,$A63)=0,0,SUMIF('Raw Data'!$A$3:$A$2927, $A63,'Raw Data'!L$3:L$2927) / COUNTIF('Raw Data'!$A$3:$A$2927,$A63))</f>
        <v>0</v>
      </c>
      <c r="P63" s="58">
        <f>IF( COUNTIF('Raw Data'!$A$3:$A$2927,$A63)=0,0,SUMIF('Raw Data'!$A$3:$A$2927, $A63,'Raw Data'!M$3:M$2927) / COUNTIF('Raw Data'!$A$3:$A$2927,$A63))</f>
        <v>0</v>
      </c>
      <c r="Q63">
        <f>MAX(IF('Raw Data'!$A$3:$A$927=$A63, 'Raw Data'!$Z$3:$Z$927))</f>
        <v>0</v>
      </c>
      <c r="R63">
        <f>MAX(IF('Raw Data'!$A$3:$A$927=$A63, 'Raw Data'!$T$3:$T$927))</f>
        <v>0</v>
      </c>
      <c r="S63">
        <f>IF( COUNTIF('Raw Data'!$A$3:$A$2927,$A63)=0,0,SUMIF('Raw Data'!$A$3:$A$2927, $A63,'Raw Data'!P$3:P$2927) / COUNTIF('Raw Data'!$A$3:$A$2927,$A63))</f>
        <v>0</v>
      </c>
      <c r="T63">
        <f>IF( COUNTIF('Raw Data'!$A$3:$A$2927,$A63)=0,0,SUMIF('Raw Data'!$A$3:$A$2927, $A63,'Raw Data'!Q$3:Q$2927) / COUNTIF('Raw Data'!$A$3:$A$2927,$A63))</f>
        <v>0</v>
      </c>
      <c r="U63">
        <f>IF( COUNTIF('Raw Data'!$A$3:$A$2927,$A63)=0,0,SUMIF('Raw Data'!$A$3:$A$2927, $A63,'Raw Data'!R$3:R$2927) / COUNTIF('Raw Data'!$A$3:$A$2927,$A63))</f>
        <v>0</v>
      </c>
      <c r="V63">
        <f>IF( COUNTIF('Raw Data'!$A$3:$A$2927,$A63)=0,0,SUMIF('Raw Data'!$A$3:$A$2927, $A63,'Raw Data'!S$3:S$2927) / COUNTIF('Raw Data'!$A$3:$A$2927,$A63))</f>
        <v>0</v>
      </c>
      <c r="W63">
        <f>MAX(IF('Raw Data'!$A$3:$A$927=$A63, 'Raw Data'!$Y$3:$Y$927))</f>
        <v>0</v>
      </c>
      <c r="X63">
        <f>IF( COUNTIF('Raw Data'!$A$3:$A$2927,$A63)=0,0,SUMIF('Raw Data'!$A$3:$A$2927, $A63,'Raw Data'!U$3:U$2927) / COUNTIF('Raw Data'!$A$3:$A$2927,$A63))</f>
        <v>0</v>
      </c>
      <c r="Y63">
        <f>IF( COUNTIF('Raw Data'!$A$3:$A$2927,$A63)=0,0,SUMIF('Raw Data'!$A$3:$A$2927, $A63,'Raw Data'!V$3:V$2927) / COUNTIF('Raw Data'!$A$3:$A$2927,$A63))</f>
        <v>0</v>
      </c>
      <c r="Z63">
        <f>IF( COUNTIF('Raw Data'!$A$3:$A$2927,$A63)=0,0,SUMIF('Raw Data'!$A$3:$A$2927, $A63,'Raw Data'!W$3:W$2927) / COUNTIF('Raw Data'!$A$3:$A$2927,$A63))</f>
        <v>0</v>
      </c>
      <c r="AA63">
        <f>IF( COUNTIF('Raw Data'!$A$3:$A$2927,$A63)=0,0,SUMIF('Raw Data'!$A$3:$A$2927, $A63,'Raw Data'!X$3:X$2927) / COUNTIF('Raw Data'!$A$3:$A$2927,$A63))</f>
        <v>0</v>
      </c>
      <c r="AB63">
        <f>IF( COUNTIF('Raw Data'!$A$3:$A$2927,$A63)=0,0,SUMIF('Raw Data'!$A$3:$A$2927, $A63,'Raw Data'!AA$3:AA$2927) / COUNTIF('Raw Data'!$A$3:$A$2927,$A63))</f>
        <v>0</v>
      </c>
      <c r="AC63">
        <f>IF( COUNTIF('Raw Data'!$A$3:$A$2927,$A63)=0,0,SUMIF('Raw Data'!$A$3:$A$2927, $A63,'Raw Data'!AB$3:AB$2927) / COUNTIF('Raw Data'!$A$3:$A$2927,$A63))</f>
        <v>0</v>
      </c>
      <c r="AD63">
        <f>IF( COUNTIF('Raw Data'!$A$3:$A$2927,$A63)=0,0,SUMIF('Raw Data'!$A$3:$A$2927, $A63,'Raw Data'!AC$3:AC$2927) / COUNTIF('Raw Data'!$A$3:$A$2927,$A63))</f>
        <v>0</v>
      </c>
      <c r="AE63" s="117">
        <f>IF( COUNTIF('Raw Data'!$A$3:$A$2927,$A63)=0,0,SUMIF('Raw Data'!$A$3:$A$2927, $A63,'Raw Data'!AD$3:AD$2927) / COUNTIF('Raw Data'!$A$3:$A$2927,$A63))</f>
        <v>0</v>
      </c>
      <c r="AF63">
        <f>IF( COUNTIF('Raw Data'!$A$3:$A$2927,$A63)=0,0,SUMIF('Raw Data'!$A$3:$A$2927, $A63,'Raw Data'!AE$3:AE$2927) / COUNTIF('Raw Data'!$A$3:$A$2927,$A63))</f>
        <v>0</v>
      </c>
      <c r="AG63">
        <f>IF( COUNTIF('Raw Data'!$A$3:$A$2927,$A63)=0,0,SUMIF('Raw Data'!$A$3:$A$2927, $A63,'Raw Data'!AF$3:AF$2927) / COUNTIF('Raw Data'!$A$3:$A$2927,$A63))</f>
        <v>0</v>
      </c>
      <c r="AH63">
        <f>IF( COUNTIF('Raw Data'!$A$3:$A$2927,$A63)=0,0,SUMIF('Raw Data'!$A$3:$A$2927, $A63,'Raw Data'!AG$3:AG$2927) / COUNTIF('Raw Data'!$A$3:$A$2927,$A63))</f>
        <v>0</v>
      </c>
      <c r="AI63">
        <f>IF( COUNTIF('Raw Data'!$A$3:$A$2927,$A63)=0,0,SUMIF('Raw Data'!$A$3:$A$2927, $A63,'Raw Data'!AH$3:AH$2927) / COUNTIF('Raw Data'!$A$3:$A$2927,$A63))</f>
        <v>0</v>
      </c>
      <c r="AJ63" s="117">
        <f>COUNTIF('Raw Data'!A$3:A$2927, $A63)</f>
        <v>0</v>
      </c>
      <c r="AK63">
        <f t="shared" si="6"/>
        <v>-21</v>
      </c>
      <c r="AL63">
        <f t="shared" si="7"/>
        <v>-1.5</v>
      </c>
      <c r="AM63">
        <f t="shared" si="8"/>
        <v>-1</v>
      </c>
    </row>
    <row r="64" spans="1:39">
      <c r="A64">
        <v>6461</v>
      </c>
      <c r="B64" t="s">
        <v>457</v>
      </c>
      <c r="C64">
        <f t="shared" si="0"/>
        <v>7.2857142857142856</v>
      </c>
      <c r="D64">
        <f t="shared" si="1"/>
        <v>1.7142857142857142</v>
      </c>
      <c r="E64">
        <f>IF( COUNTIF('Raw Data'!$A$3:$A$2927,$A64)=0,0,SUMIF('Raw Data'!$A$3:$A$2927, $A64,'Raw Data'!D$3:D$2927) / COUNTIF('Raw Data'!$A$3:$A$2927,$A64))</f>
        <v>1.1428571428571428</v>
      </c>
      <c r="F64">
        <f>MAX(IF('Raw Data'!$A$3:$A$927=$A64, 'Raw Data'!$O$3:$O$927))</f>
        <v>0</v>
      </c>
      <c r="G64">
        <f>MAX(IF('Raw Data'!$A$3:$A$927=$A64, 'Raw Data'!$I$3:$I$927))</f>
        <v>0</v>
      </c>
      <c r="H64">
        <f>IF( COUNTIF('Raw Data'!$A$3:$A$2927,$A64)=0,0,SUMIF('Raw Data'!$A$3:$A$2927, $A64,'Raw Data'!E$3:E$2927) / COUNTIF('Raw Data'!$A$3:$A$2927,$A64))</f>
        <v>0</v>
      </c>
      <c r="I64">
        <f>IF( COUNTIF('Raw Data'!$A$3:$A$2927,$A64)=0,0,SUMIF('Raw Data'!$A$3:$A$2927, $A64,'Raw Data'!F$3:F$2927) / COUNTIF('Raw Data'!$A$3:$A$2927,$A64))</f>
        <v>0</v>
      </c>
      <c r="J64">
        <f>IF( COUNTIF('Raw Data'!$A$3:$A$2927,$A64)=0,0,SUMIF('Raw Data'!$A$3:$A$2927, $A64,'Raw Data'!G$3:G$2927) / COUNTIF('Raw Data'!$A$3:$A$2927,$A64))</f>
        <v>0</v>
      </c>
      <c r="K64">
        <f>IF( COUNTIF('Raw Data'!$A$3:$A$2927,$A64)=0,0,SUMIF('Raw Data'!$A$3:$A$2927, $A64,'Raw Data'!H$3:H$2927) / COUNTIF('Raw Data'!$A$3:$A$2927,$A64))</f>
        <v>0</v>
      </c>
      <c r="L64">
        <f>MAX(IF('Raw Data'!$A$3:$A$927=$A64, 'Raw Data'!$N$3:$N$927))</f>
        <v>0</v>
      </c>
      <c r="M64">
        <f>IF( COUNTIF('Raw Data'!$A$3:$A$2927,$A64)=0,0,SUMIF('Raw Data'!$A$3:$A$2927, $A64,'Raw Data'!J$3:J$2927) / COUNTIF('Raw Data'!$A$3:$A$2927,$A64))</f>
        <v>0</v>
      </c>
      <c r="N64">
        <f>IF( COUNTIF('Raw Data'!$A$3:$A$2927,$A64)=0,0,SUMIF('Raw Data'!$A$3:$A$2927, $A64,'Raw Data'!K$3:K$2927) / COUNTIF('Raw Data'!$A$3:$A$2927,$A64))</f>
        <v>0</v>
      </c>
      <c r="O64">
        <f>IF( COUNTIF('Raw Data'!$A$3:$A$2927,$A64)=0,0,SUMIF('Raw Data'!$A$3:$A$2927, $A64,'Raw Data'!L$3:L$2927) / COUNTIF('Raw Data'!$A$3:$A$2927,$A64))</f>
        <v>0</v>
      </c>
      <c r="P64" s="58">
        <f>IF( COUNTIF('Raw Data'!$A$3:$A$2927,$A64)=0,0,SUMIF('Raw Data'!$A$3:$A$2927, $A64,'Raw Data'!M$3:M$2927) / COUNTIF('Raw Data'!$A$3:$A$2927,$A64))</f>
        <v>0</v>
      </c>
      <c r="Q64">
        <f>MAX(IF('Raw Data'!$A$3:$A$927=$A64, 'Raw Data'!$Z$3:$Z$927))</f>
        <v>0</v>
      </c>
      <c r="R64">
        <f>MAX(IF('Raw Data'!$A$3:$A$927=$A64, 'Raw Data'!$T$3:$T$927))</f>
        <v>0</v>
      </c>
      <c r="S64">
        <f>IF( COUNTIF('Raw Data'!$A$3:$A$2927,$A64)=0,0,SUMIF('Raw Data'!$A$3:$A$2927, $A64,'Raw Data'!P$3:P$2927) / COUNTIF('Raw Data'!$A$3:$A$2927,$A64))</f>
        <v>0.2857142857142857</v>
      </c>
      <c r="T64">
        <f>IF( COUNTIF('Raw Data'!$A$3:$A$2927,$A64)=0,0,SUMIF('Raw Data'!$A$3:$A$2927, $A64,'Raw Data'!Q$3:Q$2927) / COUNTIF('Raw Data'!$A$3:$A$2927,$A64))</f>
        <v>0.5714285714285714</v>
      </c>
      <c r="U64">
        <f>IF( COUNTIF('Raw Data'!$A$3:$A$2927,$A64)=0,0,SUMIF('Raw Data'!$A$3:$A$2927, $A64,'Raw Data'!R$3:R$2927) / COUNTIF('Raw Data'!$A$3:$A$2927,$A64))</f>
        <v>0</v>
      </c>
      <c r="V64">
        <f>IF( COUNTIF('Raw Data'!$A$3:$A$2927,$A64)=0,0,SUMIF('Raw Data'!$A$3:$A$2927, $A64,'Raw Data'!S$3:S$2927) / COUNTIF('Raw Data'!$A$3:$A$2927,$A64))</f>
        <v>0</v>
      </c>
      <c r="W64">
        <f>MAX(IF('Raw Data'!$A$3:$A$927=$A64, 'Raw Data'!$Y$3:$Y$927))</f>
        <v>0</v>
      </c>
      <c r="X64">
        <f>IF( COUNTIF('Raw Data'!$A$3:$A$2927,$A64)=0,0,SUMIF('Raw Data'!$A$3:$A$2927, $A64,'Raw Data'!U$3:U$2927) / COUNTIF('Raw Data'!$A$3:$A$2927,$A64))</f>
        <v>0</v>
      </c>
      <c r="Y64">
        <f>IF( COUNTIF('Raw Data'!$A$3:$A$2927,$A64)=0,0,SUMIF('Raw Data'!$A$3:$A$2927, $A64,'Raw Data'!V$3:V$2927) / COUNTIF('Raw Data'!$A$3:$A$2927,$A64))</f>
        <v>0</v>
      </c>
      <c r="Z64">
        <f>IF( COUNTIF('Raw Data'!$A$3:$A$2927,$A64)=0,0,SUMIF('Raw Data'!$A$3:$A$2927, $A64,'Raw Data'!W$3:W$2927) / COUNTIF('Raw Data'!$A$3:$A$2927,$A64))</f>
        <v>0</v>
      </c>
      <c r="AA64">
        <f>IF( COUNTIF('Raw Data'!$A$3:$A$2927,$A64)=0,0,SUMIF('Raw Data'!$A$3:$A$2927, $A64,'Raw Data'!X$3:X$2927) / COUNTIF('Raw Data'!$A$3:$A$2927,$A64))</f>
        <v>0</v>
      </c>
      <c r="AB64">
        <f>IF( COUNTIF('Raw Data'!$A$3:$A$2927,$A64)=0,0,SUMIF('Raw Data'!$A$3:$A$2927, $A64,'Raw Data'!AA$3:AA$2927) / COUNTIF('Raw Data'!$A$3:$A$2927,$A64))</f>
        <v>52.428571428571431</v>
      </c>
      <c r="AC64">
        <f>IF( COUNTIF('Raw Data'!$A$3:$A$2927,$A64)=0,0,SUMIF('Raw Data'!$A$3:$A$2927, $A64,'Raw Data'!AB$3:AB$2927) / COUNTIF('Raw Data'!$A$3:$A$2927,$A64))</f>
        <v>0</v>
      </c>
      <c r="AD64">
        <f>IF( COUNTIF('Raw Data'!$A$3:$A$2927,$A64)=0,0,SUMIF('Raw Data'!$A$3:$A$2927, $A64,'Raw Data'!AC$3:AC$2927) / COUNTIF('Raw Data'!$A$3:$A$2927,$A64))</f>
        <v>1</v>
      </c>
      <c r="AE64" s="117">
        <f>IF( COUNTIF('Raw Data'!$A$3:$A$2927,$A64)=0,0,SUMIF('Raw Data'!$A$3:$A$2927, $A64,'Raw Data'!AD$3:AD$2927) / COUNTIF('Raw Data'!$A$3:$A$2927,$A64))</f>
        <v>0</v>
      </c>
      <c r="AF64">
        <f>IF( COUNTIF('Raw Data'!$A$3:$A$2927,$A64)=0,0,SUMIF('Raw Data'!$A$3:$A$2927, $A64,'Raw Data'!AE$3:AE$2927) / COUNTIF('Raw Data'!$A$3:$A$2927,$A64))</f>
        <v>0</v>
      </c>
      <c r="AG64">
        <f>IF( COUNTIF('Raw Data'!$A$3:$A$2927,$A64)=0,0,SUMIF('Raw Data'!$A$3:$A$2927, $A64,'Raw Data'!AF$3:AF$2927) / COUNTIF('Raw Data'!$A$3:$A$2927,$A64))</f>
        <v>0</v>
      </c>
      <c r="AH64">
        <f>IF( COUNTIF('Raw Data'!$A$3:$A$2927,$A64)=0,0,SUMIF('Raw Data'!$A$3:$A$2927, $A64,'Raw Data'!AG$3:AG$2927) / COUNTIF('Raw Data'!$A$3:$A$2927,$A64))</f>
        <v>0.8571428571428571</v>
      </c>
      <c r="AI64">
        <f>IF( COUNTIF('Raw Data'!$A$3:$A$2927,$A64)=0,0,SUMIF('Raw Data'!$A$3:$A$2927, $A64,'Raw Data'!AH$3:AH$2927) / COUNTIF('Raw Data'!$A$3:$A$2927,$A64))</f>
        <v>0.2857142857142857</v>
      </c>
      <c r="AJ64" s="117">
        <f>COUNTIF('Raw Data'!A$3:A$2927, $A64)</f>
        <v>7</v>
      </c>
      <c r="AK64">
        <f t="shared" si="6"/>
        <v>-0.14285714285714285</v>
      </c>
      <c r="AL64">
        <f t="shared" si="7"/>
        <v>-0.14285714285714285</v>
      </c>
      <c r="AM64">
        <f t="shared" si="8"/>
        <v>-0.28285714285714286</v>
      </c>
    </row>
    <row r="65" spans="1:39">
      <c r="A65">
        <v>6481</v>
      </c>
      <c r="B65" t="s">
        <v>458</v>
      </c>
      <c r="C65">
        <f t="shared" si="0"/>
        <v>0</v>
      </c>
      <c r="D65">
        <f t="shared" si="1"/>
        <v>0</v>
      </c>
      <c r="E65">
        <f>IF( COUNTIF('Raw Data'!$A$3:$A$2927,$A65)=0,0,SUMIF('Raw Data'!$A$3:$A$2927, $A65,'Raw Data'!D$3:D$2927) / COUNTIF('Raw Data'!$A$3:$A$2927,$A65))</f>
        <v>0</v>
      </c>
      <c r="F65">
        <f>MAX(IF('Raw Data'!$A$3:$A$927=$A65, 'Raw Data'!$O$3:$O$927))</f>
        <v>0</v>
      </c>
      <c r="G65">
        <f>MAX(IF('Raw Data'!$A$3:$A$927=$A65, 'Raw Data'!$I$3:$I$927))</f>
        <v>0</v>
      </c>
      <c r="H65">
        <f>IF( COUNTIF('Raw Data'!$A$3:$A$2927,$A65)=0,0,SUMIF('Raw Data'!$A$3:$A$2927, $A65,'Raw Data'!E$3:E$2927) / COUNTIF('Raw Data'!$A$3:$A$2927,$A65))</f>
        <v>0</v>
      </c>
      <c r="I65">
        <f>IF( COUNTIF('Raw Data'!$A$3:$A$2927,$A65)=0,0,SUMIF('Raw Data'!$A$3:$A$2927, $A65,'Raw Data'!F$3:F$2927) / COUNTIF('Raw Data'!$A$3:$A$2927,$A65))</f>
        <v>0</v>
      </c>
      <c r="J65">
        <f>IF( COUNTIF('Raw Data'!$A$3:$A$2927,$A65)=0,0,SUMIF('Raw Data'!$A$3:$A$2927, $A65,'Raw Data'!G$3:G$2927) / COUNTIF('Raw Data'!$A$3:$A$2927,$A65))</f>
        <v>0</v>
      </c>
      <c r="K65">
        <f>IF( COUNTIF('Raw Data'!$A$3:$A$2927,$A65)=0,0,SUMIF('Raw Data'!$A$3:$A$2927, $A65,'Raw Data'!H$3:H$2927) / COUNTIF('Raw Data'!$A$3:$A$2927,$A65))</f>
        <v>0</v>
      </c>
      <c r="L65">
        <f>MAX(IF('Raw Data'!$A$3:$A$927=$A65, 'Raw Data'!$N$3:$N$927))</f>
        <v>0</v>
      </c>
      <c r="M65">
        <f>IF( COUNTIF('Raw Data'!$A$3:$A$2927,$A65)=0,0,SUMIF('Raw Data'!$A$3:$A$2927, $A65,'Raw Data'!J$3:J$2927) / COUNTIF('Raw Data'!$A$3:$A$2927,$A65))</f>
        <v>0</v>
      </c>
      <c r="N65">
        <f>IF( COUNTIF('Raw Data'!$A$3:$A$2927,$A65)=0,0,SUMIF('Raw Data'!$A$3:$A$2927, $A65,'Raw Data'!K$3:K$2927) / COUNTIF('Raw Data'!$A$3:$A$2927,$A65))</f>
        <v>0</v>
      </c>
      <c r="O65">
        <f>IF( COUNTIF('Raw Data'!$A$3:$A$2927,$A65)=0,0,SUMIF('Raw Data'!$A$3:$A$2927, $A65,'Raw Data'!L$3:L$2927) / COUNTIF('Raw Data'!$A$3:$A$2927,$A65))</f>
        <v>0</v>
      </c>
      <c r="P65" s="58">
        <f>IF( COUNTIF('Raw Data'!$A$3:$A$2927,$A65)=0,0,SUMIF('Raw Data'!$A$3:$A$2927, $A65,'Raw Data'!M$3:M$2927) / COUNTIF('Raw Data'!$A$3:$A$2927,$A65))</f>
        <v>0</v>
      </c>
      <c r="Q65">
        <f>MAX(IF('Raw Data'!$A$3:$A$927=$A65, 'Raw Data'!$Z$3:$Z$927))</f>
        <v>0</v>
      </c>
      <c r="R65">
        <f>MAX(IF('Raw Data'!$A$3:$A$927=$A65, 'Raw Data'!$T$3:$T$927))</f>
        <v>0</v>
      </c>
      <c r="S65">
        <f>IF( COUNTIF('Raw Data'!$A$3:$A$2927,$A65)=0,0,SUMIF('Raw Data'!$A$3:$A$2927, $A65,'Raw Data'!P$3:P$2927) / COUNTIF('Raw Data'!$A$3:$A$2927,$A65))</f>
        <v>0</v>
      </c>
      <c r="T65">
        <f>IF( COUNTIF('Raw Data'!$A$3:$A$2927,$A65)=0,0,SUMIF('Raw Data'!$A$3:$A$2927, $A65,'Raw Data'!Q$3:Q$2927) / COUNTIF('Raw Data'!$A$3:$A$2927,$A65))</f>
        <v>0</v>
      </c>
      <c r="U65">
        <f>IF( COUNTIF('Raw Data'!$A$3:$A$2927,$A65)=0,0,SUMIF('Raw Data'!$A$3:$A$2927, $A65,'Raw Data'!R$3:R$2927) / COUNTIF('Raw Data'!$A$3:$A$2927,$A65))</f>
        <v>0</v>
      </c>
      <c r="V65">
        <f>IF( COUNTIF('Raw Data'!$A$3:$A$2927,$A65)=0,0,SUMIF('Raw Data'!$A$3:$A$2927, $A65,'Raw Data'!S$3:S$2927) / COUNTIF('Raw Data'!$A$3:$A$2927,$A65))</f>
        <v>0</v>
      </c>
      <c r="W65">
        <f>MAX(IF('Raw Data'!$A$3:$A$927=$A65, 'Raw Data'!$Y$3:$Y$927))</f>
        <v>0</v>
      </c>
      <c r="X65">
        <f>IF( COUNTIF('Raw Data'!$A$3:$A$2927,$A65)=0,0,SUMIF('Raw Data'!$A$3:$A$2927, $A65,'Raw Data'!U$3:U$2927) / COUNTIF('Raw Data'!$A$3:$A$2927,$A65))</f>
        <v>0</v>
      </c>
      <c r="Y65">
        <f>IF( COUNTIF('Raw Data'!$A$3:$A$2927,$A65)=0,0,SUMIF('Raw Data'!$A$3:$A$2927, $A65,'Raw Data'!V$3:V$2927) / COUNTIF('Raw Data'!$A$3:$A$2927,$A65))</f>
        <v>0</v>
      </c>
      <c r="Z65">
        <f>IF( COUNTIF('Raw Data'!$A$3:$A$2927,$A65)=0,0,SUMIF('Raw Data'!$A$3:$A$2927, $A65,'Raw Data'!W$3:W$2927) / COUNTIF('Raw Data'!$A$3:$A$2927,$A65))</f>
        <v>0</v>
      </c>
      <c r="AA65">
        <f>IF( COUNTIF('Raw Data'!$A$3:$A$2927,$A65)=0,0,SUMIF('Raw Data'!$A$3:$A$2927, $A65,'Raw Data'!X$3:X$2927) / COUNTIF('Raw Data'!$A$3:$A$2927,$A65))</f>
        <v>0</v>
      </c>
      <c r="AB65">
        <f>IF( COUNTIF('Raw Data'!$A$3:$A$2927,$A65)=0,0,SUMIF('Raw Data'!$A$3:$A$2927, $A65,'Raw Data'!AA$3:AA$2927) / COUNTIF('Raw Data'!$A$3:$A$2927,$A65))</f>
        <v>0</v>
      </c>
      <c r="AC65">
        <f>IF( COUNTIF('Raw Data'!$A$3:$A$2927,$A65)=0,0,SUMIF('Raw Data'!$A$3:$A$2927, $A65,'Raw Data'!AB$3:AB$2927) / COUNTIF('Raw Data'!$A$3:$A$2927,$A65))</f>
        <v>0</v>
      </c>
      <c r="AD65">
        <f>IF( COUNTIF('Raw Data'!$A$3:$A$2927,$A65)=0,0,SUMIF('Raw Data'!$A$3:$A$2927, $A65,'Raw Data'!AC$3:AC$2927) / COUNTIF('Raw Data'!$A$3:$A$2927,$A65))</f>
        <v>0</v>
      </c>
      <c r="AE65" s="117">
        <f>IF( COUNTIF('Raw Data'!$A$3:$A$2927,$A65)=0,0,SUMIF('Raw Data'!$A$3:$A$2927, $A65,'Raw Data'!AD$3:AD$2927) / COUNTIF('Raw Data'!$A$3:$A$2927,$A65))</f>
        <v>0</v>
      </c>
      <c r="AF65">
        <f>IF( COUNTIF('Raw Data'!$A$3:$A$2927,$A65)=0,0,SUMIF('Raw Data'!$A$3:$A$2927, $A65,'Raw Data'!AE$3:AE$2927) / COUNTIF('Raw Data'!$A$3:$A$2927,$A65))</f>
        <v>0</v>
      </c>
      <c r="AG65">
        <f>IF( COUNTIF('Raw Data'!$A$3:$A$2927,$A65)=0,0,SUMIF('Raw Data'!$A$3:$A$2927, $A65,'Raw Data'!AF$3:AF$2927) / COUNTIF('Raw Data'!$A$3:$A$2927,$A65))</f>
        <v>0</v>
      </c>
      <c r="AH65">
        <f>IF( COUNTIF('Raw Data'!$A$3:$A$2927,$A65)=0,0,SUMIF('Raw Data'!$A$3:$A$2927, $A65,'Raw Data'!AG$3:AG$2927) / COUNTIF('Raw Data'!$A$3:$A$2927,$A65))</f>
        <v>0</v>
      </c>
      <c r="AI65">
        <f>IF( COUNTIF('Raw Data'!$A$3:$A$2927,$A65)=0,0,SUMIF('Raw Data'!$A$3:$A$2927, $A65,'Raw Data'!AH$3:AH$2927) / COUNTIF('Raw Data'!$A$3:$A$2927,$A65))</f>
        <v>0</v>
      </c>
      <c r="AJ65" s="117">
        <f>COUNTIF('Raw Data'!A$3:A$2927, $A65)</f>
        <v>0</v>
      </c>
      <c r="AK65">
        <f t="shared" si="6"/>
        <v>-21</v>
      </c>
      <c r="AL65">
        <f t="shared" si="7"/>
        <v>-1.5</v>
      </c>
      <c r="AM65">
        <f t="shared" si="8"/>
        <v>-1</v>
      </c>
    </row>
    <row r="66" spans="1:39">
      <c r="A66">
        <v>6514</v>
      </c>
      <c r="B66" t="s">
        <v>224</v>
      </c>
      <c r="C66">
        <f t="shared" si="0"/>
        <v>6.7777777777777777</v>
      </c>
      <c r="D66">
        <f t="shared" si="1"/>
        <v>1.7777777777777777</v>
      </c>
      <c r="E66">
        <f>IF( COUNTIF('Raw Data'!$A$3:$A$2927,$A66)=0,0,SUMIF('Raw Data'!$A$3:$A$2927, $A66,'Raw Data'!D$3:D$2927) / COUNTIF('Raw Data'!$A$3:$A$2927,$A66))</f>
        <v>1.3333333333333333</v>
      </c>
      <c r="F66">
        <f>MAX(IF('Raw Data'!$A$3:$A$927=$A66, 'Raw Data'!$O$3:$O$927))</f>
        <v>0</v>
      </c>
      <c r="G66">
        <f>MAX(IF('Raw Data'!$A$3:$A$927=$A66, 'Raw Data'!$I$3:$I$927))</f>
        <v>0</v>
      </c>
      <c r="H66">
        <f>IF( COUNTIF('Raw Data'!$A$3:$A$2927,$A66)=0,0,SUMIF('Raw Data'!$A$3:$A$2927, $A66,'Raw Data'!E$3:E$2927) / COUNTIF('Raw Data'!$A$3:$A$2927,$A66))</f>
        <v>0</v>
      </c>
      <c r="I66">
        <f>IF( COUNTIF('Raw Data'!$A$3:$A$2927,$A66)=0,0,SUMIF('Raw Data'!$A$3:$A$2927, $A66,'Raw Data'!F$3:F$2927) / COUNTIF('Raw Data'!$A$3:$A$2927,$A66))</f>
        <v>0</v>
      </c>
      <c r="J66">
        <f>IF( COUNTIF('Raw Data'!$A$3:$A$2927,$A66)=0,0,SUMIF('Raw Data'!$A$3:$A$2927, $A66,'Raw Data'!G$3:G$2927) / COUNTIF('Raw Data'!$A$3:$A$2927,$A66))</f>
        <v>0</v>
      </c>
      <c r="K66">
        <f>IF( COUNTIF('Raw Data'!$A$3:$A$2927,$A66)=0,0,SUMIF('Raw Data'!$A$3:$A$2927, $A66,'Raw Data'!H$3:H$2927) / COUNTIF('Raw Data'!$A$3:$A$2927,$A66))</f>
        <v>0</v>
      </c>
      <c r="L66">
        <f>MAX(IF('Raw Data'!$A$3:$A$927=$A66, 'Raw Data'!$N$3:$N$927))</f>
        <v>0</v>
      </c>
      <c r="M66">
        <f>IF( COUNTIF('Raw Data'!$A$3:$A$2927,$A66)=0,0,SUMIF('Raw Data'!$A$3:$A$2927, $A66,'Raw Data'!J$3:J$2927) / COUNTIF('Raw Data'!$A$3:$A$2927,$A66))</f>
        <v>0</v>
      </c>
      <c r="N66">
        <f>IF( COUNTIF('Raw Data'!$A$3:$A$2927,$A66)=0,0,SUMIF('Raw Data'!$A$3:$A$2927, $A66,'Raw Data'!K$3:K$2927) / COUNTIF('Raw Data'!$A$3:$A$2927,$A66))</f>
        <v>0</v>
      </c>
      <c r="O66">
        <f>IF( COUNTIF('Raw Data'!$A$3:$A$2927,$A66)=0,0,SUMIF('Raw Data'!$A$3:$A$2927, $A66,'Raw Data'!L$3:L$2927) / COUNTIF('Raw Data'!$A$3:$A$2927,$A66))</f>
        <v>0</v>
      </c>
      <c r="P66" s="58">
        <f>IF( COUNTIF('Raw Data'!$A$3:$A$2927,$A66)=0,0,SUMIF('Raw Data'!$A$3:$A$2927, $A66,'Raw Data'!M$3:M$2927) / COUNTIF('Raw Data'!$A$3:$A$2927,$A66))</f>
        <v>0</v>
      </c>
      <c r="Q66">
        <f>MAX(IF('Raw Data'!$A$3:$A$927=$A66, 'Raw Data'!$Z$3:$Z$927))</f>
        <v>0</v>
      </c>
      <c r="R66">
        <f>MAX(IF('Raw Data'!$A$3:$A$927=$A66, 'Raw Data'!$T$3:$T$927))</f>
        <v>0</v>
      </c>
      <c r="S66">
        <f>IF( COUNTIF('Raw Data'!$A$3:$A$2927,$A66)=0,0,SUMIF('Raw Data'!$A$3:$A$2927, $A66,'Raw Data'!P$3:P$2927) / COUNTIF('Raw Data'!$A$3:$A$2927,$A66))</f>
        <v>0.66666666666666663</v>
      </c>
      <c r="T66">
        <f>IF( COUNTIF('Raw Data'!$A$3:$A$2927,$A66)=0,0,SUMIF('Raw Data'!$A$3:$A$2927, $A66,'Raw Data'!Q$3:Q$2927) / COUNTIF('Raw Data'!$A$3:$A$2927,$A66))</f>
        <v>0.22222222222222221</v>
      </c>
      <c r="U66">
        <f>IF( COUNTIF('Raw Data'!$A$3:$A$2927,$A66)=0,0,SUMIF('Raw Data'!$A$3:$A$2927, $A66,'Raw Data'!R$3:R$2927) / COUNTIF('Raw Data'!$A$3:$A$2927,$A66))</f>
        <v>0</v>
      </c>
      <c r="V66">
        <f>IF( COUNTIF('Raw Data'!$A$3:$A$2927,$A66)=0,0,SUMIF('Raw Data'!$A$3:$A$2927, $A66,'Raw Data'!S$3:S$2927) / COUNTIF('Raw Data'!$A$3:$A$2927,$A66))</f>
        <v>0</v>
      </c>
      <c r="W66">
        <f>MAX(IF('Raw Data'!$A$3:$A$927=$A66, 'Raw Data'!$Y$3:$Y$927))</f>
        <v>0</v>
      </c>
      <c r="X66">
        <f>IF( COUNTIF('Raw Data'!$A$3:$A$2927,$A66)=0,0,SUMIF('Raw Data'!$A$3:$A$2927, $A66,'Raw Data'!U$3:U$2927) / COUNTIF('Raw Data'!$A$3:$A$2927,$A66))</f>
        <v>0</v>
      </c>
      <c r="Y66">
        <f>IF( COUNTIF('Raw Data'!$A$3:$A$2927,$A66)=0,0,SUMIF('Raw Data'!$A$3:$A$2927, $A66,'Raw Data'!V$3:V$2927) / COUNTIF('Raw Data'!$A$3:$A$2927,$A66))</f>
        <v>0</v>
      </c>
      <c r="Z66">
        <f>IF( COUNTIF('Raw Data'!$A$3:$A$2927,$A66)=0,0,SUMIF('Raw Data'!$A$3:$A$2927, $A66,'Raw Data'!W$3:W$2927) / COUNTIF('Raw Data'!$A$3:$A$2927,$A66))</f>
        <v>0</v>
      </c>
      <c r="AA66">
        <f>IF( COUNTIF('Raw Data'!$A$3:$A$2927,$A66)=0,0,SUMIF('Raw Data'!$A$3:$A$2927, $A66,'Raw Data'!X$3:X$2927) / COUNTIF('Raw Data'!$A$3:$A$2927,$A66))</f>
        <v>0</v>
      </c>
      <c r="AB66">
        <f>IF( COUNTIF('Raw Data'!$A$3:$A$2927,$A66)=0,0,SUMIF('Raw Data'!$A$3:$A$2927, $A66,'Raw Data'!AA$3:AA$2927) / COUNTIF('Raw Data'!$A$3:$A$2927,$A66))</f>
        <v>0</v>
      </c>
      <c r="AC66">
        <f>IF( COUNTIF('Raw Data'!$A$3:$A$2927,$A66)=0,0,SUMIF('Raw Data'!$A$3:$A$2927, $A66,'Raw Data'!AB$3:AB$2927) / COUNTIF('Raw Data'!$A$3:$A$2927,$A66))</f>
        <v>0</v>
      </c>
      <c r="AD66">
        <f>IF( COUNTIF('Raw Data'!$A$3:$A$2927,$A66)=0,0,SUMIF('Raw Data'!$A$3:$A$2927, $A66,'Raw Data'!AC$3:AC$2927) / COUNTIF('Raw Data'!$A$3:$A$2927,$A66))</f>
        <v>0.55555555555555558</v>
      </c>
      <c r="AE66" s="117">
        <f>IF( COUNTIF('Raw Data'!$A$3:$A$2927,$A66)=0,0,SUMIF('Raw Data'!$A$3:$A$2927, $A66,'Raw Data'!AD$3:AD$2927) / COUNTIF('Raw Data'!$A$3:$A$2927,$A66))</f>
        <v>0</v>
      </c>
      <c r="AF66">
        <f>IF( COUNTIF('Raw Data'!$A$3:$A$2927,$A66)=0,0,SUMIF('Raw Data'!$A$3:$A$2927, $A66,'Raw Data'!AE$3:AE$2927) / COUNTIF('Raw Data'!$A$3:$A$2927,$A66))</f>
        <v>0</v>
      </c>
      <c r="AG66">
        <f>IF( COUNTIF('Raw Data'!$A$3:$A$2927,$A66)=0,0,SUMIF('Raw Data'!$A$3:$A$2927, $A66,'Raw Data'!AF$3:AF$2927) / COUNTIF('Raw Data'!$A$3:$A$2927,$A66))</f>
        <v>0</v>
      </c>
      <c r="AH66">
        <f>IF( COUNTIF('Raw Data'!$A$3:$A$2927,$A66)=0,0,SUMIF('Raw Data'!$A$3:$A$2927, $A66,'Raw Data'!AG$3:AG$2927) / COUNTIF('Raw Data'!$A$3:$A$2927,$A66))</f>
        <v>0.66666666666666663</v>
      </c>
      <c r="AI66">
        <f>IF( COUNTIF('Raw Data'!$A$3:$A$2927,$A66)=0,0,SUMIF('Raw Data'!$A$3:$A$2927, $A66,'Raw Data'!AH$3:AH$2927) / COUNTIF('Raw Data'!$A$3:$A$2927,$A66))</f>
        <v>0.66666666666666663</v>
      </c>
      <c r="AJ66" s="117">
        <f>COUNTIF('Raw Data'!A$3:A$2927, $A66)</f>
        <v>9</v>
      </c>
      <c r="AK66">
        <f t="shared" si="6"/>
        <v>-0.77777777777777768</v>
      </c>
      <c r="AL66">
        <f t="shared" si="7"/>
        <v>-0.77777777777777768</v>
      </c>
      <c r="AM66">
        <f t="shared" si="8"/>
        <v>-0.22</v>
      </c>
    </row>
    <row r="67" spans="1:39">
      <c r="A67">
        <v>6544</v>
      </c>
      <c r="B67" t="s">
        <v>459</v>
      </c>
      <c r="C67">
        <f t="shared" ref="C67:C90" si="9">PRODUCT($E67,3)+PRODUCT(SUM($H67:$K67),2)+PRODUCT(SUM($M67:$P67),3)+PRODUCT(SUM($S67:$V67),2)+PRODUCT(SUM($X67:$AA67), 3)+IF($AC67 &gt; 2, PRODUCT(SUM($AC67, -1),6), PRODUCT($AC67,3)) + IF($AD67 &gt; 2, PRODUCT(SUM($AD67, -1),6), PRODUCT($AD67,3)) + PRODUCT($AH67, -1)</f>
        <v>0</v>
      </c>
      <c r="D67">
        <f t="shared" ref="D67:D90" si="10">PRODUCT(SUM($H67:$I67), 2) + PRODUCT(SUM($M67:$N67),3) + PRODUCT(SUM($S67:$T67), 2) + PRODUCT(SUM($X67:$Y67), 3)</f>
        <v>0</v>
      </c>
      <c r="E67">
        <f>IF( COUNTIF('Raw Data'!$A$3:$A$2927,$A67)=0,0,SUMIF('Raw Data'!$A$3:$A$2927, $A67,'Raw Data'!D$3:D$2927) / COUNTIF('Raw Data'!$A$3:$A$2927,$A67))</f>
        <v>0</v>
      </c>
      <c r="F67">
        <f>MAX(IF('Raw Data'!$A$3:$A$927=$A67, 'Raw Data'!$O$3:$O$927))</f>
        <v>0</v>
      </c>
      <c r="G67">
        <f>MAX(IF('Raw Data'!$A$3:$A$927=$A67, 'Raw Data'!$I$3:$I$927))</f>
        <v>0</v>
      </c>
      <c r="H67">
        <f>IF( COUNTIF('Raw Data'!$A$3:$A$2927,$A67)=0,0,SUMIF('Raw Data'!$A$3:$A$2927, $A67,'Raw Data'!E$3:E$2927) / COUNTIF('Raw Data'!$A$3:$A$2927,$A67))</f>
        <v>0</v>
      </c>
      <c r="I67">
        <f>IF( COUNTIF('Raw Data'!$A$3:$A$2927,$A67)=0,0,SUMIF('Raw Data'!$A$3:$A$2927, $A67,'Raw Data'!F$3:F$2927) / COUNTIF('Raw Data'!$A$3:$A$2927,$A67))</f>
        <v>0</v>
      </c>
      <c r="J67">
        <f>IF( COUNTIF('Raw Data'!$A$3:$A$2927,$A67)=0,0,SUMIF('Raw Data'!$A$3:$A$2927, $A67,'Raw Data'!G$3:G$2927) / COUNTIF('Raw Data'!$A$3:$A$2927,$A67))</f>
        <v>0</v>
      </c>
      <c r="K67">
        <f>IF( COUNTIF('Raw Data'!$A$3:$A$2927,$A67)=0,0,SUMIF('Raw Data'!$A$3:$A$2927, $A67,'Raw Data'!H$3:H$2927) / COUNTIF('Raw Data'!$A$3:$A$2927,$A67))</f>
        <v>0</v>
      </c>
      <c r="L67">
        <f>MAX(IF('Raw Data'!$A$3:$A$927=$A67, 'Raw Data'!$N$3:$N$927))</f>
        <v>0</v>
      </c>
      <c r="M67">
        <f>IF( COUNTIF('Raw Data'!$A$3:$A$2927,$A67)=0,0,SUMIF('Raw Data'!$A$3:$A$2927, $A67,'Raw Data'!J$3:J$2927) / COUNTIF('Raw Data'!$A$3:$A$2927,$A67))</f>
        <v>0</v>
      </c>
      <c r="N67">
        <f>IF( COUNTIF('Raw Data'!$A$3:$A$2927,$A67)=0,0,SUMIF('Raw Data'!$A$3:$A$2927, $A67,'Raw Data'!K$3:K$2927) / COUNTIF('Raw Data'!$A$3:$A$2927,$A67))</f>
        <v>0</v>
      </c>
      <c r="O67">
        <f>IF( COUNTIF('Raw Data'!$A$3:$A$2927,$A67)=0,0,SUMIF('Raw Data'!$A$3:$A$2927, $A67,'Raw Data'!L$3:L$2927) / COUNTIF('Raw Data'!$A$3:$A$2927,$A67))</f>
        <v>0</v>
      </c>
      <c r="P67" s="58">
        <f>IF( COUNTIF('Raw Data'!$A$3:$A$2927,$A67)=0,0,SUMIF('Raw Data'!$A$3:$A$2927, $A67,'Raw Data'!M$3:M$2927) / COUNTIF('Raw Data'!$A$3:$A$2927,$A67))</f>
        <v>0</v>
      </c>
      <c r="Q67">
        <f>MAX(IF('Raw Data'!$A$3:$A$927=$A67, 'Raw Data'!$Z$3:$Z$927))</f>
        <v>0</v>
      </c>
      <c r="R67">
        <f>MAX(IF('Raw Data'!$A$3:$A$927=$A67, 'Raw Data'!$T$3:$T$927))</f>
        <v>0</v>
      </c>
      <c r="S67">
        <f>IF( COUNTIF('Raw Data'!$A$3:$A$2927,$A67)=0,0,SUMIF('Raw Data'!$A$3:$A$2927, $A67,'Raw Data'!P$3:P$2927) / COUNTIF('Raw Data'!$A$3:$A$2927,$A67))</f>
        <v>0</v>
      </c>
      <c r="T67">
        <f>IF( COUNTIF('Raw Data'!$A$3:$A$2927,$A67)=0,0,SUMIF('Raw Data'!$A$3:$A$2927, $A67,'Raw Data'!Q$3:Q$2927) / COUNTIF('Raw Data'!$A$3:$A$2927,$A67))</f>
        <v>0</v>
      </c>
      <c r="U67">
        <f>IF( COUNTIF('Raw Data'!$A$3:$A$2927,$A67)=0,0,SUMIF('Raw Data'!$A$3:$A$2927, $A67,'Raw Data'!R$3:R$2927) / COUNTIF('Raw Data'!$A$3:$A$2927,$A67))</f>
        <v>0</v>
      </c>
      <c r="V67">
        <f>IF( COUNTIF('Raw Data'!$A$3:$A$2927,$A67)=0,0,SUMIF('Raw Data'!$A$3:$A$2927, $A67,'Raw Data'!S$3:S$2927) / COUNTIF('Raw Data'!$A$3:$A$2927,$A67))</f>
        <v>0</v>
      </c>
      <c r="W67">
        <f>MAX(IF('Raw Data'!$A$3:$A$927=$A67, 'Raw Data'!$Y$3:$Y$927))</f>
        <v>0</v>
      </c>
      <c r="X67">
        <f>IF( COUNTIF('Raw Data'!$A$3:$A$2927,$A67)=0,0,SUMIF('Raw Data'!$A$3:$A$2927, $A67,'Raw Data'!U$3:U$2927) / COUNTIF('Raw Data'!$A$3:$A$2927,$A67))</f>
        <v>0</v>
      </c>
      <c r="Y67">
        <f>IF( COUNTIF('Raw Data'!$A$3:$A$2927,$A67)=0,0,SUMIF('Raw Data'!$A$3:$A$2927, $A67,'Raw Data'!V$3:V$2927) / COUNTIF('Raw Data'!$A$3:$A$2927,$A67))</f>
        <v>0</v>
      </c>
      <c r="Z67">
        <f>IF( COUNTIF('Raw Data'!$A$3:$A$2927,$A67)=0,0,SUMIF('Raw Data'!$A$3:$A$2927, $A67,'Raw Data'!W$3:W$2927) / COUNTIF('Raw Data'!$A$3:$A$2927,$A67))</f>
        <v>0</v>
      </c>
      <c r="AA67">
        <f>IF( COUNTIF('Raw Data'!$A$3:$A$2927,$A67)=0,0,SUMIF('Raw Data'!$A$3:$A$2927, $A67,'Raw Data'!X$3:X$2927) / COUNTIF('Raw Data'!$A$3:$A$2927,$A67))</f>
        <v>0</v>
      </c>
      <c r="AB67">
        <f>IF( COUNTIF('Raw Data'!$A$3:$A$2927,$A67)=0,0,SUMIF('Raw Data'!$A$3:$A$2927, $A67,'Raw Data'!AA$3:AA$2927) / COUNTIF('Raw Data'!$A$3:$A$2927,$A67))</f>
        <v>0</v>
      </c>
      <c r="AC67">
        <f>IF( COUNTIF('Raw Data'!$A$3:$A$2927,$A67)=0,0,SUMIF('Raw Data'!$A$3:$A$2927, $A67,'Raw Data'!AB$3:AB$2927) / COUNTIF('Raw Data'!$A$3:$A$2927,$A67))</f>
        <v>0</v>
      </c>
      <c r="AD67">
        <f>IF( COUNTIF('Raw Data'!$A$3:$A$2927,$A67)=0,0,SUMIF('Raw Data'!$A$3:$A$2927, $A67,'Raw Data'!AC$3:AC$2927) / COUNTIF('Raw Data'!$A$3:$A$2927,$A67))</f>
        <v>0</v>
      </c>
      <c r="AE67" s="117">
        <f>IF( COUNTIF('Raw Data'!$A$3:$A$2927,$A67)=0,0,SUMIF('Raw Data'!$A$3:$A$2927, $A67,'Raw Data'!AD$3:AD$2927) / COUNTIF('Raw Data'!$A$3:$A$2927,$A67))</f>
        <v>0</v>
      </c>
      <c r="AF67">
        <f>IF( COUNTIF('Raw Data'!$A$3:$A$2927,$A67)=0,0,SUMIF('Raw Data'!$A$3:$A$2927, $A67,'Raw Data'!AE$3:AE$2927) / COUNTIF('Raw Data'!$A$3:$A$2927,$A67))</f>
        <v>0</v>
      </c>
      <c r="AG67">
        <f>IF( COUNTIF('Raw Data'!$A$3:$A$2927,$A67)=0,0,SUMIF('Raw Data'!$A$3:$A$2927, $A67,'Raw Data'!AF$3:AF$2927) / COUNTIF('Raw Data'!$A$3:$A$2927,$A67))</f>
        <v>0</v>
      </c>
      <c r="AH67">
        <f>IF( COUNTIF('Raw Data'!$A$3:$A$2927,$A67)=0,0,SUMIF('Raw Data'!$A$3:$A$2927, $A67,'Raw Data'!AG$3:AG$2927) / COUNTIF('Raw Data'!$A$3:$A$2927,$A67))</f>
        <v>0</v>
      </c>
      <c r="AI67">
        <f>IF( COUNTIF('Raw Data'!$A$3:$A$2927,$A67)=0,0,SUMIF('Raw Data'!$A$3:$A$2927, $A67,'Raw Data'!AH$3:AH$2927) / COUNTIF('Raw Data'!$A$3:$A$2927,$A67))</f>
        <v>0</v>
      </c>
      <c r="AJ67" s="117">
        <f>COUNTIF('Raw Data'!A$3:A$2927, $A67)</f>
        <v>0</v>
      </c>
      <c r="AK67">
        <f t="shared" ref="AK67:AK90" si="11">IFERROR(SUM(IF($E67 &gt;autoThreshold, auto), hatch * SUM($H67:$K67), cargo * SUM($M67:$P67),hatch * SUM( $S67:$V67), cargo * SUM($X67:$AA67), rocket23 * SUM($J67:$K67, $O67:$P67, $U67:$V67, $Z67:$AA67), IF($AD67 &gt; climbThreshold, climb), IF($AC67 &gt; assistThreshold, $AC67 * assist), $AH67 * penalty, dropHatch * $AI67, tippedBroke * SUM($AE67:$AF67),  IF( $E67 &lt; noAutoThreshold, noAuto), IF($C67 &lt; doesNothingThreshold, doesNothing, IF($AD67 &gt;1.45, 2) )), "h")</f>
        <v>-21</v>
      </c>
      <c r="AL67">
        <f t="shared" ref="AL67:AL90" si="12">SUM(hHatch * SUM($H67:$K67), hHatch * SUM($S67:$V67), hRocket23 * SUM($J67:$K67), hRocket23 * SUM($U67:$V67), hSandstorm * SUM($H67:$K67), hPenalty * $AH67, hDropHatch * $AI67,hTippedBroke * SUM($AE67:$AF67), IF($E67 &lt; hNoAutoThreshold, hNoAuto), IF($AG67 &gt; hFloorHatchThreshold, hFloorHatch))</f>
        <v>-1.5</v>
      </c>
      <c r="AM67">
        <f t="shared" ref="AM67:AM90" si="13">SUM(cCargo * SUM($M67:$P67), cCargo *SUM( $X67:$AA67), cRocket23 * SUM($O67:$P67, $Z67:$AA67),cSandstorm * SUM($M67:$P67), cPenalty * $AH67, cTippedBroke * SUM($AE67:$AF67), IF($E67 &lt; cNoAutoThreshold, cNoAuto, 0))</f>
        <v>-1</v>
      </c>
    </row>
    <row r="68" spans="1:39">
      <c r="A68">
        <v>6859</v>
      </c>
      <c r="B68" t="s">
        <v>225</v>
      </c>
      <c r="C68">
        <f t="shared" si="9"/>
        <v>5.1111111111111116</v>
      </c>
      <c r="D68">
        <f t="shared" si="10"/>
        <v>2.7777777777777777</v>
      </c>
      <c r="E68">
        <f>IF( COUNTIF('Raw Data'!$A$3:$A$2927,$A68)=0,0,SUMIF('Raw Data'!$A$3:$A$2927, $A68,'Raw Data'!D$3:D$2927) / COUNTIF('Raw Data'!$A$3:$A$2927,$A68))</f>
        <v>1</v>
      </c>
      <c r="F68">
        <f>MAX(IF('Raw Data'!$A$3:$A$927=$A68, 'Raw Data'!$O$3:$O$927))</f>
        <v>0</v>
      </c>
      <c r="G68">
        <f>MAX(IF('Raw Data'!$A$3:$A$927=$A68, 'Raw Data'!$I$3:$I$927))</f>
        <v>0</v>
      </c>
      <c r="H68">
        <f>IF( COUNTIF('Raw Data'!$A$3:$A$2927,$A68)=0,0,SUMIF('Raw Data'!$A$3:$A$2927, $A68,'Raw Data'!E$3:E$2927) / COUNTIF('Raw Data'!$A$3:$A$2927,$A68))</f>
        <v>0</v>
      </c>
      <c r="I68">
        <f>IF( COUNTIF('Raw Data'!$A$3:$A$2927,$A68)=0,0,SUMIF('Raw Data'!$A$3:$A$2927, $A68,'Raw Data'!F$3:F$2927) / COUNTIF('Raw Data'!$A$3:$A$2927,$A68))</f>
        <v>0</v>
      </c>
      <c r="J68">
        <f>IF( COUNTIF('Raw Data'!$A$3:$A$2927,$A68)=0,0,SUMIF('Raw Data'!$A$3:$A$2927, $A68,'Raw Data'!G$3:G$2927) / COUNTIF('Raw Data'!$A$3:$A$2927,$A68))</f>
        <v>0</v>
      </c>
      <c r="K68">
        <f>IF( COUNTIF('Raw Data'!$A$3:$A$2927,$A68)=0,0,SUMIF('Raw Data'!$A$3:$A$2927, $A68,'Raw Data'!H$3:H$2927) / COUNTIF('Raw Data'!$A$3:$A$2927,$A68))</f>
        <v>0</v>
      </c>
      <c r="L68">
        <f>MAX(IF('Raw Data'!$A$3:$A$927=$A68, 'Raw Data'!$N$3:$N$927))</f>
        <v>0</v>
      </c>
      <c r="M68">
        <f>IF( COUNTIF('Raw Data'!$A$3:$A$2927,$A68)=0,0,SUMIF('Raw Data'!$A$3:$A$2927, $A68,'Raw Data'!J$3:J$2927) / COUNTIF('Raw Data'!$A$3:$A$2927,$A68))</f>
        <v>0</v>
      </c>
      <c r="N68">
        <f>IF( COUNTIF('Raw Data'!$A$3:$A$2927,$A68)=0,0,SUMIF('Raw Data'!$A$3:$A$2927, $A68,'Raw Data'!K$3:K$2927) / COUNTIF('Raw Data'!$A$3:$A$2927,$A68))</f>
        <v>0</v>
      </c>
      <c r="O68">
        <f>IF( COUNTIF('Raw Data'!$A$3:$A$2927,$A68)=0,0,SUMIF('Raw Data'!$A$3:$A$2927, $A68,'Raw Data'!L$3:L$2927) / COUNTIF('Raw Data'!$A$3:$A$2927,$A68))</f>
        <v>0</v>
      </c>
      <c r="P68" s="58">
        <f>IF( COUNTIF('Raw Data'!$A$3:$A$2927,$A68)=0,0,SUMIF('Raw Data'!$A$3:$A$2927, $A68,'Raw Data'!M$3:M$2927) / COUNTIF('Raw Data'!$A$3:$A$2927,$A68))</f>
        <v>0</v>
      </c>
      <c r="Q68">
        <f>MAX(IF('Raw Data'!$A$3:$A$927=$A68, 'Raw Data'!$Z$3:$Z$927))</f>
        <v>0</v>
      </c>
      <c r="R68">
        <f>MAX(IF('Raw Data'!$A$3:$A$927=$A68, 'Raw Data'!$T$3:$T$927))</f>
        <v>0</v>
      </c>
      <c r="S68">
        <f>IF( COUNTIF('Raw Data'!$A$3:$A$2927,$A68)=0,0,SUMIF('Raw Data'!$A$3:$A$2927, $A68,'Raw Data'!P$3:P$2927) / COUNTIF('Raw Data'!$A$3:$A$2927,$A68))</f>
        <v>0.1111111111111111</v>
      </c>
      <c r="T68">
        <f>IF( COUNTIF('Raw Data'!$A$3:$A$2927,$A68)=0,0,SUMIF('Raw Data'!$A$3:$A$2927, $A68,'Raw Data'!Q$3:Q$2927) / COUNTIF('Raw Data'!$A$3:$A$2927,$A68))</f>
        <v>0.1111111111111111</v>
      </c>
      <c r="U68">
        <f>IF( COUNTIF('Raw Data'!$A$3:$A$2927,$A68)=0,0,SUMIF('Raw Data'!$A$3:$A$2927, $A68,'Raw Data'!R$3:R$2927) / COUNTIF('Raw Data'!$A$3:$A$2927,$A68))</f>
        <v>0</v>
      </c>
      <c r="V68">
        <f>IF( COUNTIF('Raw Data'!$A$3:$A$2927,$A68)=0,0,SUMIF('Raw Data'!$A$3:$A$2927, $A68,'Raw Data'!S$3:S$2927) / COUNTIF('Raw Data'!$A$3:$A$2927,$A68))</f>
        <v>0</v>
      </c>
      <c r="W68">
        <f>MAX(IF('Raw Data'!$A$3:$A$927=$A68, 'Raw Data'!$Y$3:$Y$927))</f>
        <v>0</v>
      </c>
      <c r="X68">
        <f>IF( COUNTIF('Raw Data'!$A$3:$A$2927,$A68)=0,0,SUMIF('Raw Data'!$A$3:$A$2927, $A68,'Raw Data'!U$3:U$2927) / COUNTIF('Raw Data'!$A$3:$A$2927,$A68))</f>
        <v>0.77777777777777779</v>
      </c>
      <c r="Y68">
        <f>IF( COUNTIF('Raw Data'!$A$3:$A$2927,$A68)=0,0,SUMIF('Raw Data'!$A$3:$A$2927, $A68,'Raw Data'!V$3:V$2927) / COUNTIF('Raw Data'!$A$3:$A$2927,$A68))</f>
        <v>0</v>
      </c>
      <c r="Z68">
        <f>IF( COUNTIF('Raw Data'!$A$3:$A$2927,$A68)=0,0,SUMIF('Raw Data'!$A$3:$A$2927, $A68,'Raw Data'!W$3:W$2927) / COUNTIF('Raw Data'!$A$3:$A$2927,$A68))</f>
        <v>0</v>
      </c>
      <c r="AA68">
        <f>IF( COUNTIF('Raw Data'!$A$3:$A$2927,$A68)=0,0,SUMIF('Raw Data'!$A$3:$A$2927, $A68,'Raw Data'!X$3:X$2927) / COUNTIF('Raw Data'!$A$3:$A$2927,$A68))</f>
        <v>0</v>
      </c>
      <c r="AB68">
        <f>IF( COUNTIF('Raw Data'!$A$3:$A$2927,$A68)=0,0,SUMIF('Raw Data'!$A$3:$A$2927, $A68,'Raw Data'!AA$3:AA$2927) / COUNTIF('Raw Data'!$A$3:$A$2927,$A68))</f>
        <v>0.66666666666666663</v>
      </c>
      <c r="AC68">
        <f>IF( COUNTIF('Raw Data'!$A$3:$A$2927,$A68)=0,0,SUMIF('Raw Data'!$A$3:$A$2927, $A68,'Raw Data'!AB$3:AB$2927) / COUNTIF('Raw Data'!$A$3:$A$2927,$A68))</f>
        <v>0</v>
      </c>
      <c r="AD68">
        <f>IF( COUNTIF('Raw Data'!$A$3:$A$2927,$A68)=0,0,SUMIF('Raw Data'!$A$3:$A$2927, $A68,'Raw Data'!AC$3:AC$2927) / COUNTIF('Raw Data'!$A$3:$A$2927,$A68))</f>
        <v>0.44444444444444442</v>
      </c>
      <c r="AE68" s="117">
        <f>IF( COUNTIF('Raw Data'!$A$3:$A$2927,$A68)=0,0,SUMIF('Raw Data'!$A$3:$A$2927, $A68,'Raw Data'!AD$3:AD$2927) / COUNTIF('Raw Data'!$A$3:$A$2927,$A68))</f>
        <v>0</v>
      </c>
      <c r="AF68">
        <f>IF( COUNTIF('Raw Data'!$A$3:$A$2927,$A68)=0,0,SUMIF('Raw Data'!$A$3:$A$2927, $A68,'Raw Data'!AE$3:AE$2927) / COUNTIF('Raw Data'!$A$3:$A$2927,$A68))</f>
        <v>0.1111111111111111</v>
      </c>
      <c r="AG68">
        <f>IF( COUNTIF('Raw Data'!$A$3:$A$2927,$A68)=0,0,SUMIF('Raw Data'!$A$3:$A$2927, $A68,'Raw Data'!AF$3:AF$2927) / COUNTIF('Raw Data'!$A$3:$A$2927,$A68))</f>
        <v>0</v>
      </c>
      <c r="AH68">
        <f>IF( COUNTIF('Raw Data'!$A$3:$A$2927,$A68)=0,0,SUMIF('Raw Data'!$A$3:$A$2927, $A68,'Raw Data'!AG$3:AG$2927) / COUNTIF('Raw Data'!$A$3:$A$2927,$A68))</f>
        <v>2</v>
      </c>
      <c r="AI68">
        <f>IF( COUNTIF('Raw Data'!$A$3:$A$2927,$A68)=0,0,SUMIF('Raw Data'!$A$3:$A$2927, $A68,'Raw Data'!AH$3:AH$2927) / COUNTIF('Raw Data'!$A$3:$A$2927,$A68))</f>
        <v>0.1111111111111111</v>
      </c>
      <c r="AJ68" s="117">
        <f>COUNTIF('Raw Data'!A$3:A$2927, $A68)</f>
        <v>9</v>
      </c>
      <c r="AK68">
        <f t="shared" si="11"/>
        <v>-0.70888888888888879</v>
      </c>
      <c r="AL68">
        <f t="shared" si="12"/>
        <v>-1.2222222222222223</v>
      </c>
      <c r="AM68">
        <f t="shared" si="13"/>
        <v>-0.10444444444444445</v>
      </c>
    </row>
    <row r="69" spans="1:39">
      <c r="A69">
        <v>6864</v>
      </c>
      <c r="B69" t="s">
        <v>226</v>
      </c>
      <c r="C69">
        <f t="shared" si="9"/>
        <v>7.8181818181818201</v>
      </c>
      <c r="D69">
        <f t="shared" si="10"/>
        <v>3.7272727272727275</v>
      </c>
      <c r="E69">
        <f>IF( COUNTIF('Raw Data'!$A$3:$A$2927,$A69)=0,0,SUMIF('Raw Data'!$A$3:$A$2927, $A69,'Raw Data'!D$3:D$2927) / COUNTIF('Raw Data'!$A$3:$A$2927,$A69))</f>
        <v>1.1818181818181819</v>
      </c>
      <c r="F69">
        <f>MAX(IF('Raw Data'!$A$3:$A$927=$A69, 'Raw Data'!$O$3:$O$927))</f>
        <v>0</v>
      </c>
      <c r="G69">
        <f>MAX(IF('Raw Data'!$A$3:$A$927=$A69, 'Raw Data'!$I$3:$I$927))</f>
        <v>0</v>
      </c>
      <c r="H69">
        <f>IF( COUNTIF('Raw Data'!$A$3:$A$2927,$A69)=0,0,SUMIF('Raw Data'!$A$3:$A$2927, $A69,'Raw Data'!E$3:E$2927) / COUNTIF('Raw Data'!$A$3:$A$2927,$A69))</f>
        <v>9.0909090909090912E-2</v>
      </c>
      <c r="I69">
        <f>IF( COUNTIF('Raw Data'!$A$3:$A$2927,$A69)=0,0,SUMIF('Raw Data'!$A$3:$A$2927, $A69,'Raw Data'!F$3:F$2927) / COUNTIF('Raw Data'!$A$3:$A$2927,$A69))</f>
        <v>0</v>
      </c>
      <c r="J69">
        <f>IF( COUNTIF('Raw Data'!$A$3:$A$2927,$A69)=0,0,SUMIF('Raw Data'!$A$3:$A$2927, $A69,'Raw Data'!G$3:G$2927) / COUNTIF('Raw Data'!$A$3:$A$2927,$A69))</f>
        <v>0</v>
      </c>
      <c r="K69">
        <f>IF( COUNTIF('Raw Data'!$A$3:$A$2927,$A69)=0,0,SUMIF('Raw Data'!$A$3:$A$2927, $A69,'Raw Data'!H$3:H$2927) / COUNTIF('Raw Data'!$A$3:$A$2927,$A69))</f>
        <v>0</v>
      </c>
      <c r="L69">
        <f>MAX(IF('Raw Data'!$A$3:$A$927=$A69, 'Raw Data'!$N$3:$N$927))</f>
        <v>0</v>
      </c>
      <c r="M69">
        <f>IF( COUNTIF('Raw Data'!$A$3:$A$2927,$A69)=0,0,SUMIF('Raw Data'!$A$3:$A$2927, $A69,'Raw Data'!J$3:J$2927) / COUNTIF('Raw Data'!$A$3:$A$2927,$A69))</f>
        <v>0</v>
      </c>
      <c r="N69">
        <f>IF( COUNTIF('Raw Data'!$A$3:$A$2927,$A69)=0,0,SUMIF('Raw Data'!$A$3:$A$2927, $A69,'Raw Data'!K$3:K$2927) / COUNTIF('Raw Data'!$A$3:$A$2927,$A69))</f>
        <v>0</v>
      </c>
      <c r="O69">
        <f>IF( COUNTIF('Raw Data'!$A$3:$A$2927,$A69)=0,0,SUMIF('Raw Data'!$A$3:$A$2927, $A69,'Raw Data'!L$3:L$2927) / COUNTIF('Raw Data'!$A$3:$A$2927,$A69))</f>
        <v>0</v>
      </c>
      <c r="P69" s="58">
        <f>IF( COUNTIF('Raw Data'!$A$3:$A$2927,$A69)=0,0,SUMIF('Raw Data'!$A$3:$A$2927, $A69,'Raw Data'!M$3:M$2927) / COUNTIF('Raw Data'!$A$3:$A$2927,$A69))</f>
        <v>0</v>
      </c>
      <c r="Q69">
        <f>MAX(IF('Raw Data'!$A$3:$A$927=$A69, 'Raw Data'!$Z$3:$Z$927))</f>
        <v>0</v>
      </c>
      <c r="R69">
        <f>MAX(IF('Raw Data'!$A$3:$A$927=$A69, 'Raw Data'!$T$3:$T$927))</f>
        <v>0</v>
      </c>
      <c r="S69">
        <f>IF( COUNTIF('Raw Data'!$A$3:$A$2927,$A69)=0,0,SUMIF('Raw Data'!$A$3:$A$2927, $A69,'Raw Data'!P$3:P$2927) / COUNTIF('Raw Data'!$A$3:$A$2927,$A69))</f>
        <v>0.27272727272727271</v>
      </c>
      <c r="T69">
        <f>IF( COUNTIF('Raw Data'!$A$3:$A$2927,$A69)=0,0,SUMIF('Raw Data'!$A$3:$A$2927, $A69,'Raw Data'!Q$3:Q$2927) / COUNTIF('Raw Data'!$A$3:$A$2927,$A69))</f>
        <v>0</v>
      </c>
      <c r="U69">
        <f>IF( COUNTIF('Raw Data'!$A$3:$A$2927,$A69)=0,0,SUMIF('Raw Data'!$A$3:$A$2927, $A69,'Raw Data'!R$3:R$2927) / COUNTIF('Raw Data'!$A$3:$A$2927,$A69))</f>
        <v>0</v>
      </c>
      <c r="V69">
        <f>IF( COUNTIF('Raw Data'!$A$3:$A$2927,$A69)=0,0,SUMIF('Raw Data'!$A$3:$A$2927, $A69,'Raw Data'!S$3:S$2927) / COUNTIF('Raw Data'!$A$3:$A$2927,$A69))</f>
        <v>0</v>
      </c>
      <c r="W69">
        <f>MAX(IF('Raw Data'!$A$3:$A$927=$A69, 'Raw Data'!$Y$3:$Y$927))</f>
        <v>0</v>
      </c>
      <c r="X69">
        <f>IF( COUNTIF('Raw Data'!$A$3:$A$2927,$A69)=0,0,SUMIF('Raw Data'!$A$3:$A$2927, $A69,'Raw Data'!U$3:U$2927) / COUNTIF('Raw Data'!$A$3:$A$2927,$A69))</f>
        <v>1</v>
      </c>
      <c r="Y69">
        <f>IF( COUNTIF('Raw Data'!$A$3:$A$2927,$A69)=0,0,SUMIF('Raw Data'!$A$3:$A$2927, $A69,'Raw Data'!V$3:V$2927) / COUNTIF('Raw Data'!$A$3:$A$2927,$A69))</f>
        <v>0</v>
      </c>
      <c r="Z69">
        <f>IF( COUNTIF('Raw Data'!$A$3:$A$2927,$A69)=0,0,SUMIF('Raw Data'!$A$3:$A$2927, $A69,'Raw Data'!W$3:W$2927) / COUNTIF('Raw Data'!$A$3:$A$2927,$A69))</f>
        <v>0</v>
      </c>
      <c r="AA69">
        <f>IF( COUNTIF('Raw Data'!$A$3:$A$2927,$A69)=0,0,SUMIF('Raw Data'!$A$3:$A$2927, $A69,'Raw Data'!X$3:X$2927) / COUNTIF('Raw Data'!$A$3:$A$2927,$A69))</f>
        <v>0</v>
      </c>
      <c r="AB69">
        <f>IF( COUNTIF('Raw Data'!$A$3:$A$2927,$A69)=0,0,SUMIF('Raw Data'!$A$3:$A$2927, $A69,'Raw Data'!AA$3:AA$2927) / COUNTIF('Raw Data'!$A$3:$A$2927,$A69))</f>
        <v>9.1818181818181817</v>
      </c>
      <c r="AC69">
        <f>IF( COUNTIF('Raw Data'!$A$3:$A$2927,$A69)=0,0,SUMIF('Raw Data'!$A$3:$A$2927, $A69,'Raw Data'!AB$3:AB$2927) / COUNTIF('Raw Data'!$A$3:$A$2927,$A69))</f>
        <v>0</v>
      </c>
      <c r="AD69">
        <f>IF( COUNTIF('Raw Data'!$A$3:$A$2927,$A69)=0,0,SUMIF('Raw Data'!$A$3:$A$2927, $A69,'Raw Data'!AC$3:AC$2927) / COUNTIF('Raw Data'!$A$3:$A$2927,$A69))</f>
        <v>0.63636363636363635</v>
      </c>
      <c r="AE69" s="117">
        <f>IF( COUNTIF('Raw Data'!$A$3:$A$2927,$A69)=0,0,SUMIF('Raw Data'!$A$3:$A$2927, $A69,'Raw Data'!AD$3:AD$2927) / COUNTIF('Raw Data'!$A$3:$A$2927,$A69))</f>
        <v>0</v>
      </c>
      <c r="AF69">
        <f>IF( COUNTIF('Raw Data'!$A$3:$A$2927,$A69)=0,0,SUMIF('Raw Data'!$A$3:$A$2927, $A69,'Raw Data'!AE$3:AE$2927) / COUNTIF('Raw Data'!$A$3:$A$2927,$A69))</f>
        <v>0</v>
      </c>
      <c r="AG69">
        <f>IF( COUNTIF('Raw Data'!$A$3:$A$2927,$A69)=0,0,SUMIF('Raw Data'!$A$3:$A$2927, $A69,'Raw Data'!AF$3:AF$2927) / COUNTIF('Raw Data'!$A$3:$A$2927,$A69))</f>
        <v>0</v>
      </c>
      <c r="AH69">
        <f>IF( COUNTIF('Raw Data'!$A$3:$A$2927,$A69)=0,0,SUMIF('Raw Data'!$A$3:$A$2927, $A69,'Raw Data'!AG$3:AG$2927) / COUNTIF('Raw Data'!$A$3:$A$2927,$A69))</f>
        <v>1.3636363636363635</v>
      </c>
      <c r="AI69">
        <f>IF( COUNTIF('Raw Data'!$A$3:$A$2927,$A69)=0,0,SUMIF('Raw Data'!$A$3:$A$2927, $A69,'Raw Data'!AH$3:AH$2927) / COUNTIF('Raw Data'!$A$3:$A$2927,$A69))</f>
        <v>0.45454545454545453</v>
      </c>
      <c r="AJ69" s="117">
        <f>COUNTIF('Raw Data'!A$3:A$2927, $A69)</f>
        <v>11</v>
      </c>
      <c r="AK69">
        <f t="shared" si="11"/>
        <v>-0.56727272727272715</v>
      </c>
      <c r="AL69">
        <f t="shared" si="12"/>
        <v>-1.1818181818181817</v>
      </c>
      <c r="AM69">
        <f t="shared" si="13"/>
        <v>0.55000000000000004</v>
      </c>
    </row>
    <row r="70" spans="1:39">
      <c r="A70">
        <v>6866</v>
      </c>
      <c r="B70" t="s">
        <v>227</v>
      </c>
      <c r="C70">
        <f t="shared" si="9"/>
        <v>13.75</v>
      </c>
      <c r="D70">
        <f t="shared" si="10"/>
        <v>8.125</v>
      </c>
      <c r="E70">
        <f>IF( COUNTIF('Raw Data'!$A$3:$A$2927,$A70)=0,0,SUMIF('Raw Data'!$A$3:$A$2927, $A70,'Raw Data'!D$3:D$2927) / COUNTIF('Raw Data'!$A$3:$A$2927,$A70))</f>
        <v>1.75</v>
      </c>
      <c r="F70">
        <f>MAX(IF('Raw Data'!$A$3:$A$927=$A70, 'Raw Data'!$O$3:$O$927))</f>
        <v>0</v>
      </c>
      <c r="G70">
        <f>MAX(IF('Raw Data'!$A$3:$A$927=$A70, 'Raw Data'!$I$3:$I$927))</f>
        <v>0</v>
      </c>
      <c r="H70">
        <f>IF( COUNTIF('Raw Data'!$A$3:$A$2927,$A70)=0,0,SUMIF('Raw Data'!$A$3:$A$2927, $A70,'Raw Data'!E$3:E$2927) / COUNTIF('Raw Data'!$A$3:$A$2927,$A70))</f>
        <v>0</v>
      </c>
      <c r="I70">
        <f>IF( COUNTIF('Raw Data'!$A$3:$A$2927,$A70)=0,0,SUMIF('Raw Data'!$A$3:$A$2927, $A70,'Raw Data'!F$3:F$2927) / COUNTIF('Raw Data'!$A$3:$A$2927,$A70))</f>
        <v>0</v>
      </c>
      <c r="J70">
        <f>IF( COUNTIF('Raw Data'!$A$3:$A$2927,$A70)=0,0,SUMIF('Raw Data'!$A$3:$A$2927, $A70,'Raw Data'!G$3:G$2927) / COUNTIF('Raw Data'!$A$3:$A$2927,$A70))</f>
        <v>0</v>
      </c>
      <c r="K70">
        <f>IF( COUNTIF('Raw Data'!$A$3:$A$2927,$A70)=0,0,SUMIF('Raw Data'!$A$3:$A$2927, $A70,'Raw Data'!H$3:H$2927) / COUNTIF('Raw Data'!$A$3:$A$2927,$A70))</f>
        <v>0</v>
      </c>
      <c r="L70">
        <f>MAX(IF('Raw Data'!$A$3:$A$927=$A70, 'Raw Data'!$N$3:$N$927))</f>
        <v>0</v>
      </c>
      <c r="M70">
        <f>IF( COUNTIF('Raw Data'!$A$3:$A$2927,$A70)=0,0,SUMIF('Raw Data'!$A$3:$A$2927, $A70,'Raw Data'!J$3:J$2927) / COUNTIF('Raw Data'!$A$3:$A$2927,$A70))</f>
        <v>0</v>
      </c>
      <c r="N70">
        <f>IF( COUNTIF('Raw Data'!$A$3:$A$2927,$A70)=0,0,SUMIF('Raw Data'!$A$3:$A$2927, $A70,'Raw Data'!K$3:K$2927) / COUNTIF('Raw Data'!$A$3:$A$2927,$A70))</f>
        <v>0</v>
      </c>
      <c r="O70">
        <f>IF( COUNTIF('Raw Data'!$A$3:$A$2927,$A70)=0,0,SUMIF('Raw Data'!$A$3:$A$2927, $A70,'Raw Data'!L$3:L$2927) / COUNTIF('Raw Data'!$A$3:$A$2927,$A70))</f>
        <v>0</v>
      </c>
      <c r="P70" s="58">
        <f>IF( COUNTIF('Raw Data'!$A$3:$A$2927,$A70)=0,0,SUMIF('Raw Data'!$A$3:$A$2927, $A70,'Raw Data'!M$3:M$2927) / COUNTIF('Raw Data'!$A$3:$A$2927,$A70))</f>
        <v>0</v>
      </c>
      <c r="Q70">
        <f>MAX(IF('Raw Data'!$A$3:$A$927=$A70, 'Raw Data'!$Z$3:$Z$927))</f>
        <v>0</v>
      </c>
      <c r="R70">
        <f>MAX(IF('Raw Data'!$A$3:$A$927=$A70, 'Raw Data'!$T$3:$T$927))</f>
        <v>0</v>
      </c>
      <c r="S70">
        <f>IF( COUNTIF('Raw Data'!$A$3:$A$2927,$A70)=0,0,SUMIF('Raw Data'!$A$3:$A$2927, $A70,'Raw Data'!P$3:P$2927) / COUNTIF('Raw Data'!$A$3:$A$2927,$A70))</f>
        <v>0.125</v>
      </c>
      <c r="T70">
        <f>IF( COUNTIF('Raw Data'!$A$3:$A$2927,$A70)=0,0,SUMIF('Raw Data'!$A$3:$A$2927, $A70,'Raw Data'!Q$3:Q$2927) / COUNTIF('Raw Data'!$A$3:$A$2927,$A70))</f>
        <v>0</v>
      </c>
      <c r="U70">
        <f>IF( COUNTIF('Raw Data'!$A$3:$A$2927,$A70)=0,0,SUMIF('Raw Data'!$A$3:$A$2927, $A70,'Raw Data'!R$3:R$2927) / COUNTIF('Raw Data'!$A$3:$A$2927,$A70))</f>
        <v>0</v>
      </c>
      <c r="V70">
        <f>IF( COUNTIF('Raw Data'!$A$3:$A$2927,$A70)=0,0,SUMIF('Raw Data'!$A$3:$A$2927, $A70,'Raw Data'!S$3:S$2927) / COUNTIF('Raw Data'!$A$3:$A$2927,$A70))</f>
        <v>0</v>
      </c>
      <c r="W70">
        <f>MAX(IF('Raw Data'!$A$3:$A$927=$A70, 'Raw Data'!$Y$3:$Y$927))</f>
        <v>0</v>
      </c>
      <c r="X70">
        <f>IF( COUNTIF('Raw Data'!$A$3:$A$2927,$A70)=0,0,SUMIF('Raw Data'!$A$3:$A$2927, $A70,'Raw Data'!U$3:U$2927) / COUNTIF('Raw Data'!$A$3:$A$2927,$A70))</f>
        <v>2.625</v>
      </c>
      <c r="Y70">
        <f>IF( COUNTIF('Raw Data'!$A$3:$A$2927,$A70)=0,0,SUMIF('Raw Data'!$A$3:$A$2927, $A70,'Raw Data'!V$3:V$2927) / COUNTIF('Raw Data'!$A$3:$A$2927,$A70))</f>
        <v>0</v>
      </c>
      <c r="Z70">
        <f>IF( COUNTIF('Raw Data'!$A$3:$A$2927,$A70)=0,0,SUMIF('Raw Data'!$A$3:$A$2927, $A70,'Raw Data'!W$3:W$2927) / COUNTIF('Raw Data'!$A$3:$A$2927,$A70))</f>
        <v>0</v>
      </c>
      <c r="AA70">
        <f>IF( COUNTIF('Raw Data'!$A$3:$A$2927,$A70)=0,0,SUMIF('Raw Data'!$A$3:$A$2927, $A70,'Raw Data'!X$3:X$2927) / COUNTIF('Raw Data'!$A$3:$A$2927,$A70))</f>
        <v>0</v>
      </c>
      <c r="AB70">
        <f>IF( COUNTIF('Raw Data'!$A$3:$A$2927,$A70)=0,0,SUMIF('Raw Data'!$A$3:$A$2927, $A70,'Raw Data'!AA$3:AA$2927) / COUNTIF('Raw Data'!$A$3:$A$2927,$A70))</f>
        <v>6.875</v>
      </c>
      <c r="AC70">
        <f>IF( COUNTIF('Raw Data'!$A$3:$A$2927,$A70)=0,0,SUMIF('Raw Data'!$A$3:$A$2927, $A70,'Raw Data'!AB$3:AB$2927) / COUNTIF('Raw Data'!$A$3:$A$2927,$A70))</f>
        <v>0</v>
      </c>
      <c r="AD70">
        <f>IF( COUNTIF('Raw Data'!$A$3:$A$2927,$A70)=0,0,SUMIF('Raw Data'!$A$3:$A$2927, $A70,'Raw Data'!AC$3:AC$2927) / COUNTIF('Raw Data'!$A$3:$A$2927,$A70))</f>
        <v>0.875</v>
      </c>
      <c r="AE70" s="117">
        <f>IF( COUNTIF('Raw Data'!$A$3:$A$2927,$A70)=0,0,SUMIF('Raw Data'!$A$3:$A$2927, $A70,'Raw Data'!AD$3:AD$2927) / COUNTIF('Raw Data'!$A$3:$A$2927,$A70))</f>
        <v>0</v>
      </c>
      <c r="AF70">
        <f>IF( COUNTIF('Raw Data'!$A$3:$A$2927,$A70)=0,0,SUMIF('Raw Data'!$A$3:$A$2927, $A70,'Raw Data'!AE$3:AE$2927) / COUNTIF('Raw Data'!$A$3:$A$2927,$A70))</f>
        <v>0</v>
      </c>
      <c r="AG70">
        <f>IF( COUNTIF('Raw Data'!$A$3:$A$2927,$A70)=0,0,SUMIF('Raw Data'!$A$3:$A$2927, $A70,'Raw Data'!AF$3:AF$2927) / COUNTIF('Raw Data'!$A$3:$A$2927,$A70))</f>
        <v>0</v>
      </c>
      <c r="AH70">
        <f>IF( COUNTIF('Raw Data'!$A$3:$A$2927,$A70)=0,0,SUMIF('Raw Data'!$A$3:$A$2927, $A70,'Raw Data'!AG$3:AG$2927) / COUNTIF('Raw Data'!$A$3:$A$2927,$A70))</f>
        <v>2.25</v>
      </c>
      <c r="AI70">
        <f>IF( COUNTIF('Raw Data'!$A$3:$A$2927,$A70)=0,0,SUMIF('Raw Data'!$A$3:$A$2927, $A70,'Raw Data'!AH$3:AH$2927) / COUNTIF('Raw Data'!$A$3:$A$2927,$A70))</f>
        <v>0</v>
      </c>
      <c r="AJ70" s="117">
        <f>COUNTIF('Raw Data'!A$3:A$2927, $A70)</f>
        <v>8</v>
      </c>
      <c r="AK70">
        <f t="shared" si="11"/>
        <v>1.7324999999999999</v>
      </c>
      <c r="AL70">
        <f t="shared" si="12"/>
        <v>-1</v>
      </c>
      <c r="AM70">
        <f t="shared" si="13"/>
        <v>1.8824999999999998</v>
      </c>
    </row>
    <row r="71" spans="1:39">
      <c r="A71">
        <v>6867</v>
      </c>
      <c r="B71" t="s">
        <v>228</v>
      </c>
      <c r="C71">
        <f t="shared" si="9"/>
        <v>16.818181818181817</v>
      </c>
      <c r="D71">
        <f t="shared" si="10"/>
        <v>8.9090909090909083</v>
      </c>
      <c r="E71">
        <f>IF( COUNTIF('Raw Data'!$A$3:$A$2927,$A71)=0,0,SUMIF('Raw Data'!$A$3:$A$2927, $A71,'Raw Data'!D$3:D$2927) / COUNTIF('Raw Data'!$A$3:$A$2927,$A71))</f>
        <v>1.7272727272727273</v>
      </c>
      <c r="F71">
        <f>MAX(IF('Raw Data'!$A$3:$A$927=$A71, 'Raw Data'!$O$3:$O$927))</f>
        <v>0</v>
      </c>
      <c r="G71">
        <f>MAX(IF('Raw Data'!$A$3:$A$927=$A71, 'Raw Data'!$I$3:$I$927))</f>
        <v>0</v>
      </c>
      <c r="H71">
        <f>IF( COUNTIF('Raw Data'!$A$3:$A$2927,$A71)=0,0,SUMIF('Raw Data'!$A$3:$A$2927, $A71,'Raw Data'!E$3:E$2927) / COUNTIF('Raw Data'!$A$3:$A$2927,$A71))</f>
        <v>0.54545454545454541</v>
      </c>
      <c r="I71">
        <f>IF( COUNTIF('Raw Data'!$A$3:$A$2927,$A71)=0,0,SUMIF('Raw Data'!$A$3:$A$2927, $A71,'Raw Data'!F$3:F$2927) / COUNTIF('Raw Data'!$A$3:$A$2927,$A71))</f>
        <v>0</v>
      </c>
      <c r="J71">
        <f>IF( COUNTIF('Raw Data'!$A$3:$A$2927,$A71)=0,0,SUMIF('Raw Data'!$A$3:$A$2927, $A71,'Raw Data'!G$3:G$2927) / COUNTIF('Raw Data'!$A$3:$A$2927,$A71))</f>
        <v>0</v>
      </c>
      <c r="K71">
        <f>IF( COUNTIF('Raw Data'!$A$3:$A$2927,$A71)=0,0,SUMIF('Raw Data'!$A$3:$A$2927, $A71,'Raw Data'!H$3:H$2927) / COUNTIF('Raw Data'!$A$3:$A$2927,$A71))</f>
        <v>0</v>
      </c>
      <c r="L71">
        <f>MAX(IF('Raw Data'!$A$3:$A$927=$A71, 'Raw Data'!$N$3:$N$927))</f>
        <v>0</v>
      </c>
      <c r="M71">
        <f>IF( COUNTIF('Raw Data'!$A$3:$A$2927,$A71)=0,0,SUMIF('Raw Data'!$A$3:$A$2927, $A71,'Raw Data'!J$3:J$2927) / COUNTIF('Raw Data'!$A$3:$A$2927,$A71))</f>
        <v>0</v>
      </c>
      <c r="N71">
        <f>IF( COUNTIF('Raw Data'!$A$3:$A$2927,$A71)=0,0,SUMIF('Raw Data'!$A$3:$A$2927, $A71,'Raw Data'!K$3:K$2927) / COUNTIF('Raw Data'!$A$3:$A$2927,$A71))</f>
        <v>0</v>
      </c>
      <c r="O71">
        <f>IF( COUNTIF('Raw Data'!$A$3:$A$2927,$A71)=0,0,SUMIF('Raw Data'!$A$3:$A$2927, $A71,'Raw Data'!L$3:L$2927) / COUNTIF('Raw Data'!$A$3:$A$2927,$A71))</f>
        <v>0</v>
      </c>
      <c r="P71" s="58">
        <f>IF( COUNTIF('Raw Data'!$A$3:$A$2927,$A71)=0,0,SUMIF('Raw Data'!$A$3:$A$2927, $A71,'Raw Data'!M$3:M$2927) / COUNTIF('Raw Data'!$A$3:$A$2927,$A71))</f>
        <v>0</v>
      </c>
      <c r="Q71">
        <f>MAX(IF('Raw Data'!$A$3:$A$927=$A71, 'Raw Data'!$Z$3:$Z$927))</f>
        <v>0</v>
      </c>
      <c r="R71">
        <f>MAX(IF('Raw Data'!$A$3:$A$927=$A71, 'Raw Data'!$T$3:$T$927))</f>
        <v>0</v>
      </c>
      <c r="S71">
        <f>IF( COUNTIF('Raw Data'!$A$3:$A$2927,$A71)=0,0,SUMIF('Raw Data'!$A$3:$A$2927, $A71,'Raw Data'!P$3:P$2927) / COUNTIF('Raw Data'!$A$3:$A$2927,$A71))</f>
        <v>2.5454545454545454</v>
      </c>
      <c r="T71">
        <f>IF( COUNTIF('Raw Data'!$A$3:$A$2927,$A71)=0,0,SUMIF('Raw Data'!$A$3:$A$2927, $A71,'Raw Data'!Q$3:Q$2927) / COUNTIF('Raw Data'!$A$3:$A$2927,$A71))</f>
        <v>1.0909090909090908</v>
      </c>
      <c r="U71">
        <f>IF( COUNTIF('Raw Data'!$A$3:$A$2927,$A71)=0,0,SUMIF('Raw Data'!$A$3:$A$2927, $A71,'Raw Data'!R$3:R$2927) / COUNTIF('Raw Data'!$A$3:$A$2927,$A71))</f>
        <v>0</v>
      </c>
      <c r="V71">
        <f>IF( COUNTIF('Raw Data'!$A$3:$A$2927,$A71)=0,0,SUMIF('Raw Data'!$A$3:$A$2927, $A71,'Raw Data'!S$3:S$2927) / COUNTIF('Raw Data'!$A$3:$A$2927,$A71))</f>
        <v>0</v>
      </c>
      <c r="W71">
        <f>MAX(IF('Raw Data'!$A$3:$A$927=$A71, 'Raw Data'!$Y$3:$Y$927))</f>
        <v>0</v>
      </c>
      <c r="X71">
        <f>IF( COUNTIF('Raw Data'!$A$3:$A$2927,$A71)=0,0,SUMIF('Raw Data'!$A$3:$A$2927, $A71,'Raw Data'!U$3:U$2927) / COUNTIF('Raw Data'!$A$3:$A$2927,$A71))</f>
        <v>0.18181818181818182</v>
      </c>
      <c r="Y71">
        <f>IF( COUNTIF('Raw Data'!$A$3:$A$2927,$A71)=0,0,SUMIF('Raw Data'!$A$3:$A$2927, $A71,'Raw Data'!V$3:V$2927) / COUNTIF('Raw Data'!$A$3:$A$2927,$A71))</f>
        <v>0</v>
      </c>
      <c r="Z71">
        <f>IF( COUNTIF('Raw Data'!$A$3:$A$2927,$A71)=0,0,SUMIF('Raw Data'!$A$3:$A$2927, $A71,'Raw Data'!W$3:W$2927) / COUNTIF('Raw Data'!$A$3:$A$2927,$A71))</f>
        <v>0</v>
      </c>
      <c r="AA71">
        <f>IF( COUNTIF('Raw Data'!$A$3:$A$2927,$A71)=0,0,SUMIF('Raw Data'!$A$3:$A$2927, $A71,'Raw Data'!X$3:X$2927) / COUNTIF('Raw Data'!$A$3:$A$2927,$A71))</f>
        <v>0</v>
      </c>
      <c r="AB71">
        <f>IF( COUNTIF('Raw Data'!$A$3:$A$2927,$A71)=0,0,SUMIF('Raw Data'!$A$3:$A$2927, $A71,'Raw Data'!AA$3:AA$2927) / COUNTIF('Raw Data'!$A$3:$A$2927,$A71))</f>
        <v>3.1818181818181817</v>
      </c>
      <c r="AC71">
        <f>IF( COUNTIF('Raw Data'!$A$3:$A$2927,$A71)=0,0,SUMIF('Raw Data'!$A$3:$A$2927, $A71,'Raw Data'!AB$3:AB$2927) / COUNTIF('Raw Data'!$A$3:$A$2927,$A71))</f>
        <v>0</v>
      </c>
      <c r="AD71">
        <f>IF( COUNTIF('Raw Data'!$A$3:$A$2927,$A71)=0,0,SUMIF('Raw Data'!$A$3:$A$2927, $A71,'Raw Data'!AC$3:AC$2927) / COUNTIF('Raw Data'!$A$3:$A$2927,$A71))</f>
        <v>1.4545454545454546</v>
      </c>
      <c r="AE71" s="117">
        <f>IF( COUNTIF('Raw Data'!$A$3:$A$2927,$A71)=0,0,SUMIF('Raw Data'!$A$3:$A$2927, $A71,'Raw Data'!AD$3:AD$2927) / COUNTIF('Raw Data'!$A$3:$A$2927,$A71))</f>
        <v>0</v>
      </c>
      <c r="AF71">
        <f>IF( COUNTIF('Raw Data'!$A$3:$A$2927,$A71)=0,0,SUMIF('Raw Data'!$A$3:$A$2927, $A71,'Raw Data'!AE$3:AE$2927) / COUNTIF('Raw Data'!$A$3:$A$2927,$A71))</f>
        <v>0</v>
      </c>
      <c r="AG71">
        <f>IF( COUNTIF('Raw Data'!$A$3:$A$2927,$A71)=0,0,SUMIF('Raw Data'!$A$3:$A$2927, $A71,'Raw Data'!AF$3:AF$2927) / COUNTIF('Raw Data'!$A$3:$A$2927,$A71))</f>
        <v>0</v>
      </c>
      <c r="AH71">
        <f>IF( COUNTIF('Raw Data'!$A$3:$A$2927,$A71)=0,0,SUMIF('Raw Data'!$A$3:$A$2927, $A71,'Raw Data'!AG$3:AG$2927) / COUNTIF('Raw Data'!$A$3:$A$2927,$A71))</f>
        <v>1.6363636363636365</v>
      </c>
      <c r="AI71">
        <f>IF( COUNTIF('Raw Data'!$A$3:$A$2927,$A71)=0,0,SUMIF('Raw Data'!$A$3:$A$2927, $A71,'Raw Data'!AH$3:AH$2927) / COUNTIF('Raw Data'!$A$3:$A$2927,$A71))</f>
        <v>0.81818181818181823</v>
      </c>
      <c r="AJ71" s="117">
        <f>COUNTIF('Raw Data'!A$3:A$2927, $A71)</f>
        <v>11</v>
      </c>
      <c r="AK71">
        <f t="shared" si="11"/>
        <v>4.8472727272727267</v>
      </c>
      <c r="AL71">
        <f t="shared" si="12"/>
        <v>1.9999999999999993</v>
      </c>
      <c r="AM71">
        <f t="shared" si="13"/>
        <v>-0.35818181818181821</v>
      </c>
    </row>
    <row r="72" spans="1:39">
      <c r="A72">
        <v>6878</v>
      </c>
      <c r="B72" t="s">
        <v>435</v>
      </c>
      <c r="C72">
        <f t="shared" si="9"/>
        <v>0</v>
      </c>
      <c r="D72">
        <f t="shared" si="10"/>
        <v>0</v>
      </c>
      <c r="E72">
        <f>IF( COUNTIF('Raw Data'!$A$3:$A$2927,$A72)=0,0,SUMIF('Raw Data'!$A$3:$A$2927, $A72,'Raw Data'!D$3:D$2927) / COUNTIF('Raw Data'!$A$3:$A$2927,$A72))</f>
        <v>0</v>
      </c>
      <c r="F72">
        <f>MAX(IF('Raw Data'!$A$3:$A$927=$A72, 'Raw Data'!$O$3:$O$927))</f>
        <v>0</v>
      </c>
      <c r="G72">
        <f>MAX(IF('Raw Data'!$A$3:$A$927=$A72, 'Raw Data'!$I$3:$I$927))</f>
        <v>0</v>
      </c>
      <c r="H72">
        <f>IF( COUNTIF('Raw Data'!$A$3:$A$2927,$A72)=0,0,SUMIF('Raw Data'!$A$3:$A$2927, $A72,'Raw Data'!E$3:E$2927) / COUNTIF('Raw Data'!$A$3:$A$2927,$A72))</f>
        <v>0</v>
      </c>
      <c r="I72">
        <f>IF( COUNTIF('Raw Data'!$A$3:$A$2927,$A72)=0,0,SUMIF('Raw Data'!$A$3:$A$2927, $A72,'Raw Data'!F$3:F$2927) / COUNTIF('Raw Data'!$A$3:$A$2927,$A72))</f>
        <v>0</v>
      </c>
      <c r="J72">
        <f>IF( COUNTIF('Raw Data'!$A$3:$A$2927,$A72)=0,0,SUMIF('Raw Data'!$A$3:$A$2927, $A72,'Raw Data'!G$3:G$2927) / COUNTIF('Raw Data'!$A$3:$A$2927,$A72))</f>
        <v>0</v>
      </c>
      <c r="K72">
        <f>IF( COUNTIF('Raw Data'!$A$3:$A$2927,$A72)=0,0,SUMIF('Raw Data'!$A$3:$A$2927, $A72,'Raw Data'!H$3:H$2927) / COUNTIF('Raw Data'!$A$3:$A$2927,$A72))</f>
        <v>0</v>
      </c>
      <c r="L72">
        <f>MAX(IF('Raw Data'!$A$3:$A$927=$A72, 'Raw Data'!$N$3:$N$927))</f>
        <v>0</v>
      </c>
      <c r="M72">
        <f>IF( COUNTIF('Raw Data'!$A$3:$A$2927,$A72)=0,0,SUMIF('Raw Data'!$A$3:$A$2927, $A72,'Raw Data'!J$3:J$2927) / COUNTIF('Raw Data'!$A$3:$A$2927,$A72))</f>
        <v>0</v>
      </c>
      <c r="N72">
        <f>IF( COUNTIF('Raw Data'!$A$3:$A$2927,$A72)=0,0,SUMIF('Raw Data'!$A$3:$A$2927, $A72,'Raw Data'!K$3:K$2927) / COUNTIF('Raw Data'!$A$3:$A$2927,$A72))</f>
        <v>0</v>
      </c>
      <c r="O72">
        <f>IF( COUNTIF('Raw Data'!$A$3:$A$2927,$A72)=0,0,SUMIF('Raw Data'!$A$3:$A$2927, $A72,'Raw Data'!L$3:L$2927) / COUNTIF('Raw Data'!$A$3:$A$2927,$A72))</f>
        <v>0</v>
      </c>
      <c r="P72" s="58">
        <f>IF( COUNTIF('Raw Data'!$A$3:$A$2927,$A72)=0,0,SUMIF('Raw Data'!$A$3:$A$2927, $A72,'Raw Data'!M$3:M$2927) / COUNTIF('Raw Data'!$A$3:$A$2927,$A72))</f>
        <v>0</v>
      </c>
      <c r="Q72">
        <f>MAX(IF('Raw Data'!$A$3:$A$927=$A72, 'Raw Data'!$Z$3:$Z$927))</f>
        <v>0</v>
      </c>
      <c r="R72">
        <f>MAX(IF('Raw Data'!$A$3:$A$927=$A72, 'Raw Data'!$T$3:$T$927))</f>
        <v>0</v>
      </c>
      <c r="S72">
        <f>IF( COUNTIF('Raw Data'!$A$3:$A$2927,$A72)=0,0,SUMIF('Raw Data'!$A$3:$A$2927, $A72,'Raw Data'!P$3:P$2927) / COUNTIF('Raw Data'!$A$3:$A$2927,$A72))</f>
        <v>0</v>
      </c>
      <c r="T72">
        <f>IF( COUNTIF('Raw Data'!$A$3:$A$2927,$A72)=0,0,SUMIF('Raw Data'!$A$3:$A$2927, $A72,'Raw Data'!Q$3:Q$2927) / COUNTIF('Raw Data'!$A$3:$A$2927,$A72))</f>
        <v>0</v>
      </c>
      <c r="U72">
        <f>IF( COUNTIF('Raw Data'!$A$3:$A$2927,$A72)=0,0,SUMIF('Raw Data'!$A$3:$A$2927, $A72,'Raw Data'!R$3:R$2927) / COUNTIF('Raw Data'!$A$3:$A$2927,$A72))</f>
        <v>0</v>
      </c>
      <c r="V72">
        <f>IF( COUNTIF('Raw Data'!$A$3:$A$2927,$A72)=0,0,SUMIF('Raw Data'!$A$3:$A$2927, $A72,'Raw Data'!S$3:S$2927) / COUNTIF('Raw Data'!$A$3:$A$2927,$A72))</f>
        <v>0</v>
      </c>
      <c r="W72">
        <f>MAX(IF('Raw Data'!$A$3:$A$927=$A72, 'Raw Data'!$Y$3:$Y$927))</f>
        <v>0</v>
      </c>
      <c r="X72">
        <f>IF( COUNTIF('Raw Data'!$A$3:$A$2927,$A72)=0,0,SUMIF('Raw Data'!$A$3:$A$2927, $A72,'Raw Data'!U$3:U$2927) / COUNTIF('Raw Data'!$A$3:$A$2927,$A72))</f>
        <v>0</v>
      </c>
      <c r="Y72">
        <f>IF( COUNTIF('Raw Data'!$A$3:$A$2927,$A72)=0,0,SUMIF('Raw Data'!$A$3:$A$2927, $A72,'Raw Data'!V$3:V$2927) / COUNTIF('Raw Data'!$A$3:$A$2927,$A72))</f>
        <v>0</v>
      </c>
      <c r="Z72">
        <f>IF( COUNTIF('Raw Data'!$A$3:$A$2927,$A72)=0,0,SUMIF('Raw Data'!$A$3:$A$2927, $A72,'Raw Data'!W$3:W$2927) / COUNTIF('Raw Data'!$A$3:$A$2927,$A72))</f>
        <v>0</v>
      </c>
      <c r="AA72">
        <f>IF( COUNTIF('Raw Data'!$A$3:$A$2927,$A72)=0,0,SUMIF('Raw Data'!$A$3:$A$2927, $A72,'Raw Data'!X$3:X$2927) / COUNTIF('Raw Data'!$A$3:$A$2927,$A72))</f>
        <v>0</v>
      </c>
      <c r="AB72">
        <f>IF( COUNTIF('Raw Data'!$A$3:$A$2927,$A72)=0,0,SUMIF('Raw Data'!$A$3:$A$2927, $A72,'Raw Data'!AA$3:AA$2927) / COUNTIF('Raw Data'!$A$3:$A$2927,$A72))</f>
        <v>0</v>
      </c>
      <c r="AC72">
        <f>IF( COUNTIF('Raw Data'!$A$3:$A$2927,$A72)=0,0,SUMIF('Raw Data'!$A$3:$A$2927, $A72,'Raw Data'!AB$3:AB$2927) / COUNTIF('Raw Data'!$A$3:$A$2927,$A72))</f>
        <v>0</v>
      </c>
      <c r="AD72">
        <f>IF( COUNTIF('Raw Data'!$A$3:$A$2927,$A72)=0,0,SUMIF('Raw Data'!$A$3:$A$2927, $A72,'Raw Data'!AC$3:AC$2927) / COUNTIF('Raw Data'!$A$3:$A$2927,$A72))</f>
        <v>0</v>
      </c>
      <c r="AE72" s="117">
        <f>IF( COUNTIF('Raw Data'!$A$3:$A$2927,$A72)=0,0,SUMIF('Raw Data'!$A$3:$A$2927, $A72,'Raw Data'!AD$3:AD$2927) / COUNTIF('Raw Data'!$A$3:$A$2927,$A72))</f>
        <v>0</v>
      </c>
      <c r="AF72">
        <f>IF( COUNTIF('Raw Data'!$A$3:$A$2927,$A72)=0,0,SUMIF('Raw Data'!$A$3:$A$2927, $A72,'Raw Data'!AE$3:AE$2927) / COUNTIF('Raw Data'!$A$3:$A$2927,$A72))</f>
        <v>0</v>
      </c>
      <c r="AG72">
        <f>IF( COUNTIF('Raw Data'!$A$3:$A$2927,$A72)=0,0,SUMIF('Raw Data'!$A$3:$A$2927, $A72,'Raw Data'!AF$3:AF$2927) / COUNTIF('Raw Data'!$A$3:$A$2927,$A72))</f>
        <v>0</v>
      </c>
      <c r="AH72">
        <f>IF( COUNTIF('Raw Data'!$A$3:$A$2927,$A72)=0,0,SUMIF('Raw Data'!$A$3:$A$2927, $A72,'Raw Data'!AG$3:AG$2927) / COUNTIF('Raw Data'!$A$3:$A$2927,$A72))</f>
        <v>0</v>
      </c>
      <c r="AI72">
        <f>IF( COUNTIF('Raw Data'!$A$3:$A$2927,$A72)=0,0,SUMIF('Raw Data'!$A$3:$A$2927, $A72,'Raw Data'!AH$3:AH$2927) / COUNTIF('Raw Data'!$A$3:$A$2927,$A72))</f>
        <v>0</v>
      </c>
      <c r="AJ72" s="117">
        <f>COUNTIF('Raw Data'!A$3:A$2927, $A72)</f>
        <v>0</v>
      </c>
      <c r="AK72">
        <f t="shared" si="11"/>
        <v>-21</v>
      </c>
      <c r="AL72">
        <f t="shared" si="12"/>
        <v>-1.5</v>
      </c>
      <c r="AM72">
        <f t="shared" si="13"/>
        <v>-1</v>
      </c>
    </row>
    <row r="73" spans="1:39">
      <c r="A73">
        <v>6975</v>
      </c>
      <c r="B73" t="s">
        <v>229</v>
      </c>
      <c r="C73">
        <f t="shared" si="9"/>
        <v>2.8888888888888893</v>
      </c>
      <c r="D73">
        <f t="shared" si="10"/>
        <v>0.22222222222222221</v>
      </c>
      <c r="E73">
        <f>IF( COUNTIF('Raw Data'!$A$3:$A$2927,$A73)=0,0,SUMIF('Raw Data'!$A$3:$A$2927, $A73,'Raw Data'!D$3:D$2927) / COUNTIF('Raw Data'!$A$3:$A$2927,$A73))</f>
        <v>0.88888888888888884</v>
      </c>
      <c r="F73">
        <f>MAX(IF('Raw Data'!$A$3:$A$927=$A73, 'Raw Data'!$O$3:$O$927))</f>
        <v>0</v>
      </c>
      <c r="G73">
        <f>MAX(IF('Raw Data'!$A$3:$A$927=$A73, 'Raw Data'!$I$3:$I$927))</f>
        <v>0</v>
      </c>
      <c r="H73">
        <f>IF( COUNTIF('Raw Data'!$A$3:$A$2927,$A73)=0,0,SUMIF('Raw Data'!$A$3:$A$2927, $A73,'Raw Data'!E$3:E$2927) / COUNTIF('Raw Data'!$A$3:$A$2927,$A73))</f>
        <v>0.1111111111111111</v>
      </c>
      <c r="I73">
        <f>IF( COUNTIF('Raw Data'!$A$3:$A$2927,$A73)=0,0,SUMIF('Raw Data'!$A$3:$A$2927, $A73,'Raw Data'!F$3:F$2927) / COUNTIF('Raw Data'!$A$3:$A$2927,$A73))</f>
        <v>0</v>
      </c>
      <c r="J73">
        <f>IF( COUNTIF('Raw Data'!$A$3:$A$2927,$A73)=0,0,SUMIF('Raw Data'!$A$3:$A$2927, $A73,'Raw Data'!G$3:G$2927) / COUNTIF('Raw Data'!$A$3:$A$2927,$A73))</f>
        <v>0</v>
      </c>
      <c r="K73">
        <f>IF( COUNTIF('Raw Data'!$A$3:$A$2927,$A73)=0,0,SUMIF('Raw Data'!$A$3:$A$2927, $A73,'Raw Data'!H$3:H$2927) / COUNTIF('Raw Data'!$A$3:$A$2927,$A73))</f>
        <v>0</v>
      </c>
      <c r="L73">
        <f>MAX(IF('Raw Data'!$A$3:$A$927=$A73, 'Raw Data'!$N$3:$N$927))</f>
        <v>0</v>
      </c>
      <c r="M73">
        <f>IF( COUNTIF('Raw Data'!$A$3:$A$2927,$A73)=0,0,SUMIF('Raw Data'!$A$3:$A$2927, $A73,'Raw Data'!J$3:J$2927) / COUNTIF('Raw Data'!$A$3:$A$2927,$A73))</f>
        <v>0</v>
      </c>
      <c r="N73">
        <f>IF( COUNTIF('Raw Data'!$A$3:$A$2927,$A73)=0,0,SUMIF('Raw Data'!$A$3:$A$2927, $A73,'Raw Data'!K$3:K$2927) / COUNTIF('Raw Data'!$A$3:$A$2927,$A73))</f>
        <v>0</v>
      </c>
      <c r="O73">
        <f>IF( COUNTIF('Raw Data'!$A$3:$A$2927,$A73)=0,0,SUMIF('Raw Data'!$A$3:$A$2927, $A73,'Raw Data'!L$3:L$2927) / COUNTIF('Raw Data'!$A$3:$A$2927,$A73))</f>
        <v>0</v>
      </c>
      <c r="P73" s="58">
        <f>IF( COUNTIF('Raw Data'!$A$3:$A$2927,$A73)=0,0,SUMIF('Raw Data'!$A$3:$A$2927, $A73,'Raw Data'!M$3:M$2927) / COUNTIF('Raw Data'!$A$3:$A$2927,$A73))</f>
        <v>0</v>
      </c>
      <c r="Q73">
        <f>MAX(IF('Raw Data'!$A$3:$A$927=$A73, 'Raw Data'!$Z$3:$Z$927))</f>
        <v>0</v>
      </c>
      <c r="R73">
        <f>MAX(IF('Raw Data'!$A$3:$A$927=$A73, 'Raw Data'!$T$3:$T$927))</f>
        <v>0</v>
      </c>
      <c r="S73">
        <f>IF( COUNTIF('Raw Data'!$A$3:$A$2927,$A73)=0,0,SUMIF('Raw Data'!$A$3:$A$2927, $A73,'Raw Data'!P$3:P$2927) / COUNTIF('Raw Data'!$A$3:$A$2927,$A73))</f>
        <v>0</v>
      </c>
      <c r="T73">
        <f>IF( COUNTIF('Raw Data'!$A$3:$A$2927,$A73)=0,0,SUMIF('Raw Data'!$A$3:$A$2927, $A73,'Raw Data'!Q$3:Q$2927) / COUNTIF('Raw Data'!$A$3:$A$2927,$A73))</f>
        <v>0</v>
      </c>
      <c r="U73">
        <f>IF( COUNTIF('Raw Data'!$A$3:$A$2927,$A73)=0,0,SUMIF('Raw Data'!$A$3:$A$2927, $A73,'Raw Data'!R$3:R$2927) / COUNTIF('Raw Data'!$A$3:$A$2927,$A73))</f>
        <v>0</v>
      </c>
      <c r="V73">
        <f>IF( COUNTIF('Raw Data'!$A$3:$A$2927,$A73)=0,0,SUMIF('Raw Data'!$A$3:$A$2927, $A73,'Raw Data'!S$3:S$2927) / COUNTIF('Raw Data'!$A$3:$A$2927,$A73))</f>
        <v>0</v>
      </c>
      <c r="W73">
        <f>MAX(IF('Raw Data'!$A$3:$A$927=$A73, 'Raw Data'!$Y$3:$Y$927))</f>
        <v>0</v>
      </c>
      <c r="X73">
        <f>IF( COUNTIF('Raw Data'!$A$3:$A$2927,$A73)=0,0,SUMIF('Raw Data'!$A$3:$A$2927, $A73,'Raw Data'!U$3:U$2927) / COUNTIF('Raw Data'!$A$3:$A$2927,$A73))</f>
        <v>0</v>
      </c>
      <c r="Y73">
        <f>IF( COUNTIF('Raw Data'!$A$3:$A$2927,$A73)=0,0,SUMIF('Raw Data'!$A$3:$A$2927, $A73,'Raw Data'!V$3:V$2927) / COUNTIF('Raw Data'!$A$3:$A$2927,$A73))</f>
        <v>0</v>
      </c>
      <c r="Z73">
        <f>IF( COUNTIF('Raw Data'!$A$3:$A$2927,$A73)=0,0,SUMIF('Raw Data'!$A$3:$A$2927, $A73,'Raw Data'!W$3:W$2927) / COUNTIF('Raw Data'!$A$3:$A$2927,$A73))</f>
        <v>0</v>
      </c>
      <c r="AA73">
        <f>IF( COUNTIF('Raw Data'!$A$3:$A$2927,$A73)=0,0,SUMIF('Raw Data'!$A$3:$A$2927, $A73,'Raw Data'!X$3:X$2927) / COUNTIF('Raw Data'!$A$3:$A$2927,$A73))</f>
        <v>0</v>
      </c>
      <c r="AB73">
        <f>IF( COUNTIF('Raw Data'!$A$3:$A$2927,$A73)=0,0,SUMIF('Raw Data'!$A$3:$A$2927, $A73,'Raw Data'!AA$3:AA$2927) / COUNTIF('Raw Data'!$A$3:$A$2927,$A73))</f>
        <v>68.666666666666671</v>
      </c>
      <c r="AC73">
        <f>IF( COUNTIF('Raw Data'!$A$3:$A$2927,$A73)=0,0,SUMIF('Raw Data'!$A$3:$A$2927, $A73,'Raw Data'!AB$3:AB$2927) / COUNTIF('Raw Data'!$A$3:$A$2927,$A73))</f>
        <v>0</v>
      </c>
      <c r="AD73">
        <f>IF( COUNTIF('Raw Data'!$A$3:$A$2927,$A73)=0,0,SUMIF('Raw Data'!$A$3:$A$2927, $A73,'Raw Data'!AC$3:AC$2927) / COUNTIF('Raw Data'!$A$3:$A$2927,$A73))</f>
        <v>0.44444444444444442</v>
      </c>
      <c r="AE73" s="117">
        <f>IF( COUNTIF('Raw Data'!$A$3:$A$2927,$A73)=0,0,SUMIF('Raw Data'!$A$3:$A$2927, $A73,'Raw Data'!AD$3:AD$2927) / COUNTIF('Raw Data'!$A$3:$A$2927,$A73))</f>
        <v>0</v>
      </c>
      <c r="AF73">
        <f>IF( COUNTIF('Raw Data'!$A$3:$A$2927,$A73)=0,0,SUMIF('Raw Data'!$A$3:$A$2927, $A73,'Raw Data'!AE$3:AE$2927) / COUNTIF('Raw Data'!$A$3:$A$2927,$A73))</f>
        <v>0.22222222222222221</v>
      </c>
      <c r="AG73">
        <f>IF( COUNTIF('Raw Data'!$A$3:$A$2927,$A73)=0,0,SUMIF('Raw Data'!$A$3:$A$2927, $A73,'Raw Data'!AF$3:AF$2927) / COUNTIF('Raw Data'!$A$3:$A$2927,$A73))</f>
        <v>0</v>
      </c>
      <c r="AH73">
        <f>IF( COUNTIF('Raw Data'!$A$3:$A$2927,$A73)=0,0,SUMIF('Raw Data'!$A$3:$A$2927, $A73,'Raw Data'!AG$3:AG$2927) / COUNTIF('Raw Data'!$A$3:$A$2927,$A73))</f>
        <v>1.3333333333333333</v>
      </c>
      <c r="AI73">
        <f>IF( COUNTIF('Raw Data'!$A$3:$A$2927,$A73)=0,0,SUMIF('Raw Data'!$A$3:$A$2927, $A73,'Raw Data'!AH$3:AH$2927) / COUNTIF('Raw Data'!$A$3:$A$2927,$A73))</f>
        <v>0</v>
      </c>
      <c r="AJ73" s="117">
        <f>COUNTIF('Raw Data'!A$3:A$2927, $A73)</f>
        <v>9</v>
      </c>
      <c r="AK73">
        <f t="shared" si="11"/>
        <v>-22</v>
      </c>
      <c r="AL73">
        <f t="shared" si="12"/>
        <v>-2.4444444444444446</v>
      </c>
      <c r="AM73">
        <f t="shared" si="13"/>
        <v>-1.8844444444444444</v>
      </c>
    </row>
    <row r="74" spans="1:39">
      <c r="A74">
        <v>6987</v>
      </c>
      <c r="B74" t="s">
        <v>230</v>
      </c>
      <c r="C74">
        <f t="shared" si="9"/>
        <v>5.4444444444444446</v>
      </c>
      <c r="D74">
        <f t="shared" si="10"/>
        <v>0.44444444444444442</v>
      </c>
      <c r="E74">
        <f>IF( COUNTIF('Raw Data'!$A$3:$A$2927,$A74)=0,0,SUMIF('Raw Data'!$A$3:$A$2927, $A74,'Raw Data'!D$3:D$2927) / COUNTIF('Raw Data'!$A$3:$A$2927,$A74))</f>
        <v>1.2222222222222223</v>
      </c>
      <c r="F74">
        <f>MAX(IF('Raw Data'!$A$3:$A$927=$A74, 'Raw Data'!$O$3:$O$927))</f>
        <v>0</v>
      </c>
      <c r="G74">
        <f>MAX(IF('Raw Data'!$A$3:$A$927=$A74, 'Raw Data'!$I$3:$I$927))</f>
        <v>0</v>
      </c>
      <c r="H74">
        <f>IF( COUNTIF('Raw Data'!$A$3:$A$2927,$A74)=0,0,SUMIF('Raw Data'!$A$3:$A$2927, $A74,'Raw Data'!E$3:E$2927) / COUNTIF('Raw Data'!$A$3:$A$2927,$A74))</f>
        <v>0</v>
      </c>
      <c r="I74">
        <f>IF( COUNTIF('Raw Data'!$A$3:$A$2927,$A74)=0,0,SUMIF('Raw Data'!$A$3:$A$2927, $A74,'Raw Data'!F$3:F$2927) / COUNTIF('Raw Data'!$A$3:$A$2927,$A74))</f>
        <v>0</v>
      </c>
      <c r="J74">
        <f>IF( COUNTIF('Raw Data'!$A$3:$A$2927,$A74)=0,0,SUMIF('Raw Data'!$A$3:$A$2927, $A74,'Raw Data'!G$3:G$2927) / COUNTIF('Raw Data'!$A$3:$A$2927,$A74))</f>
        <v>0</v>
      </c>
      <c r="K74">
        <f>IF( COUNTIF('Raw Data'!$A$3:$A$2927,$A74)=0,0,SUMIF('Raw Data'!$A$3:$A$2927, $A74,'Raw Data'!H$3:H$2927) / COUNTIF('Raw Data'!$A$3:$A$2927,$A74))</f>
        <v>0</v>
      </c>
      <c r="L74">
        <f>MAX(IF('Raw Data'!$A$3:$A$927=$A74, 'Raw Data'!$N$3:$N$927))</f>
        <v>0</v>
      </c>
      <c r="M74">
        <f>IF( COUNTIF('Raw Data'!$A$3:$A$2927,$A74)=0,0,SUMIF('Raw Data'!$A$3:$A$2927, $A74,'Raw Data'!J$3:J$2927) / COUNTIF('Raw Data'!$A$3:$A$2927,$A74))</f>
        <v>0</v>
      </c>
      <c r="N74">
        <f>IF( COUNTIF('Raw Data'!$A$3:$A$2927,$A74)=0,0,SUMIF('Raw Data'!$A$3:$A$2927, $A74,'Raw Data'!K$3:K$2927) / COUNTIF('Raw Data'!$A$3:$A$2927,$A74))</f>
        <v>0</v>
      </c>
      <c r="O74">
        <f>IF( COUNTIF('Raw Data'!$A$3:$A$2927,$A74)=0,0,SUMIF('Raw Data'!$A$3:$A$2927, $A74,'Raw Data'!L$3:L$2927) / COUNTIF('Raw Data'!$A$3:$A$2927,$A74))</f>
        <v>0</v>
      </c>
      <c r="P74" s="58">
        <f>IF( COUNTIF('Raw Data'!$A$3:$A$2927,$A74)=0,0,SUMIF('Raw Data'!$A$3:$A$2927, $A74,'Raw Data'!M$3:M$2927) / COUNTIF('Raw Data'!$A$3:$A$2927,$A74))</f>
        <v>0</v>
      </c>
      <c r="Q74">
        <f>MAX(IF('Raw Data'!$A$3:$A$927=$A74, 'Raw Data'!$Z$3:$Z$927))</f>
        <v>0</v>
      </c>
      <c r="R74">
        <f>MAX(IF('Raw Data'!$A$3:$A$927=$A74, 'Raw Data'!$T$3:$T$927))</f>
        <v>0</v>
      </c>
      <c r="S74">
        <f>IF( COUNTIF('Raw Data'!$A$3:$A$2927,$A74)=0,0,SUMIF('Raw Data'!$A$3:$A$2927, $A74,'Raw Data'!P$3:P$2927) / COUNTIF('Raw Data'!$A$3:$A$2927,$A74))</f>
        <v>0.1111111111111111</v>
      </c>
      <c r="T74">
        <f>IF( COUNTIF('Raw Data'!$A$3:$A$2927,$A74)=0,0,SUMIF('Raw Data'!$A$3:$A$2927, $A74,'Raw Data'!Q$3:Q$2927) / COUNTIF('Raw Data'!$A$3:$A$2927,$A74))</f>
        <v>0.1111111111111111</v>
      </c>
      <c r="U74">
        <f>IF( COUNTIF('Raw Data'!$A$3:$A$2927,$A74)=0,0,SUMIF('Raw Data'!$A$3:$A$2927, $A74,'Raw Data'!R$3:R$2927) / COUNTIF('Raw Data'!$A$3:$A$2927,$A74))</f>
        <v>0</v>
      </c>
      <c r="V74">
        <f>IF( COUNTIF('Raw Data'!$A$3:$A$2927,$A74)=0,0,SUMIF('Raw Data'!$A$3:$A$2927, $A74,'Raw Data'!S$3:S$2927) / COUNTIF('Raw Data'!$A$3:$A$2927,$A74))</f>
        <v>0</v>
      </c>
      <c r="W74">
        <f>MAX(IF('Raw Data'!$A$3:$A$927=$A74, 'Raw Data'!$Y$3:$Y$927))</f>
        <v>0</v>
      </c>
      <c r="X74">
        <f>IF( COUNTIF('Raw Data'!$A$3:$A$2927,$A74)=0,0,SUMIF('Raw Data'!$A$3:$A$2927, $A74,'Raw Data'!U$3:U$2927) / COUNTIF('Raw Data'!$A$3:$A$2927,$A74))</f>
        <v>0</v>
      </c>
      <c r="Y74">
        <f>IF( COUNTIF('Raw Data'!$A$3:$A$2927,$A74)=0,0,SUMIF('Raw Data'!$A$3:$A$2927, $A74,'Raw Data'!V$3:V$2927) / COUNTIF('Raw Data'!$A$3:$A$2927,$A74))</f>
        <v>0</v>
      </c>
      <c r="Z74">
        <f>IF( COUNTIF('Raw Data'!$A$3:$A$2927,$A74)=0,0,SUMIF('Raw Data'!$A$3:$A$2927, $A74,'Raw Data'!W$3:W$2927) / COUNTIF('Raw Data'!$A$3:$A$2927,$A74))</f>
        <v>0</v>
      </c>
      <c r="AA74">
        <f>IF( COUNTIF('Raw Data'!$A$3:$A$2927,$A74)=0,0,SUMIF('Raw Data'!$A$3:$A$2927, $A74,'Raw Data'!X$3:X$2927) / COUNTIF('Raw Data'!$A$3:$A$2927,$A74))</f>
        <v>0</v>
      </c>
      <c r="AB74">
        <f>IF( COUNTIF('Raw Data'!$A$3:$A$2927,$A74)=0,0,SUMIF('Raw Data'!$A$3:$A$2927, $A74,'Raw Data'!AA$3:AA$2927) / COUNTIF('Raw Data'!$A$3:$A$2927,$A74))</f>
        <v>70.333333333333329</v>
      </c>
      <c r="AC74">
        <f>IF( COUNTIF('Raw Data'!$A$3:$A$2927,$A74)=0,0,SUMIF('Raw Data'!$A$3:$A$2927, $A74,'Raw Data'!AB$3:AB$2927) / COUNTIF('Raw Data'!$A$3:$A$2927,$A74))</f>
        <v>0</v>
      </c>
      <c r="AD74">
        <f>IF( COUNTIF('Raw Data'!$A$3:$A$2927,$A74)=0,0,SUMIF('Raw Data'!$A$3:$A$2927, $A74,'Raw Data'!AC$3:AC$2927) / COUNTIF('Raw Data'!$A$3:$A$2927,$A74))</f>
        <v>1</v>
      </c>
      <c r="AE74" s="117">
        <f>IF( COUNTIF('Raw Data'!$A$3:$A$2927,$A74)=0,0,SUMIF('Raw Data'!$A$3:$A$2927, $A74,'Raw Data'!AD$3:AD$2927) / COUNTIF('Raw Data'!$A$3:$A$2927,$A74))</f>
        <v>0</v>
      </c>
      <c r="AF74">
        <f>IF( COUNTIF('Raw Data'!$A$3:$A$2927,$A74)=0,0,SUMIF('Raw Data'!$A$3:$A$2927, $A74,'Raw Data'!AE$3:AE$2927) / COUNTIF('Raw Data'!$A$3:$A$2927,$A74))</f>
        <v>0</v>
      </c>
      <c r="AG74">
        <f>IF( COUNTIF('Raw Data'!$A$3:$A$2927,$A74)=0,0,SUMIF('Raw Data'!$A$3:$A$2927, $A74,'Raw Data'!AF$3:AF$2927) / COUNTIF('Raw Data'!$A$3:$A$2927,$A74))</f>
        <v>0</v>
      </c>
      <c r="AH74">
        <f>IF( COUNTIF('Raw Data'!$A$3:$A$2927,$A74)=0,0,SUMIF('Raw Data'!$A$3:$A$2927, $A74,'Raw Data'!AG$3:AG$2927) / COUNTIF('Raw Data'!$A$3:$A$2927,$A74))</f>
        <v>1.6666666666666667</v>
      </c>
      <c r="AI74">
        <f>IF( COUNTIF('Raw Data'!$A$3:$A$2927,$A74)=0,0,SUMIF('Raw Data'!$A$3:$A$2927, $A74,'Raw Data'!AH$3:AH$2927) / COUNTIF('Raw Data'!$A$3:$A$2927,$A74))</f>
        <v>0</v>
      </c>
      <c r="AJ74" s="117">
        <f>COUNTIF('Raw Data'!A$3:A$2927, $A74)</f>
        <v>9</v>
      </c>
      <c r="AK74">
        <f t="shared" si="11"/>
        <v>-0.61111111111111116</v>
      </c>
      <c r="AL74">
        <f t="shared" si="12"/>
        <v>-0.61111111111111116</v>
      </c>
      <c r="AM74">
        <f t="shared" si="13"/>
        <v>-0.55000000000000004</v>
      </c>
    </row>
    <row r="75" spans="1:39">
      <c r="A75">
        <v>7136</v>
      </c>
      <c r="B75" t="s">
        <v>436</v>
      </c>
      <c r="C75">
        <f t="shared" si="9"/>
        <v>0</v>
      </c>
      <c r="D75">
        <f t="shared" si="10"/>
        <v>0</v>
      </c>
      <c r="E75">
        <f>IF( COUNTIF('Raw Data'!$A$3:$A$2927,$A75)=0,0,SUMIF('Raw Data'!$A$3:$A$2927, $A75,'Raw Data'!D$3:D$2927) / COUNTIF('Raw Data'!$A$3:$A$2927,$A75))</f>
        <v>0</v>
      </c>
      <c r="F75">
        <f>MAX(IF('Raw Data'!$A$3:$A$927=$A75, 'Raw Data'!$O$3:$O$927))</f>
        <v>0</v>
      </c>
      <c r="G75">
        <f>MAX(IF('Raw Data'!$A$3:$A$927=$A75, 'Raw Data'!$I$3:$I$927))</f>
        <v>0</v>
      </c>
      <c r="H75">
        <f>IF( COUNTIF('Raw Data'!$A$3:$A$2927,$A75)=0,0,SUMIF('Raw Data'!$A$3:$A$2927, $A75,'Raw Data'!E$3:E$2927) / COUNTIF('Raw Data'!$A$3:$A$2927,$A75))</f>
        <v>0</v>
      </c>
      <c r="I75">
        <f>IF( COUNTIF('Raw Data'!$A$3:$A$2927,$A75)=0,0,SUMIF('Raw Data'!$A$3:$A$2927, $A75,'Raw Data'!F$3:F$2927) / COUNTIF('Raw Data'!$A$3:$A$2927,$A75))</f>
        <v>0</v>
      </c>
      <c r="J75">
        <f>IF( COUNTIF('Raw Data'!$A$3:$A$2927,$A75)=0,0,SUMIF('Raw Data'!$A$3:$A$2927, $A75,'Raw Data'!G$3:G$2927) / COUNTIF('Raw Data'!$A$3:$A$2927,$A75))</f>
        <v>0</v>
      </c>
      <c r="K75">
        <f>IF( COUNTIF('Raw Data'!$A$3:$A$2927,$A75)=0,0,SUMIF('Raw Data'!$A$3:$A$2927, $A75,'Raw Data'!H$3:H$2927) / COUNTIF('Raw Data'!$A$3:$A$2927,$A75))</f>
        <v>0</v>
      </c>
      <c r="L75">
        <f>MAX(IF('Raw Data'!$A$3:$A$927=$A75, 'Raw Data'!$N$3:$N$927))</f>
        <v>0</v>
      </c>
      <c r="M75">
        <f>IF( COUNTIF('Raw Data'!$A$3:$A$2927,$A75)=0,0,SUMIF('Raw Data'!$A$3:$A$2927, $A75,'Raw Data'!J$3:J$2927) / COUNTIF('Raw Data'!$A$3:$A$2927,$A75))</f>
        <v>0</v>
      </c>
      <c r="N75">
        <f>IF( COUNTIF('Raw Data'!$A$3:$A$2927,$A75)=0,0,SUMIF('Raw Data'!$A$3:$A$2927, $A75,'Raw Data'!K$3:K$2927) / COUNTIF('Raw Data'!$A$3:$A$2927,$A75))</f>
        <v>0</v>
      </c>
      <c r="O75">
        <f>IF( COUNTIF('Raw Data'!$A$3:$A$2927,$A75)=0,0,SUMIF('Raw Data'!$A$3:$A$2927, $A75,'Raw Data'!L$3:L$2927) / COUNTIF('Raw Data'!$A$3:$A$2927,$A75))</f>
        <v>0</v>
      </c>
      <c r="P75" s="58">
        <f>IF( COUNTIF('Raw Data'!$A$3:$A$2927,$A75)=0,0,SUMIF('Raw Data'!$A$3:$A$2927, $A75,'Raw Data'!M$3:M$2927) / COUNTIF('Raw Data'!$A$3:$A$2927,$A75))</f>
        <v>0</v>
      </c>
      <c r="Q75">
        <f>MAX(IF('Raw Data'!$A$3:$A$927=$A75, 'Raw Data'!$Z$3:$Z$927))</f>
        <v>0</v>
      </c>
      <c r="R75">
        <f>MAX(IF('Raw Data'!$A$3:$A$927=$A75, 'Raw Data'!$T$3:$T$927))</f>
        <v>0</v>
      </c>
      <c r="S75">
        <f>IF( COUNTIF('Raw Data'!$A$3:$A$2927,$A75)=0,0,SUMIF('Raw Data'!$A$3:$A$2927, $A75,'Raw Data'!P$3:P$2927) / COUNTIF('Raw Data'!$A$3:$A$2927,$A75))</f>
        <v>0</v>
      </c>
      <c r="T75">
        <f>IF( COUNTIF('Raw Data'!$A$3:$A$2927,$A75)=0,0,SUMIF('Raw Data'!$A$3:$A$2927, $A75,'Raw Data'!Q$3:Q$2927) / COUNTIF('Raw Data'!$A$3:$A$2927,$A75))</f>
        <v>0</v>
      </c>
      <c r="U75">
        <f>IF( COUNTIF('Raw Data'!$A$3:$A$2927,$A75)=0,0,SUMIF('Raw Data'!$A$3:$A$2927, $A75,'Raw Data'!R$3:R$2927) / COUNTIF('Raw Data'!$A$3:$A$2927,$A75))</f>
        <v>0</v>
      </c>
      <c r="V75">
        <f>IF( COUNTIF('Raw Data'!$A$3:$A$2927,$A75)=0,0,SUMIF('Raw Data'!$A$3:$A$2927, $A75,'Raw Data'!S$3:S$2927) / COUNTIF('Raw Data'!$A$3:$A$2927,$A75))</f>
        <v>0</v>
      </c>
      <c r="W75">
        <f>MAX(IF('Raw Data'!$A$3:$A$927=$A75, 'Raw Data'!$Y$3:$Y$927))</f>
        <v>0</v>
      </c>
      <c r="X75">
        <f>IF( COUNTIF('Raw Data'!$A$3:$A$2927,$A75)=0,0,SUMIF('Raw Data'!$A$3:$A$2927, $A75,'Raw Data'!U$3:U$2927) / COUNTIF('Raw Data'!$A$3:$A$2927,$A75))</f>
        <v>0</v>
      </c>
      <c r="Y75">
        <f>IF( COUNTIF('Raw Data'!$A$3:$A$2927,$A75)=0,0,SUMIF('Raw Data'!$A$3:$A$2927, $A75,'Raw Data'!V$3:V$2927) / COUNTIF('Raw Data'!$A$3:$A$2927,$A75))</f>
        <v>0</v>
      </c>
      <c r="Z75">
        <f>IF( COUNTIF('Raw Data'!$A$3:$A$2927,$A75)=0,0,SUMIF('Raw Data'!$A$3:$A$2927, $A75,'Raw Data'!W$3:W$2927) / COUNTIF('Raw Data'!$A$3:$A$2927,$A75))</f>
        <v>0</v>
      </c>
      <c r="AA75">
        <f>IF( COUNTIF('Raw Data'!$A$3:$A$2927,$A75)=0,0,SUMIF('Raw Data'!$A$3:$A$2927, $A75,'Raw Data'!X$3:X$2927) / COUNTIF('Raw Data'!$A$3:$A$2927,$A75))</f>
        <v>0</v>
      </c>
      <c r="AB75">
        <f>IF( COUNTIF('Raw Data'!$A$3:$A$2927,$A75)=0,0,SUMIF('Raw Data'!$A$3:$A$2927, $A75,'Raw Data'!AA$3:AA$2927) / COUNTIF('Raw Data'!$A$3:$A$2927,$A75))</f>
        <v>0</v>
      </c>
      <c r="AC75">
        <f>IF( COUNTIF('Raw Data'!$A$3:$A$2927,$A75)=0,0,SUMIF('Raw Data'!$A$3:$A$2927, $A75,'Raw Data'!AB$3:AB$2927) / COUNTIF('Raw Data'!$A$3:$A$2927,$A75))</f>
        <v>0</v>
      </c>
      <c r="AD75">
        <f>IF( COUNTIF('Raw Data'!$A$3:$A$2927,$A75)=0,0,SUMIF('Raw Data'!$A$3:$A$2927, $A75,'Raw Data'!AC$3:AC$2927) / COUNTIF('Raw Data'!$A$3:$A$2927,$A75))</f>
        <v>0</v>
      </c>
      <c r="AE75" s="117">
        <f>IF( COUNTIF('Raw Data'!$A$3:$A$2927,$A75)=0,0,SUMIF('Raw Data'!$A$3:$A$2927, $A75,'Raw Data'!AD$3:AD$2927) / COUNTIF('Raw Data'!$A$3:$A$2927,$A75))</f>
        <v>0</v>
      </c>
      <c r="AF75">
        <f>IF( COUNTIF('Raw Data'!$A$3:$A$2927,$A75)=0,0,SUMIF('Raw Data'!$A$3:$A$2927, $A75,'Raw Data'!AE$3:AE$2927) / COUNTIF('Raw Data'!$A$3:$A$2927,$A75))</f>
        <v>0</v>
      </c>
      <c r="AG75">
        <f>IF( COUNTIF('Raw Data'!$A$3:$A$2927,$A75)=0,0,SUMIF('Raw Data'!$A$3:$A$2927, $A75,'Raw Data'!AF$3:AF$2927) / COUNTIF('Raw Data'!$A$3:$A$2927,$A75))</f>
        <v>0</v>
      </c>
      <c r="AH75">
        <f>IF( COUNTIF('Raw Data'!$A$3:$A$2927,$A75)=0,0,SUMIF('Raw Data'!$A$3:$A$2927, $A75,'Raw Data'!AG$3:AG$2927) / COUNTIF('Raw Data'!$A$3:$A$2927,$A75))</f>
        <v>0</v>
      </c>
      <c r="AI75">
        <f>IF( COUNTIF('Raw Data'!$A$3:$A$2927,$A75)=0,0,SUMIF('Raw Data'!$A$3:$A$2927, $A75,'Raw Data'!AH$3:AH$2927) / COUNTIF('Raw Data'!$A$3:$A$2927,$A75))</f>
        <v>0</v>
      </c>
      <c r="AJ75" s="117">
        <f>COUNTIF('Raw Data'!A$3:A$2927, $A75)</f>
        <v>0</v>
      </c>
      <c r="AK75">
        <f t="shared" si="11"/>
        <v>-21</v>
      </c>
      <c r="AL75">
        <f t="shared" si="12"/>
        <v>-1.5</v>
      </c>
      <c r="AM75">
        <f t="shared" si="13"/>
        <v>-1</v>
      </c>
    </row>
    <row r="76" spans="1:39">
      <c r="A76">
        <v>7200</v>
      </c>
      <c r="B76" t="s">
        <v>460</v>
      </c>
      <c r="C76">
        <f t="shared" si="9"/>
        <v>0</v>
      </c>
      <c r="D76">
        <f t="shared" si="10"/>
        <v>0</v>
      </c>
      <c r="E76">
        <f>IF( COUNTIF('Raw Data'!$A$3:$A$2927,$A76)=0,0,SUMIF('Raw Data'!$A$3:$A$2927, $A76,'Raw Data'!D$3:D$2927) / COUNTIF('Raw Data'!$A$3:$A$2927,$A76))</f>
        <v>0</v>
      </c>
      <c r="F76">
        <f>MAX(IF('Raw Data'!$A$3:$A$927=$A76, 'Raw Data'!$O$3:$O$927))</f>
        <v>0</v>
      </c>
      <c r="G76">
        <f>MAX(IF('Raw Data'!$A$3:$A$927=$A76, 'Raw Data'!$I$3:$I$927))</f>
        <v>0</v>
      </c>
      <c r="H76">
        <f>IF( COUNTIF('Raw Data'!$A$3:$A$2927,$A76)=0,0,SUMIF('Raw Data'!$A$3:$A$2927, $A76,'Raw Data'!E$3:E$2927) / COUNTIF('Raw Data'!$A$3:$A$2927,$A76))</f>
        <v>0</v>
      </c>
      <c r="I76">
        <f>IF( COUNTIF('Raw Data'!$A$3:$A$2927,$A76)=0,0,SUMIF('Raw Data'!$A$3:$A$2927, $A76,'Raw Data'!F$3:F$2927) / COUNTIF('Raw Data'!$A$3:$A$2927,$A76))</f>
        <v>0</v>
      </c>
      <c r="J76">
        <f>IF( COUNTIF('Raw Data'!$A$3:$A$2927,$A76)=0,0,SUMIF('Raw Data'!$A$3:$A$2927, $A76,'Raw Data'!G$3:G$2927) / COUNTIF('Raw Data'!$A$3:$A$2927,$A76))</f>
        <v>0</v>
      </c>
      <c r="K76">
        <f>IF( COUNTIF('Raw Data'!$A$3:$A$2927,$A76)=0,0,SUMIF('Raw Data'!$A$3:$A$2927, $A76,'Raw Data'!H$3:H$2927) / COUNTIF('Raw Data'!$A$3:$A$2927,$A76))</f>
        <v>0</v>
      </c>
      <c r="L76">
        <f>MAX(IF('Raw Data'!$A$3:$A$927=$A76, 'Raw Data'!$N$3:$N$927))</f>
        <v>0</v>
      </c>
      <c r="M76">
        <f>IF( COUNTIF('Raw Data'!$A$3:$A$2927,$A76)=0,0,SUMIF('Raw Data'!$A$3:$A$2927, $A76,'Raw Data'!J$3:J$2927) / COUNTIF('Raw Data'!$A$3:$A$2927,$A76))</f>
        <v>0</v>
      </c>
      <c r="N76">
        <f>IF( COUNTIF('Raw Data'!$A$3:$A$2927,$A76)=0,0,SUMIF('Raw Data'!$A$3:$A$2927, $A76,'Raw Data'!K$3:K$2927) / COUNTIF('Raw Data'!$A$3:$A$2927,$A76))</f>
        <v>0</v>
      </c>
      <c r="O76">
        <f>IF( COUNTIF('Raw Data'!$A$3:$A$2927,$A76)=0,0,SUMIF('Raw Data'!$A$3:$A$2927, $A76,'Raw Data'!L$3:L$2927) / COUNTIF('Raw Data'!$A$3:$A$2927,$A76))</f>
        <v>0</v>
      </c>
      <c r="P76" s="58">
        <f>IF( COUNTIF('Raw Data'!$A$3:$A$2927,$A76)=0,0,SUMIF('Raw Data'!$A$3:$A$2927, $A76,'Raw Data'!M$3:M$2927) / COUNTIF('Raw Data'!$A$3:$A$2927,$A76))</f>
        <v>0</v>
      </c>
      <c r="Q76">
        <f>MAX(IF('Raw Data'!$A$3:$A$927=$A76, 'Raw Data'!$Z$3:$Z$927))</f>
        <v>0</v>
      </c>
      <c r="R76">
        <f>MAX(IF('Raw Data'!$A$3:$A$927=$A76, 'Raw Data'!$T$3:$T$927))</f>
        <v>0</v>
      </c>
      <c r="S76">
        <f>IF( COUNTIF('Raw Data'!$A$3:$A$2927,$A76)=0,0,SUMIF('Raw Data'!$A$3:$A$2927, $A76,'Raw Data'!P$3:P$2927) / COUNTIF('Raw Data'!$A$3:$A$2927,$A76))</f>
        <v>0</v>
      </c>
      <c r="T76">
        <f>IF( COUNTIF('Raw Data'!$A$3:$A$2927,$A76)=0,0,SUMIF('Raw Data'!$A$3:$A$2927, $A76,'Raw Data'!Q$3:Q$2927) / COUNTIF('Raw Data'!$A$3:$A$2927,$A76))</f>
        <v>0</v>
      </c>
      <c r="U76">
        <f>IF( COUNTIF('Raw Data'!$A$3:$A$2927,$A76)=0,0,SUMIF('Raw Data'!$A$3:$A$2927, $A76,'Raw Data'!R$3:R$2927) / COUNTIF('Raw Data'!$A$3:$A$2927,$A76))</f>
        <v>0</v>
      </c>
      <c r="V76">
        <f>IF( COUNTIF('Raw Data'!$A$3:$A$2927,$A76)=0,0,SUMIF('Raw Data'!$A$3:$A$2927, $A76,'Raw Data'!S$3:S$2927) / COUNTIF('Raw Data'!$A$3:$A$2927,$A76))</f>
        <v>0</v>
      </c>
      <c r="W76">
        <f>MAX(IF('Raw Data'!$A$3:$A$927=$A76, 'Raw Data'!$Y$3:$Y$927))</f>
        <v>0</v>
      </c>
      <c r="X76">
        <f>IF( COUNTIF('Raw Data'!$A$3:$A$2927,$A76)=0,0,SUMIF('Raw Data'!$A$3:$A$2927, $A76,'Raw Data'!U$3:U$2927) / COUNTIF('Raw Data'!$A$3:$A$2927,$A76))</f>
        <v>0</v>
      </c>
      <c r="Y76">
        <f>IF( COUNTIF('Raw Data'!$A$3:$A$2927,$A76)=0,0,SUMIF('Raw Data'!$A$3:$A$2927, $A76,'Raw Data'!V$3:V$2927) / COUNTIF('Raw Data'!$A$3:$A$2927,$A76))</f>
        <v>0</v>
      </c>
      <c r="Z76">
        <f>IF( COUNTIF('Raw Data'!$A$3:$A$2927,$A76)=0,0,SUMIF('Raw Data'!$A$3:$A$2927, $A76,'Raw Data'!W$3:W$2927) / COUNTIF('Raw Data'!$A$3:$A$2927,$A76))</f>
        <v>0</v>
      </c>
      <c r="AA76">
        <f>IF( COUNTIF('Raw Data'!$A$3:$A$2927,$A76)=0,0,SUMIF('Raw Data'!$A$3:$A$2927, $A76,'Raw Data'!X$3:X$2927) / COUNTIF('Raw Data'!$A$3:$A$2927,$A76))</f>
        <v>0</v>
      </c>
      <c r="AB76">
        <f>IF( COUNTIF('Raw Data'!$A$3:$A$2927,$A76)=0,0,SUMIF('Raw Data'!$A$3:$A$2927, $A76,'Raw Data'!AA$3:AA$2927) / COUNTIF('Raw Data'!$A$3:$A$2927,$A76))</f>
        <v>0</v>
      </c>
      <c r="AC76">
        <f>IF( COUNTIF('Raw Data'!$A$3:$A$2927,$A76)=0,0,SUMIF('Raw Data'!$A$3:$A$2927, $A76,'Raw Data'!AB$3:AB$2927) / COUNTIF('Raw Data'!$A$3:$A$2927,$A76))</f>
        <v>0</v>
      </c>
      <c r="AD76">
        <f>IF( COUNTIF('Raw Data'!$A$3:$A$2927,$A76)=0,0,SUMIF('Raw Data'!$A$3:$A$2927, $A76,'Raw Data'!AC$3:AC$2927) / COUNTIF('Raw Data'!$A$3:$A$2927,$A76))</f>
        <v>0</v>
      </c>
      <c r="AE76" s="117">
        <f>IF( COUNTIF('Raw Data'!$A$3:$A$2927,$A76)=0,0,SUMIF('Raw Data'!$A$3:$A$2927, $A76,'Raw Data'!AD$3:AD$2927) / COUNTIF('Raw Data'!$A$3:$A$2927,$A76))</f>
        <v>0</v>
      </c>
      <c r="AF76">
        <f>IF( COUNTIF('Raw Data'!$A$3:$A$2927,$A76)=0,0,SUMIF('Raw Data'!$A$3:$A$2927, $A76,'Raw Data'!AE$3:AE$2927) / COUNTIF('Raw Data'!$A$3:$A$2927,$A76))</f>
        <v>0</v>
      </c>
      <c r="AG76">
        <f>IF( COUNTIF('Raw Data'!$A$3:$A$2927,$A76)=0,0,SUMIF('Raw Data'!$A$3:$A$2927, $A76,'Raw Data'!AF$3:AF$2927) / COUNTIF('Raw Data'!$A$3:$A$2927,$A76))</f>
        <v>0</v>
      </c>
      <c r="AH76">
        <f>IF( COUNTIF('Raw Data'!$A$3:$A$2927,$A76)=0,0,SUMIF('Raw Data'!$A$3:$A$2927, $A76,'Raw Data'!AG$3:AG$2927) / COUNTIF('Raw Data'!$A$3:$A$2927,$A76))</f>
        <v>0</v>
      </c>
      <c r="AI76">
        <f>IF( COUNTIF('Raw Data'!$A$3:$A$2927,$A76)=0,0,SUMIF('Raw Data'!$A$3:$A$2927, $A76,'Raw Data'!AH$3:AH$2927) / COUNTIF('Raw Data'!$A$3:$A$2927,$A76))</f>
        <v>0</v>
      </c>
      <c r="AJ76" s="117">
        <f>COUNTIF('Raw Data'!A$3:A$2927, $A76)</f>
        <v>0</v>
      </c>
      <c r="AK76">
        <f t="shared" si="11"/>
        <v>-21</v>
      </c>
      <c r="AL76">
        <f t="shared" si="12"/>
        <v>-1.5</v>
      </c>
      <c r="AM76">
        <f t="shared" si="13"/>
        <v>-1</v>
      </c>
    </row>
    <row r="77" spans="1:39">
      <c r="A77">
        <v>7267</v>
      </c>
      <c r="B77" t="s">
        <v>231</v>
      </c>
      <c r="C77">
        <f t="shared" si="9"/>
        <v>13.888888888888891</v>
      </c>
      <c r="D77">
        <f t="shared" si="10"/>
        <v>9.6666666666666679</v>
      </c>
      <c r="E77">
        <f>IF( COUNTIF('Raw Data'!$A$3:$A$2927,$A77)=0,0,SUMIF('Raw Data'!$A$3:$A$2927, $A77,'Raw Data'!D$3:D$2927) / COUNTIF('Raw Data'!$A$3:$A$2927,$A77))</f>
        <v>1.3333333333333333</v>
      </c>
      <c r="F77">
        <f>MAX(IF('Raw Data'!$A$3:$A$927=$A77, 'Raw Data'!$O$3:$O$927))</f>
        <v>0</v>
      </c>
      <c r="G77">
        <f>MAX(IF('Raw Data'!$A$3:$A$927=$A77, 'Raw Data'!$I$3:$I$927))</f>
        <v>0</v>
      </c>
      <c r="H77">
        <f>IF( COUNTIF('Raw Data'!$A$3:$A$2927,$A77)=0,0,SUMIF('Raw Data'!$A$3:$A$2927, $A77,'Raw Data'!E$3:E$2927) / COUNTIF('Raw Data'!$A$3:$A$2927,$A77))</f>
        <v>0</v>
      </c>
      <c r="I77">
        <f>IF( COUNTIF('Raw Data'!$A$3:$A$2927,$A77)=0,0,SUMIF('Raw Data'!$A$3:$A$2927, $A77,'Raw Data'!F$3:F$2927) / COUNTIF('Raw Data'!$A$3:$A$2927,$A77))</f>
        <v>0</v>
      </c>
      <c r="J77">
        <f>IF( COUNTIF('Raw Data'!$A$3:$A$2927,$A77)=0,0,SUMIF('Raw Data'!$A$3:$A$2927, $A77,'Raw Data'!G$3:G$2927) / COUNTIF('Raw Data'!$A$3:$A$2927,$A77))</f>
        <v>0</v>
      </c>
      <c r="K77">
        <f>IF( COUNTIF('Raw Data'!$A$3:$A$2927,$A77)=0,0,SUMIF('Raw Data'!$A$3:$A$2927, $A77,'Raw Data'!H$3:H$2927) / COUNTIF('Raw Data'!$A$3:$A$2927,$A77))</f>
        <v>0</v>
      </c>
      <c r="L77">
        <f>MAX(IF('Raw Data'!$A$3:$A$927=$A77, 'Raw Data'!$N$3:$N$927))</f>
        <v>0</v>
      </c>
      <c r="M77">
        <f>IF( COUNTIF('Raw Data'!$A$3:$A$2927,$A77)=0,0,SUMIF('Raw Data'!$A$3:$A$2927, $A77,'Raw Data'!J$3:J$2927) / COUNTIF('Raw Data'!$A$3:$A$2927,$A77))</f>
        <v>0.1111111111111111</v>
      </c>
      <c r="N77">
        <f>IF( COUNTIF('Raw Data'!$A$3:$A$2927,$A77)=0,0,SUMIF('Raw Data'!$A$3:$A$2927, $A77,'Raw Data'!K$3:K$2927) / COUNTIF('Raw Data'!$A$3:$A$2927,$A77))</f>
        <v>0</v>
      </c>
      <c r="O77">
        <f>IF( COUNTIF('Raw Data'!$A$3:$A$2927,$A77)=0,0,SUMIF('Raw Data'!$A$3:$A$2927, $A77,'Raw Data'!L$3:L$2927) / COUNTIF('Raw Data'!$A$3:$A$2927,$A77))</f>
        <v>0</v>
      </c>
      <c r="P77" s="58">
        <f>IF( COUNTIF('Raw Data'!$A$3:$A$2927,$A77)=0,0,SUMIF('Raw Data'!$A$3:$A$2927, $A77,'Raw Data'!M$3:M$2927) / COUNTIF('Raw Data'!$A$3:$A$2927,$A77))</f>
        <v>0</v>
      </c>
      <c r="Q77">
        <f>MAX(IF('Raw Data'!$A$3:$A$927=$A77, 'Raw Data'!$Z$3:$Z$927))</f>
        <v>0</v>
      </c>
      <c r="R77">
        <f>MAX(IF('Raw Data'!$A$3:$A$927=$A77, 'Raw Data'!$T$3:$T$927))</f>
        <v>0</v>
      </c>
      <c r="S77">
        <f>IF( COUNTIF('Raw Data'!$A$3:$A$2927,$A77)=0,0,SUMIF('Raw Data'!$A$3:$A$2927, $A77,'Raw Data'!P$3:P$2927) / COUNTIF('Raw Data'!$A$3:$A$2927,$A77))</f>
        <v>0</v>
      </c>
      <c r="T77">
        <f>IF( COUNTIF('Raw Data'!$A$3:$A$2927,$A77)=0,0,SUMIF('Raw Data'!$A$3:$A$2927, $A77,'Raw Data'!Q$3:Q$2927) / COUNTIF('Raw Data'!$A$3:$A$2927,$A77))</f>
        <v>0</v>
      </c>
      <c r="U77">
        <f>IF( COUNTIF('Raw Data'!$A$3:$A$2927,$A77)=0,0,SUMIF('Raw Data'!$A$3:$A$2927, $A77,'Raw Data'!R$3:R$2927) / COUNTIF('Raw Data'!$A$3:$A$2927,$A77))</f>
        <v>0</v>
      </c>
      <c r="V77">
        <f>IF( COUNTIF('Raw Data'!$A$3:$A$2927,$A77)=0,0,SUMIF('Raw Data'!$A$3:$A$2927, $A77,'Raw Data'!S$3:S$2927) / COUNTIF('Raw Data'!$A$3:$A$2927,$A77))</f>
        <v>0</v>
      </c>
      <c r="W77">
        <f>MAX(IF('Raw Data'!$A$3:$A$927=$A77, 'Raw Data'!$Y$3:$Y$927))</f>
        <v>0</v>
      </c>
      <c r="X77">
        <f>IF( COUNTIF('Raw Data'!$A$3:$A$2927,$A77)=0,0,SUMIF('Raw Data'!$A$3:$A$2927, $A77,'Raw Data'!U$3:U$2927) / COUNTIF('Raw Data'!$A$3:$A$2927,$A77))</f>
        <v>3</v>
      </c>
      <c r="Y77">
        <f>IF( COUNTIF('Raw Data'!$A$3:$A$2927,$A77)=0,0,SUMIF('Raw Data'!$A$3:$A$2927, $A77,'Raw Data'!V$3:V$2927) / COUNTIF('Raw Data'!$A$3:$A$2927,$A77))</f>
        <v>0.1111111111111111</v>
      </c>
      <c r="Z77">
        <f>IF( COUNTIF('Raw Data'!$A$3:$A$2927,$A77)=0,0,SUMIF('Raw Data'!$A$3:$A$2927, $A77,'Raw Data'!W$3:W$2927) / COUNTIF('Raw Data'!$A$3:$A$2927,$A77))</f>
        <v>0</v>
      </c>
      <c r="AA77">
        <f>IF( COUNTIF('Raw Data'!$A$3:$A$2927,$A77)=0,0,SUMIF('Raw Data'!$A$3:$A$2927, $A77,'Raw Data'!X$3:X$2927) / COUNTIF('Raw Data'!$A$3:$A$2927,$A77))</f>
        <v>0</v>
      </c>
      <c r="AB77">
        <f>IF( COUNTIF('Raw Data'!$A$3:$A$2927,$A77)=0,0,SUMIF('Raw Data'!$A$3:$A$2927, $A77,'Raw Data'!AA$3:AA$2927) / COUNTIF('Raw Data'!$A$3:$A$2927,$A77))</f>
        <v>2</v>
      </c>
      <c r="AC77">
        <f>IF( COUNTIF('Raw Data'!$A$3:$A$2927,$A77)=0,0,SUMIF('Raw Data'!$A$3:$A$2927, $A77,'Raw Data'!AB$3:AB$2927) / COUNTIF('Raw Data'!$A$3:$A$2927,$A77))</f>
        <v>0</v>
      </c>
      <c r="AD77">
        <f>IF( COUNTIF('Raw Data'!$A$3:$A$2927,$A77)=0,0,SUMIF('Raw Data'!$A$3:$A$2927, $A77,'Raw Data'!AC$3:AC$2927) / COUNTIF('Raw Data'!$A$3:$A$2927,$A77))</f>
        <v>0.44444444444444442</v>
      </c>
      <c r="AE77" s="117">
        <f>IF( COUNTIF('Raw Data'!$A$3:$A$2927,$A77)=0,0,SUMIF('Raw Data'!$A$3:$A$2927, $A77,'Raw Data'!AD$3:AD$2927) / COUNTIF('Raw Data'!$A$3:$A$2927,$A77))</f>
        <v>0</v>
      </c>
      <c r="AF77">
        <f>IF( COUNTIF('Raw Data'!$A$3:$A$2927,$A77)=0,0,SUMIF('Raw Data'!$A$3:$A$2927, $A77,'Raw Data'!AE$3:AE$2927) / COUNTIF('Raw Data'!$A$3:$A$2927,$A77))</f>
        <v>0</v>
      </c>
      <c r="AG77">
        <f>IF( COUNTIF('Raw Data'!$A$3:$A$2927,$A77)=0,0,SUMIF('Raw Data'!$A$3:$A$2927, $A77,'Raw Data'!AF$3:AF$2927) / COUNTIF('Raw Data'!$A$3:$A$2927,$A77))</f>
        <v>0</v>
      </c>
      <c r="AH77">
        <f>IF( COUNTIF('Raw Data'!$A$3:$A$2927,$A77)=0,0,SUMIF('Raw Data'!$A$3:$A$2927, $A77,'Raw Data'!AG$3:AG$2927) / COUNTIF('Raw Data'!$A$3:$A$2927,$A77))</f>
        <v>1.1111111111111112</v>
      </c>
      <c r="AI77">
        <f>IF( COUNTIF('Raw Data'!$A$3:$A$2927,$A77)=0,0,SUMIF('Raw Data'!$A$3:$A$2927, $A77,'Raw Data'!AH$3:AH$2927) / COUNTIF('Raw Data'!$A$3:$A$2927,$A77))</f>
        <v>0.1111111111111111</v>
      </c>
      <c r="AJ77" s="117">
        <f>COUNTIF('Raw Data'!A$3:A$2927, $A77)</f>
        <v>9</v>
      </c>
      <c r="AK77">
        <f t="shared" si="11"/>
        <v>1.3488888888888892</v>
      </c>
      <c r="AL77">
        <f t="shared" si="12"/>
        <v>-0.77777777777777779</v>
      </c>
      <c r="AM77">
        <f t="shared" si="13"/>
        <v>2.8833333333333333</v>
      </c>
    </row>
    <row r="78" spans="1:39">
      <c r="A78">
        <v>7456</v>
      </c>
      <c r="B78" t="s">
        <v>437</v>
      </c>
      <c r="C78">
        <f t="shared" si="9"/>
        <v>0</v>
      </c>
      <c r="D78">
        <f t="shared" si="10"/>
        <v>0</v>
      </c>
      <c r="E78">
        <f>IF( COUNTIF('Raw Data'!$A$3:$A$2927,$A78)=0,0,SUMIF('Raw Data'!$A$3:$A$2927, $A78,'Raw Data'!D$3:D$2927) / COUNTIF('Raw Data'!$A$3:$A$2927,$A78))</f>
        <v>0</v>
      </c>
      <c r="F78">
        <f>MAX(IF('Raw Data'!$A$3:$A$927=$A78, 'Raw Data'!$O$3:$O$927))</f>
        <v>0</v>
      </c>
      <c r="G78">
        <f>MAX(IF('Raw Data'!$A$3:$A$927=$A78, 'Raw Data'!$I$3:$I$927))</f>
        <v>0</v>
      </c>
      <c r="H78">
        <f>IF( COUNTIF('Raw Data'!$A$3:$A$2927,$A78)=0,0,SUMIF('Raw Data'!$A$3:$A$2927, $A78,'Raw Data'!E$3:E$2927) / COUNTIF('Raw Data'!$A$3:$A$2927,$A78))</f>
        <v>0</v>
      </c>
      <c r="I78">
        <f>IF( COUNTIF('Raw Data'!$A$3:$A$2927,$A78)=0,0,SUMIF('Raw Data'!$A$3:$A$2927, $A78,'Raw Data'!F$3:F$2927) / COUNTIF('Raw Data'!$A$3:$A$2927,$A78))</f>
        <v>0</v>
      </c>
      <c r="J78">
        <f>IF( COUNTIF('Raw Data'!$A$3:$A$2927,$A78)=0,0,SUMIF('Raw Data'!$A$3:$A$2927, $A78,'Raw Data'!G$3:G$2927) / COUNTIF('Raw Data'!$A$3:$A$2927,$A78))</f>
        <v>0</v>
      </c>
      <c r="K78">
        <f>IF( COUNTIF('Raw Data'!$A$3:$A$2927,$A78)=0,0,SUMIF('Raw Data'!$A$3:$A$2927, $A78,'Raw Data'!H$3:H$2927) / COUNTIF('Raw Data'!$A$3:$A$2927,$A78))</f>
        <v>0</v>
      </c>
      <c r="L78">
        <f>MAX(IF('Raw Data'!$A$3:$A$927=$A78, 'Raw Data'!$N$3:$N$927))</f>
        <v>0</v>
      </c>
      <c r="M78">
        <f>IF( COUNTIF('Raw Data'!$A$3:$A$2927,$A78)=0,0,SUMIF('Raw Data'!$A$3:$A$2927, $A78,'Raw Data'!J$3:J$2927) / COUNTIF('Raw Data'!$A$3:$A$2927,$A78))</f>
        <v>0</v>
      </c>
      <c r="N78">
        <f>IF( COUNTIF('Raw Data'!$A$3:$A$2927,$A78)=0,0,SUMIF('Raw Data'!$A$3:$A$2927, $A78,'Raw Data'!K$3:K$2927) / COUNTIF('Raw Data'!$A$3:$A$2927,$A78))</f>
        <v>0</v>
      </c>
      <c r="O78">
        <f>IF( COUNTIF('Raw Data'!$A$3:$A$2927,$A78)=0,0,SUMIF('Raw Data'!$A$3:$A$2927, $A78,'Raw Data'!L$3:L$2927) / COUNTIF('Raw Data'!$A$3:$A$2927,$A78))</f>
        <v>0</v>
      </c>
      <c r="P78" s="58">
        <f>IF( COUNTIF('Raw Data'!$A$3:$A$2927,$A78)=0,0,SUMIF('Raw Data'!$A$3:$A$2927, $A78,'Raw Data'!M$3:M$2927) / COUNTIF('Raw Data'!$A$3:$A$2927,$A78))</f>
        <v>0</v>
      </c>
      <c r="Q78">
        <f>MAX(IF('Raw Data'!$A$3:$A$927=$A78, 'Raw Data'!$Z$3:$Z$927))</f>
        <v>0</v>
      </c>
      <c r="R78">
        <f>MAX(IF('Raw Data'!$A$3:$A$927=$A78, 'Raw Data'!$T$3:$T$927))</f>
        <v>0</v>
      </c>
      <c r="S78">
        <f>IF( COUNTIF('Raw Data'!$A$3:$A$2927,$A78)=0,0,SUMIF('Raw Data'!$A$3:$A$2927, $A78,'Raw Data'!P$3:P$2927) / COUNTIF('Raw Data'!$A$3:$A$2927,$A78))</f>
        <v>0</v>
      </c>
      <c r="T78">
        <f>IF( COUNTIF('Raw Data'!$A$3:$A$2927,$A78)=0,0,SUMIF('Raw Data'!$A$3:$A$2927, $A78,'Raw Data'!Q$3:Q$2927) / COUNTIF('Raw Data'!$A$3:$A$2927,$A78))</f>
        <v>0</v>
      </c>
      <c r="U78">
        <f>IF( COUNTIF('Raw Data'!$A$3:$A$2927,$A78)=0,0,SUMIF('Raw Data'!$A$3:$A$2927, $A78,'Raw Data'!R$3:R$2927) / COUNTIF('Raw Data'!$A$3:$A$2927,$A78))</f>
        <v>0</v>
      </c>
      <c r="V78">
        <f>IF( COUNTIF('Raw Data'!$A$3:$A$2927,$A78)=0,0,SUMIF('Raw Data'!$A$3:$A$2927, $A78,'Raw Data'!S$3:S$2927) / COUNTIF('Raw Data'!$A$3:$A$2927,$A78))</f>
        <v>0</v>
      </c>
      <c r="W78">
        <f>MAX(IF('Raw Data'!$A$3:$A$927=$A78, 'Raw Data'!$Y$3:$Y$927))</f>
        <v>0</v>
      </c>
      <c r="X78">
        <f>IF( COUNTIF('Raw Data'!$A$3:$A$2927,$A78)=0,0,SUMIF('Raw Data'!$A$3:$A$2927, $A78,'Raw Data'!U$3:U$2927) / COUNTIF('Raw Data'!$A$3:$A$2927,$A78))</f>
        <v>0</v>
      </c>
      <c r="Y78">
        <f>IF( COUNTIF('Raw Data'!$A$3:$A$2927,$A78)=0,0,SUMIF('Raw Data'!$A$3:$A$2927, $A78,'Raw Data'!V$3:V$2927) / COUNTIF('Raw Data'!$A$3:$A$2927,$A78))</f>
        <v>0</v>
      </c>
      <c r="Z78">
        <f>IF( COUNTIF('Raw Data'!$A$3:$A$2927,$A78)=0,0,SUMIF('Raw Data'!$A$3:$A$2927, $A78,'Raw Data'!W$3:W$2927) / COUNTIF('Raw Data'!$A$3:$A$2927,$A78))</f>
        <v>0</v>
      </c>
      <c r="AA78">
        <f>IF( COUNTIF('Raw Data'!$A$3:$A$2927,$A78)=0,0,SUMIF('Raw Data'!$A$3:$A$2927, $A78,'Raw Data'!X$3:X$2927) / COUNTIF('Raw Data'!$A$3:$A$2927,$A78))</f>
        <v>0</v>
      </c>
      <c r="AB78">
        <f>IF( COUNTIF('Raw Data'!$A$3:$A$2927,$A78)=0,0,SUMIF('Raw Data'!$A$3:$A$2927, $A78,'Raw Data'!AA$3:AA$2927) / COUNTIF('Raw Data'!$A$3:$A$2927,$A78))</f>
        <v>0</v>
      </c>
      <c r="AC78">
        <f>IF( COUNTIF('Raw Data'!$A$3:$A$2927,$A78)=0,0,SUMIF('Raw Data'!$A$3:$A$2927, $A78,'Raw Data'!AB$3:AB$2927) / COUNTIF('Raw Data'!$A$3:$A$2927,$A78))</f>
        <v>0</v>
      </c>
      <c r="AD78">
        <f>IF( COUNTIF('Raw Data'!$A$3:$A$2927,$A78)=0,0,SUMIF('Raw Data'!$A$3:$A$2927, $A78,'Raw Data'!AC$3:AC$2927) / COUNTIF('Raw Data'!$A$3:$A$2927,$A78))</f>
        <v>0</v>
      </c>
      <c r="AE78" s="117">
        <f>IF( COUNTIF('Raw Data'!$A$3:$A$2927,$A78)=0,0,SUMIF('Raw Data'!$A$3:$A$2927, $A78,'Raw Data'!AD$3:AD$2927) / COUNTIF('Raw Data'!$A$3:$A$2927,$A78))</f>
        <v>0</v>
      </c>
      <c r="AF78">
        <f>IF( COUNTIF('Raw Data'!$A$3:$A$2927,$A78)=0,0,SUMIF('Raw Data'!$A$3:$A$2927, $A78,'Raw Data'!AE$3:AE$2927) / COUNTIF('Raw Data'!$A$3:$A$2927,$A78))</f>
        <v>0</v>
      </c>
      <c r="AG78">
        <f>IF( COUNTIF('Raw Data'!$A$3:$A$2927,$A78)=0,0,SUMIF('Raw Data'!$A$3:$A$2927, $A78,'Raw Data'!AF$3:AF$2927) / COUNTIF('Raw Data'!$A$3:$A$2927,$A78))</f>
        <v>0</v>
      </c>
      <c r="AH78">
        <f>IF( COUNTIF('Raw Data'!$A$3:$A$2927,$A78)=0,0,SUMIF('Raw Data'!$A$3:$A$2927, $A78,'Raw Data'!AG$3:AG$2927) / COUNTIF('Raw Data'!$A$3:$A$2927,$A78))</f>
        <v>0</v>
      </c>
      <c r="AI78">
        <f>IF( COUNTIF('Raw Data'!$A$3:$A$2927,$A78)=0,0,SUMIF('Raw Data'!$A$3:$A$2927, $A78,'Raw Data'!AH$3:AH$2927) / COUNTIF('Raw Data'!$A$3:$A$2927,$A78))</f>
        <v>0</v>
      </c>
      <c r="AJ78" s="117">
        <f>COUNTIF('Raw Data'!A$3:A$2927, $A78)</f>
        <v>0</v>
      </c>
      <c r="AK78">
        <f t="shared" si="11"/>
        <v>-21</v>
      </c>
      <c r="AL78">
        <f t="shared" si="12"/>
        <v>-1.5</v>
      </c>
      <c r="AM78">
        <f t="shared" si="13"/>
        <v>-1</v>
      </c>
    </row>
    <row r="79" spans="1:39">
      <c r="A79">
        <v>7476</v>
      </c>
      <c r="B79" t="s">
        <v>438</v>
      </c>
      <c r="C79">
        <f t="shared" si="9"/>
        <v>14.09090909090909</v>
      </c>
      <c r="D79">
        <f t="shared" si="10"/>
        <v>6.0909090909090917</v>
      </c>
      <c r="E79">
        <f>IF( COUNTIF('Raw Data'!$A$3:$A$2927,$A79)=0,0,SUMIF('Raw Data'!$A$3:$A$2927, $A79,'Raw Data'!D$3:D$2927) / COUNTIF('Raw Data'!$A$3:$A$2927,$A79))</f>
        <v>0.90909090909090906</v>
      </c>
      <c r="F79">
        <f>MAX(IF('Raw Data'!$A$3:$A$927=$A79, 'Raw Data'!$O$3:$O$927))</f>
        <v>0</v>
      </c>
      <c r="G79">
        <f>MAX(IF('Raw Data'!$A$3:$A$927=$A79, 'Raw Data'!$I$3:$I$927))</f>
        <v>0</v>
      </c>
      <c r="H79">
        <f>IF( COUNTIF('Raw Data'!$A$3:$A$2927,$A79)=0,0,SUMIF('Raw Data'!$A$3:$A$2927, $A79,'Raw Data'!E$3:E$2927) / COUNTIF('Raw Data'!$A$3:$A$2927,$A79))</f>
        <v>0.18181818181818182</v>
      </c>
      <c r="I79">
        <f>IF( COUNTIF('Raw Data'!$A$3:$A$2927,$A79)=0,0,SUMIF('Raw Data'!$A$3:$A$2927, $A79,'Raw Data'!F$3:F$2927) / COUNTIF('Raw Data'!$A$3:$A$2927,$A79))</f>
        <v>0</v>
      </c>
      <c r="J79">
        <f>IF( COUNTIF('Raw Data'!$A$3:$A$2927,$A79)=0,0,SUMIF('Raw Data'!$A$3:$A$2927, $A79,'Raw Data'!G$3:G$2927) / COUNTIF('Raw Data'!$A$3:$A$2927,$A79))</f>
        <v>9.0909090909090912E-2</v>
      </c>
      <c r="K79">
        <f>IF( COUNTIF('Raw Data'!$A$3:$A$2927,$A79)=0,0,SUMIF('Raw Data'!$A$3:$A$2927, $A79,'Raw Data'!H$3:H$2927) / COUNTIF('Raw Data'!$A$3:$A$2927,$A79))</f>
        <v>0</v>
      </c>
      <c r="L79">
        <f>MAX(IF('Raw Data'!$A$3:$A$927=$A79, 'Raw Data'!$N$3:$N$927))</f>
        <v>0</v>
      </c>
      <c r="M79">
        <f>IF( COUNTIF('Raw Data'!$A$3:$A$2927,$A79)=0,0,SUMIF('Raw Data'!$A$3:$A$2927, $A79,'Raw Data'!J$3:J$2927) / COUNTIF('Raw Data'!$A$3:$A$2927,$A79))</f>
        <v>0</v>
      </c>
      <c r="N79">
        <f>IF( COUNTIF('Raw Data'!$A$3:$A$2927,$A79)=0,0,SUMIF('Raw Data'!$A$3:$A$2927, $A79,'Raw Data'!K$3:K$2927) / COUNTIF('Raw Data'!$A$3:$A$2927,$A79))</f>
        <v>0</v>
      </c>
      <c r="O79">
        <f>IF( COUNTIF('Raw Data'!$A$3:$A$2927,$A79)=0,0,SUMIF('Raw Data'!$A$3:$A$2927, $A79,'Raw Data'!L$3:L$2927) / COUNTIF('Raw Data'!$A$3:$A$2927,$A79))</f>
        <v>0</v>
      </c>
      <c r="P79" s="58">
        <f>IF( COUNTIF('Raw Data'!$A$3:$A$2927,$A79)=0,0,SUMIF('Raw Data'!$A$3:$A$2927, $A79,'Raw Data'!M$3:M$2927) / COUNTIF('Raw Data'!$A$3:$A$2927,$A79))</f>
        <v>0</v>
      </c>
      <c r="Q79">
        <f>MAX(IF('Raw Data'!$A$3:$A$927=$A79, 'Raw Data'!$Z$3:$Z$927))</f>
        <v>0</v>
      </c>
      <c r="R79">
        <f>MAX(IF('Raw Data'!$A$3:$A$927=$A79, 'Raw Data'!$T$3:$T$927))</f>
        <v>0</v>
      </c>
      <c r="S79">
        <f>IF( COUNTIF('Raw Data'!$A$3:$A$2927,$A79)=0,0,SUMIF('Raw Data'!$A$3:$A$2927, $A79,'Raw Data'!P$3:P$2927) / COUNTIF('Raw Data'!$A$3:$A$2927,$A79))</f>
        <v>0.18181818181818182</v>
      </c>
      <c r="T79">
        <f>IF( COUNTIF('Raw Data'!$A$3:$A$2927,$A79)=0,0,SUMIF('Raw Data'!$A$3:$A$2927, $A79,'Raw Data'!Q$3:Q$2927) / COUNTIF('Raw Data'!$A$3:$A$2927,$A79))</f>
        <v>0.36363636363636365</v>
      </c>
      <c r="U79">
        <f>IF( COUNTIF('Raw Data'!$A$3:$A$2927,$A79)=0,0,SUMIF('Raw Data'!$A$3:$A$2927, $A79,'Raw Data'!R$3:R$2927) / COUNTIF('Raw Data'!$A$3:$A$2927,$A79))</f>
        <v>0.45454545454545453</v>
      </c>
      <c r="V79">
        <f>IF( COUNTIF('Raw Data'!$A$3:$A$2927,$A79)=0,0,SUMIF('Raw Data'!$A$3:$A$2927, $A79,'Raw Data'!S$3:S$2927) / COUNTIF('Raw Data'!$A$3:$A$2927,$A79))</f>
        <v>0.45454545454545453</v>
      </c>
      <c r="W79">
        <f>MAX(IF('Raw Data'!$A$3:$A$927=$A79, 'Raw Data'!$Y$3:$Y$927))</f>
        <v>0</v>
      </c>
      <c r="X79">
        <f>IF( COUNTIF('Raw Data'!$A$3:$A$2927,$A79)=0,0,SUMIF('Raw Data'!$A$3:$A$2927, $A79,'Raw Data'!U$3:U$2927) / COUNTIF('Raw Data'!$A$3:$A$2927,$A79))</f>
        <v>1.5454545454545454</v>
      </c>
      <c r="Y79">
        <f>IF( COUNTIF('Raw Data'!$A$3:$A$2927,$A79)=0,0,SUMIF('Raw Data'!$A$3:$A$2927, $A79,'Raw Data'!V$3:V$2927) / COUNTIF('Raw Data'!$A$3:$A$2927,$A79))</f>
        <v>0</v>
      </c>
      <c r="Z79">
        <f>IF( COUNTIF('Raw Data'!$A$3:$A$2927,$A79)=0,0,SUMIF('Raw Data'!$A$3:$A$2927, $A79,'Raw Data'!W$3:W$2927) / COUNTIF('Raw Data'!$A$3:$A$2927,$A79))</f>
        <v>0.27272727272727271</v>
      </c>
      <c r="AA79">
        <f>IF( COUNTIF('Raw Data'!$A$3:$A$2927,$A79)=0,0,SUMIF('Raw Data'!$A$3:$A$2927, $A79,'Raw Data'!X$3:X$2927) / COUNTIF('Raw Data'!$A$3:$A$2927,$A79))</f>
        <v>0</v>
      </c>
      <c r="AB79">
        <f>IF( COUNTIF('Raw Data'!$A$3:$A$2927,$A79)=0,0,SUMIF('Raw Data'!$A$3:$A$2927, $A79,'Raw Data'!AA$3:AA$2927) / COUNTIF('Raw Data'!$A$3:$A$2927,$A79))</f>
        <v>0</v>
      </c>
      <c r="AC79">
        <f>IF( COUNTIF('Raw Data'!$A$3:$A$2927,$A79)=0,0,SUMIF('Raw Data'!$A$3:$A$2927, $A79,'Raw Data'!AB$3:AB$2927) / COUNTIF('Raw Data'!$A$3:$A$2927,$A79))</f>
        <v>0</v>
      </c>
      <c r="AD79">
        <f>IF( COUNTIF('Raw Data'!$A$3:$A$2927,$A79)=0,0,SUMIF('Raw Data'!$A$3:$A$2927, $A79,'Raw Data'!AC$3:AC$2927) / COUNTIF('Raw Data'!$A$3:$A$2927,$A79))</f>
        <v>0.90909090909090906</v>
      </c>
      <c r="AE79" s="117">
        <f>IF( COUNTIF('Raw Data'!$A$3:$A$2927,$A79)=0,0,SUMIF('Raw Data'!$A$3:$A$2927, $A79,'Raw Data'!AD$3:AD$2927) / COUNTIF('Raw Data'!$A$3:$A$2927,$A79))</f>
        <v>0</v>
      </c>
      <c r="AF79">
        <f>IF( COUNTIF('Raw Data'!$A$3:$A$2927,$A79)=0,0,SUMIF('Raw Data'!$A$3:$A$2927, $A79,'Raw Data'!AE$3:AE$2927) / COUNTIF('Raw Data'!$A$3:$A$2927,$A79))</f>
        <v>9.0909090909090912E-2</v>
      </c>
      <c r="AG79">
        <f>IF( COUNTIF('Raw Data'!$A$3:$A$2927,$A79)=0,0,SUMIF('Raw Data'!$A$3:$A$2927, $A79,'Raw Data'!AF$3:AF$2927) / COUNTIF('Raw Data'!$A$3:$A$2927,$A79))</f>
        <v>9.0909090909090912E-2</v>
      </c>
      <c r="AH79">
        <f>IF( COUNTIF('Raw Data'!$A$3:$A$2927,$A79)=0,0,SUMIF('Raw Data'!$A$3:$A$2927, $A79,'Raw Data'!AG$3:AG$2927) / COUNTIF('Raw Data'!$A$3:$A$2927,$A79))</f>
        <v>0.27272727272727271</v>
      </c>
      <c r="AI79">
        <f>IF( COUNTIF('Raw Data'!$A$3:$A$2927,$A79)=0,0,SUMIF('Raw Data'!$A$3:$A$2927, $A79,'Raw Data'!AH$3:AH$2927) / COUNTIF('Raw Data'!$A$3:$A$2927,$A79))</f>
        <v>0</v>
      </c>
      <c r="AJ79" s="117">
        <f>COUNTIF('Raw Data'!A$3:A$2927, $A79)</f>
        <v>11</v>
      </c>
      <c r="AK79">
        <f t="shared" si="11"/>
        <v>2.2454545454545456</v>
      </c>
      <c r="AL79">
        <f t="shared" si="12"/>
        <v>0.54545454545454541</v>
      </c>
      <c r="AM79">
        <f t="shared" si="13"/>
        <v>0.68272727272727263</v>
      </c>
    </row>
    <row r="80" spans="1:39">
      <c r="A80">
        <v>7520</v>
      </c>
      <c r="B80" t="s">
        <v>439</v>
      </c>
      <c r="C80">
        <f t="shared" si="9"/>
        <v>0</v>
      </c>
      <c r="D80">
        <f t="shared" si="10"/>
        <v>0</v>
      </c>
      <c r="E80">
        <f>IF( COUNTIF('Raw Data'!$A$3:$A$2927,$A80)=0,0,SUMIF('Raw Data'!$A$3:$A$2927, $A80,'Raw Data'!D$3:D$2927) / COUNTIF('Raw Data'!$A$3:$A$2927,$A80))</f>
        <v>0</v>
      </c>
      <c r="F80">
        <f>MAX(IF('Raw Data'!$A$3:$A$927=$A80, 'Raw Data'!$O$3:$O$927))</f>
        <v>0</v>
      </c>
      <c r="G80">
        <f>MAX(IF('Raw Data'!$A$3:$A$927=$A80, 'Raw Data'!$I$3:$I$927))</f>
        <v>0</v>
      </c>
      <c r="H80">
        <f>IF( COUNTIF('Raw Data'!$A$3:$A$2927,$A80)=0,0,SUMIF('Raw Data'!$A$3:$A$2927, $A80,'Raw Data'!E$3:E$2927) / COUNTIF('Raw Data'!$A$3:$A$2927,$A80))</f>
        <v>0</v>
      </c>
      <c r="I80">
        <f>IF( COUNTIF('Raw Data'!$A$3:$A$2927,$A80)=0,0,SUMIF('Raw Data'!$A$3:$A$2927, $A80,'Raw Data'!F$3:F$2927) / COUNTIF('Raw Data'!$A$3:$A$2927,$A80))</f>
        <v>0</v>
      </c>
      <c r="J80">
        <f>IF( COUNTIF('Raw Data'!$A$3:$A$2927,$A80)=0,0,SUMIF('Raw Data'!$A$3:$A$2927, $A80,'Raw Data'!G$3:G$2927) / COUNTIF('Raw Data'!$A$3:$A$2927,$A80))</f>
        <v>0</v>
      </c>
      <c r="K80">
        <f>IF( COUNTIF('Raw Data'!$A$3:$A$2927,$A80)=0,0,SUMIF('Raw Data'!$A$3:$A$2927, $A80,'Raw Data'!H$3:H$2927) / COUNTIF('Raw Data'!$A$3:$A$2927,$A80))</f>
        <v>0</v>
      </c>
      <c r="L80">
        <f>MAX(IF('Raw Data'!$A$3:$A$927=$A80, 'Raw Data'!$N$3:$N$927))</f>
        <v>0</v>
      </c>
      <c r="M80">
        <f>IF( COUNTIF('Raw Data'!$A$3:$A$2927,$A80)=0,0,SUMIF('Raw Data'!$A$3:$A$2927, $A80,'Raw Data'!J$3:J$2927) / COUNTIF('Raw Data'!$A$3:$A$2927,$A80))</f>
        <v>0</v>
      </c>
      <c r="N80">
        <f>IF( COUNTIF('Raw Data'!$A$3:$A$2927,$A80)=0,0,SUMIF('Raw Data'!$A$3:$A$2927, $A80,'Raw Data'!K$3:K$2927) / COUNTIF('Raw Data'!$A$3:$A$2927,$A80))</f>
        <v>0</v>
      </c>
      <c r="O80">
        <f>IF( COUNTIF('Raw Data'!$A$3:$A$2927,$A80)=0,0,SUMIF('Raw Data'!$A$3:$A$2927, $A80,'Raw Data'!L$3:L$2927) / COUNTIF('Raw Data'!$A$3:$A$2927,$A80))</f>
        <v>0</v>
      </c>
      <c r="P80" s="58">
        <f>IF( COUNTIF('Raw Data'!$A$3:$A$2927,$A80)=0,0,SUMIF('Raw Data'!$A$3:$A$2927, $A80,'Raw Data'!M$3:M$2927) / COUNTIF('Raw Data'!$A$3:$A$2927,$A80))</f>
        <v>0</v>
      </c>
      <c r="Q80">
        <f>MAX(IF('Raw Data'!$A$3:$A$927=$A80, 'Raw Data'!$Z$3:$Z$927))</f>
        <v>0</v>
      </c>
      <c r="R80">
        <f>MAX(IF('Raw Data'!$A$3:$A$927=$A80, 'Raw Data'!$T$3:$T$927))</f>
        <v>0</v>
      </c>
      <c r="S80">
        <f>IF( COUNTIF('Raw Data'!$A$3:$A$2927,$A80)=0,0,SUMIF('Raw Data'!$A$3:$A$2927, $A80,'Raw Data'!P$3:P$2927) / COUNTIF('Raw Data'!$A$3:$A$2927,$A80))</f>
        <v>0</v>
      </c>
      <c r="T80">
        <f>IF( COUNTIF('Raw Data'!$A$3:$A$2927,$A80)=0,0,SUMIF('Raw Data'!$A$3:$A$2927, $A80,'Raw Data'!Q$3:Q$2927) / COUNTIF('Raw Data'!$A$3:$A$2927,$A80))</f>
        <v>0</v>
      </c>
      <c r="U80">
        <f>IF( COUNTIF('Raw Data'!$A$3:$A$2927,$A80)=0,0,SUMIF('Raw Data'!$A$3:$A$2927, $A80,'Raw Data'!R$3:R$2927) / COUNTIF('Raw Data'!$A$3:$A$2927,$A80))</f>
        <v>0</v>
      </c>
      <c r="V80">
        <f>IF( COUNTIF('Raw Data'!$A$3:$A$2927,$A80)=0,0,SUMIF('Raw Data'!$A$3:$A$2927, $A80,'Raw Data'!S$3:S$2927) / COUNTIF('Raw Data'!$A$3:$A$2927,$A80))</f>
        <v>0</v>
      </c>
      <c r="W80">
        <f>MAX(IF('Raw Data'!$A$3:$A$927=$A80, 'Raw Data'!$Y$3:$Y$927))</f>
        <v>0</v>
      </c>
      <c r="X80">
        <f>IF( COUNTIF('Raw Data'!$A$3:$A$2927,$A80)=0,0,SUMIF('Raw Data'!$A$3:$A$2927, $A80,'Raw Data'!U$3:U$2927) / COUNTIF('Raw Data'!$A$3:$A$2927,$A80))</f>
        <v>0</v>
      </c>
      <c r="Y80">
        <f>IF( COUNTIF('Raw Data'!$A$3:$A$2927,$A80)=0,0,SUMIF('Raw Data'!$A$3:$A$2927, $A80,'Raw Data'!V$3:V$2927) / COUNTIF('Raw Data'!$A$3:$A$2927,$A80))</f>
        <v>0</v>
      </c>
      <c r="Z80">
        <f>IF( COUNTIF('Raw Data'!$A$3:$A$2927,$A80)=0,0,SUMIF('Raw Data'!$A$3:$A$2927, $A80,'Raw Data'!W$3:W$2927) / COUNTIF('Raw Data'!$A$3:$A$2927,$A80))</f>
        <v>0</v>
      </c>
      <c r="AA80">
        <f>IF( COUNTIF('Raw Data'!$A$3:$A$2927,$A80)=0,0,SUMIF('Raw Data'!$A$3:$A$2927, $A80,'Raw Data'!X$3:X$2927) / COUNTIF('Raw Data'!$A$3:$A$2927,$A80))</f>
        <v>0</v>
      </c>
      <c r="AB80">
        <f>IF( COUNTIF('Raw Data'!$A$3:$A$2927,$A80)=0,0,SUMIF('Raw Data'!$A$3:$A$2927, $A80,'Raw Data'!AA$3:AA$2927) / COUNTIF('Raw Data'!$A$3:$A$2927,$A80))</f>
        <v>0</v>
      </c>
      <c r="AC80">
        <f>IF( COUNTIF('Raw Data'!$A$3:$A$2927,$A80)=0,0,SUMIF('Raw Data'!$A$3:$A$2927, $A80,'Raw Data'!AB$3:AB$2927) / COUNTIF('Raw Data'!$A$3:$A$2927,$A80))</f>
        <v>0</v>
      </c>
      <c r="AD80">
        <f>IF( COUNTIF('Raw Data'!$A$3:$A$2927,$A80)=0,0,SUMIF('Raw Data'!$A$3:$A$2927, $A80,'Raw Data'!AC$3:AC$2927) / COUNTIF('Raw Data'!$A$3:$A$2927,$A80))</f>
        <v>0</v>
      </c>
      <c r="AE80" s="117">
        <f>IF( COUNTIF('Raw Data'!$A$3:$A$2927,$A80)=0,0,SUMIF('Raw Data'!$A$3:$A$2927, $A80,'Raw Data'!AD$3:AD$2927) / COUNTIF('Raw Data'!$A$3:$A$2927,$A80))</f>
        <v>0</v>
      </c>
      <c r="AF80">
        <f>IF( COUNTIF('Raw Data'!$A$3:$A$2927,$A80)=0,0,SUMIF('Raw Data'!$A$3:$A$2927, $A80,'Raw Data'!AE$3:AE$2927) / COUNTIF('Raw Data'!$A$3:$A$2927,$A80))</f>
        <v>0</v>
      </c>
      <c r="AG80">
        <f>IF( COUNTIF('Raw Data'!$A$3:$A$2927,$A80)=0,0,SUMIF('Raw Data'!$A$3:$A$2927, $A80,'Raw Data'!AF$3:AF$2927) / COUNTIF('Raw Data'!$A$3:$A$2927,$A80))</f>
        <v>0</v>
      </c>
      <c r="AH80">
        <f>IF( COUNTIF('Raw Data'!$A$3:$A$2927,$A80)=0,0,SUMIF('Raw Data'!$A$3:$A$2927, $A80,'Raw Data'!AG$3:AG$2927) / COUNTIF('Raw Data'!$A$3:$A$2927,$A80))</f>
        <v>0</v>
      </c>
      <c r="AI80">
        <f>IF( COUNTIF('Raw Data'!$A$3:$A$2927,$A80)=0,0,SUMIF('Raw Data'!$A$3:$A$2927, $A80,'Raw Data'!AH$3:AH$2927) / COUNTIF('Raw Data'!$A$3:$A$2927,$A80))</f>
        <v>0</v>
      </c>
      <c r="AJ80" s="117">
        <f>COUNTIF('Raw Data'!A$3:A$2927, $A80)</f>
        <v>0</v>
      </c>
      <c r="AK80">
        <f t="shared" si="11"/>
        <v>-21</v>
      </c>
      <c r="AL80">
        <f t="shared" si="12"/>
        <v>-1.5</v>
      </c>
      <c r="AM80">
        <f t="shared" si="13"/>
        <v>-1</v>
      </c>
    </row>
    <row r="81" spans="1:39">
      <c r="A81">
        <v>7564</v>
      </c>
      <c r="B81" t="s">
        <v>232</v>
      </c>
      <c r="C81">
        <f t="shared" si="9"/>
        <v>7.7142857142857144</v>
      </c>
      <c r="D81">
        <f t="shared" si="10"/>
        <v>0.42857142857142855</v>
      </c>
      <c r="E81">
        <f>IF( COUNTIF('Raw Data'!$A$3:$A$2927,$A81)=0,0,SUMIF('Raw Data'!$A$3:$A$2927, $A81,'Raw Data'!D$3:D$2927) / COUNTIF('Raw Data'!$A$3:$A$2927,$A81))</f>
        <v>2</v>
      </c>
      <c r="F81">
        <f>MAX(IF('Raw Data'!$A$3:$A$927=$A81, 'Raw Data'!$O$3:$O$927))</f>
        <v>0</v>
      </c>
      <c r="G81">
        <f>MAX(IF('Raw Data'!$A$3:$A$927=$A81, 'Raw Data'!$I$3:$I$927))</f>
        <v>0</v>
      </c>
      <c r="H81">
        <f>IF( COUNTIF('Raw Data'!$A$3:$A$2927,$A81)=0,0,SUMIF('Raw Data'!$A$3:$A$2927, $A81,'Raw Data'!E$3:E$2927) / COUNTIF('Raw Data'!$A$3:$A$2927,$A81))</f>
        <v>0</v>
      </c>
      <c r="I81">
        <f>IF( COUNTIF('Raw Data'!$A$3:$A$2927,$A81)=0,0,SUMIF('Raw Data'!$A$3:$A$2927, $A81,'Raw Data'!F$3:F$2927) / COUNTIF('Raw Data'!$A$3:$A$2927,$A81))</f>
        <v>0</v>
      </c>
      <c r="J81">
        <f>IF( COUNTIF('Raw Data'!$A$3:$A$2927,$A81)=0,0,SUMIF('Raw Data'!$A$3:$A$2927, $A81,'Raw Data'!G$3:G$2927) / COUNTIF('Raw Data'!$A$3:$A$2927,$A81))</f>
        <v>0</v>
      </c>
      <c r="K81">
        <f>IF( COUNTIF('Raw Data'!$A$3:$A$2927,$A81)=0,0,SUMIF('Raw Data'!$A$3:$A$2927, $A81,'Raw Data'!H$3:H$2927) / COUNTIF('Raw Data'!$A$3:$A$2927,$A81))</f>
        <v>0</v>
      </c>
      <c r="L81">
        <f>MAX(IF('Raw Data'!$A$3:$A$927=$A81, 'Raw Data'!$N$3:$N$927))</f>
        <v>0</v>
      </c>
      <c r="M81">
        <f>IF( COUNTIF('Raw Data'!$A$3:$A$2927,$A81)=0,0,SUMIF('Raw Data'!$A$3:$A$2927, $A81,'Raw Data'!J$3:J$2927) / COUNTIF('Raw Data'!$A$3:$A$2927,$A81))</f>
        <v>0.14285714285714285</v>
      </c>
      <c r="N81">
        <f>IF( COUNTIF('Raw Data'!$A$3:$A$2927,$A81)=0,0,SUMIF('Raw Data'!$A$3:$A$2927, $A81,'Raw Data'!K$3:K$2927) / COUNTIF('Raw Data'!$A$3:$A$2927,$A81))</f>
        <v>0</v>
      </c>
      <c r="O81">
        <f>IF( COUNTIF('Raw Data'!$A$3:$A$2927,$A81)=0,0,SUMIF('Raw Data'!$A$3:$A$2927, $A81,'Raw Data'!L$3:L$2927) / COUNTIF('Raw Data'!$A$3:$A$2927,$A81))</f>
        <v>0</v>
      </c>
      <c r="P81" s="58">
        <f>IF( COUNTIF('Raw Data'!$A$3:$A$2927,$A81)=0,0,SUMIF('Raw Data'!$A$3:$A$2927, $A81,'Raw Data'!M$3:M$2927) / COUNTIF('Raw Data'!$A$3:$A$2927,$A81))</f>
        <v>0</v>
      </c>
      <c r="Q81">
        <f>MAX(IF('Raw Data'!$A$3:$A$927=$A81, 'Raw Data'!$Z$3:$Z$927))</f>
        <v>0</v>
      </c>
      <c r="R81">
        <f>MAX(IF('Raw Data'!$A$3:$A$927=$A81, 'Raw Data'!$T$3:$T$927))</f>
        <v>0</v>
      </c>
      <c r="S81">
        <f>IF( COUNTIF('Raw Data'!$A$3:$A$2927,$A81)=0,0,SUMIF('Raw Data'!$A$3:$A$2927, $A81,'Raw Data'!P$3:P$2927) / COUNTIF('Raw Data'!$A$3:$A$2927,$A81))</f>
        <v>0</v>
      </c>
      <c r="T81">
        <f>IF( COUNTIF('Raw Data'!$A$3:$A$2927,$A81)=0,0,SUMIF('Raw Data'!$A$3:$A$2927, $A81,'Raw Data'!Q$3:Q$2927) / COUNTIF('Raw Data'!$A$3:$A$2927,$A81))</f>
        <v>0</v>
      </c>
      <c r="U81">
        <f>IF( COUNTIF('Raw Data'!$A$3:$A$2927,$A81)=0,0,SUMIF('Raw Data'!$A$3:$A$2927, $A81,'Raw Data'!R$3:R$2927) / COUNTIF('Raw Data'!$A$3:$A$2927,$A81))</f>
        <v>0</v>
      </c>
      <c r="V81">
        <f>IF( COUNTIF('Raw Data'!$A$3:$A$2927,$A81)=0,0,SUMIF('Raw Data'!$A$3:$A$2927, $A81,'Raw Data'!S$3:S$2927) / COUNTIF('Raw Data'!$A$3:$A$2927,$A81))</f>
        <v>0</v>
      </c>
      <c r="W81">
        <f>MAX(IF('Raw Data'!$A$3:$A$927=$A81, 'Raw Data'!$Y$3:$Y$927))</f>
        <v>0</v>
      </c>
      <c r="X81">
        <f>IF( COUNTIF('Raw Data'!$A$3:$A$2927,$A81)=0,0,SUMIF('Raw Data'!$A$3:$A$2927, $A81,'Raw Data'!U$3:U$2927) / COUNTIF('Raw Data'!$A$3:$A$2927,$A81))</f>
        <v>0</v>
      </c>
      <c r="Y81">
        <f>IF( COUNTIF('Raw Data'!$A$3:$A$2927,$A81)=0,0,SUMIF('Raw Data'!$A$3:$A$2927, $A81,'Raw Data'!V$3:V$2927) / COUNTIF('Raw Data'!$A$3:$A$2927,$A81))</f>
        <v>0</v>
      </c>
      <c r="Z81">
        <f>IF( COUNTIF('Raw Data'!$A$3:$A$2927,$A81)=0,0,SUMIF('Raw Data'!$A$3:$A$2927, $A81,'Raw Data'!W$3:W$2927) / COUNTIF('Raw Data'!$A$3:$A$2927,$A81))</f>
        <v>0</v>
      </c>
      <c r="AA81">
        <f>IF( COUNTIF('Raw Data'!$A$3:$A$2927,$A81)=0,0,SUMIF('Raw Data'!$A$3:$A$2927, $A81,'Raw Data'!X$3:X$2927) / COUNTIF('Raw Data'!$A$3:$A$2927,$A81))</f>
        <v>0</v>
      </c>
      <c r="AB81">
        <f>IF( COUNTIF('Raw Data'!$A$3:$A$2927,$A81)=0,0,SUMIF('Raw Data'!$A$3:$A$2927, $A81,'Raw Data'!AA$3:AA$2927) / COUNTIF('Raw Data'!$A$3:$A$2927,$A81))</f>
        <v>40</v>
      </c>
      <c r="AC81">
        <f>IF( COUNTIF('Raw Data'!$A$3:$A$2927,$A81)=0,0,SUMIF('Raw Data'!$A$3:$A$2927, $A81,'Raw Data'!AB$3:AB$2927) / COUNTIF('Raw Data'!$A$3:$A$2927,$A81))</f>
        <v>0.14285714285714285</v>
      </c>
      <c r="AD81">
        <f>IF( COUNTIF('Raw Data'!$A$3:$A$2927,$A81)=0,0,SUMIF('Raw Data'!$A$3:$A$2927, $A81,'Raw Data'!AC$3:AC$2927) / COUNTIF('Raw Data'!$A$3:$A$2927,$A81))</f>
        <v>0.7142857142857143</v>
      </c>
      <c r="AE81" s="117">
        <f>IF( COUNTIF('Raw Data'!$A$3:$A$2927,$A81)=0,0,SUMIF('Raw Data'!$A$3:$A$2927, $A81,'Raw Data'!AD$3:AD$2927) / COUNTIF('Raw Data'!$A$3:$A$2927,$A81))</f>
        <v>0</v>
      </c>
      <c r="AF81">
        <f>IF( COUNTIF('Raw Data'!$A$3:$A$2927,$A81)=0,0,SUMIF('Raw Data'!$A$3:$A$2927, $A81,'Raw Data'!AE$3:AE$2927) / COUNTIF('Raw Data'!$A$3:$A$2927,$A81))</f>
        <v>0</v>
      </c>
      <c r="AG81">
        <f>IF( COUNTIF('Raw Data'!$A$3:$A$2927,$A81)=0,0,SUMIF('Raw Data'!$A$3:$A$2927, $A81,'Raw Data'!AF$3:AF$2927) / COUNTIF('Raw Data'!$A$3:$A$2927,$A81))</f>
        <v>0</v>
      </c>
      <c r="AH81">
        <f>IF( COUNTIF('Raw Data'!$A$3:$A$2927,$A81)=0,0,SUMIF('Raw Data'!$A$3:$A$2927, $A81,'Raw Data'!AG$3:AG$2927) / COUNTIF('Raw Data'!$A$3:$A$2927,$A81))</f>
        <v>1.2857142857142858</v>
      </c>
      <c r="AI81">
        <f>IF( COUNTIF('Raw Data'!$A$3:$A$2927,$A81)=0,0,SUMIF('Raw Data'!$A$3:$A$2927, $A81,'Raw Data'!AH$3:AH$2927) / COUNTIF('Raw Data'!$A$3:$A$2927,$A81))</f>
        <v>0</v>
      </c>
      <c r="AJ81" s="117">
        <f>COUNTIF('Raw Data'!A$3:A$2927, $A81)</f>
        <v>7</v>
      </c>
      <c r="AK81">
        <f t="shared" si="11"/>
        <v>0.4514285714285714</v>
      </c>
      <c r="AL81">
        <f t="shared" si="12"/>
        <v>-0.6428571428571429</v>
      </c>
      <c r="AM81">
        <f t="shared" si="13"/>
        <v>-0.24571428571428577</v>
      </c>
    </row>
    <row r="82" spans="1:39">
      <c r="A82">
        <v>7614</v>
      </c>
      <c r="B82" t="s">
        <v>233</v>
      </c>
      <c r="C82">
        <f t="shared" si="9"/>
        <v>11</v>
      </c>
      <c r="D82">
        <f t="shared" si="10"/>
        <v>5.75</v>
      </c>
      <c r="E82">
        <f>IF( COUNTIF('Raw Data'!$A$3:$A$2927,$A82)=0,0,SUMIF('Raw Data'!$A$3:$A$2927, $A82,'Raw Data'!D$3:D$2927) / COUNTIF('Raw Data'!$A$3:$A$2927,$A82))</f>
        <v>1</v>
      </c>
      <c r="F82">
        <f>MAX(IF('Raw Data'!$A$3:$A$927=$A82, 'Raw Data'!$O$3:$O$927))</f>
        <v>0</v>
      </c>
      <c r="G82">
        <f>MAX(IF('Raw Data'!$A$3:$A$927=$A82, 'Raw Data'!$I$3:$I$927))</f>
        <v>0</v>
      </c>
      <c r="H82">
        <f>IF( COUNTIF('Raw Data'!$A$3:$A$2927,$A82)=0,0,SUMIF('Raw Data'!$A$3:$A$2927, $A82,'Raw Data'!E$3:E$2927) / COUNTIF('Raw Data'!$A$3:$A$2927,$A82))</f>
        <v>0.125</v>
      </c>
      <c r="I82">
        <f>IF( COUNTIF('Raw Data'!$A$3:$A$2927,$A82)=0,0,SUMIF('Raw Data'!$A$3:$A$2927, $A82,'Raw Data'!F$3:F$2927) / COUNTIF('Raw Data'!$A$3:$A$2927,$A82))</f>
        <v>0</v>
      </c>
      <c r="J82">
        <f>IF( COUNTIF('Raw Data'!$A$3:$A$2927,$A82)=0,0,SUMIF('Raw Data'!$A$3:$A$2927, $A82,'Raw Data'!G$3:G$2927) / COUNTIF('Raw Data'!$A$3:$A$2927,$A82))</f>
        <v>0</v>
      </c>
      <c r="K82">
        <f>IF( COUNTIF('Raw Data'!$A$3:$A$2927,$A82)=0,0,SUMIF('Raw Data'!$A$3:$A$2927, $A82,'Raw Data'!H$3:H$2927) / COUNTIF('Raw Data'!$A$3:$A$2927,$A82))</f>
        <v>0</v>
      </c>
      <c r="L82">
        <f>MAX(IF('Raw Data'!$A$3:$A$927=$A82, 'Raw Data'!$N$3:$N$927))</f>
        <v>0</v>
      </c>
      <c r="M82">
        <f>IF( COUNTIF('Raw Data'!$A$3:$A$2927,$A82)=0,0,SUMIF('Raw Data'!$A$3:$A$2927, $A82,'Raw Data'!J$3:J$2927) / COUNTIF('Raw Data'!$A$3:$A$2927,$A82))</f>
        <v>0.25</v>
      </c>
      <c r="N82">
        <f>IF( COUNTIF('Raw Data'!$A$3:$A$2927,$A82)=0,0,SUMIF('Raw Data'!$A$3:$A$2927, $A82,'Raw Data'!K$3:K$2927) / COUNTIF('Raw Data'!$A$3:$A$2927,$A82))</f>
        <v>0</v>
      </c>
      <c r="O82">
        <f>IF( COUNTIF('Raw Data'!$A$3:$A$2927,$A82)=0,0,SUMIF('Raw Data'!$A$3:$A$2927, $A82,'Raw Data'!L$3:L$2927) / COUNTIF('Raw Data'!$A$3:$A$2927,$A82))</f>
        <v>0</v>
      </c>
      <c r="P82" s="58">
        <f>IF( COUNTIF('Raw Data'!$A$3:$A$2927,$A82)=0,0,SUMIF('Raw Data'!$A$3:$A$2927, $A82,'Raw Data'!M$3:M$2927) / COUNTIF('Raw Data'!$A$3:$A$2927,$A82))</f>
        <v>0</v>
      </c>
      <c r="Q82">
        <f>MAX(IF('Raw Data'!$A$3:$A$927=$A82, 'Raw Data'!$Z$3:$Z$927))</f>
        <v>0</v>
      </c>
      <c r="R82">
        <f>MAX(IF('Raw Data'!$A$3:$A$927=$A82, 'Raw Data'!$T$3:$T$927))</f>
        <v>0</v>
      </c>
      <c r="S82">
        <f>IF( COUNTIF('Raw Data'!$A$3:$A$2927,$A82)=0,0,SUMIF('Raw Data'!$A$3:$A$2927, $A82,'Raw Data'!P$3:P$2927) / COUNTIF('Raw Data'!$A$3:$A$2927,$A82))</f>
        <v>0.125</v>
      </c>
      <c r="T82">
        <f>IF( COUNTIF('Raw Data'!$A$3:$A$2927,$A82)=0,0,SUMIF('Raw Data'!$A$3:$A$2927, $A82,'Raw Data'!Q$3:Q$2927) / COUNTIF('Raw Data'!$A$3:$A$2927,$A82))</f>
        <v>0</v>
      </c>
      <c r="U82">
        <f>IF( COUNTIF('Raw Data'!$A$3:$A$2927,$A82)=0,0,SUMIF('Raw Data'!$A$3:$A$2927, $A82,'Raw Data'!R$3:R$2927) / COUNTIF('Raw Data'!$A$3:$A$2927,$A82))</f>
        <v>0</v>
      </c>
      <c r="V82">
        <f>IF( COUNTIF('Raw Data'!$A$3:$A$2927,$A82)=0,0,SUMIF('Raw Data'!$A$3:$A$2927, $A82,'Raw Data'!S$3:S$2927) / COUNTIF('Raw Data'!$A$3:$A$2927,$A82))</f>
        <v>0</v>
      </c>
      <c r="W82">
        <f>MAX(IF('Raw Data'!$A$3:$A$927=$A82, 'Raw Data'!$Y$3:$Y$927))</f>
        <v>0</v>
      </c>
      <c r="X82">
        <f>IF( COUNTIF('Raw Data'!$A$3:$A$2927,$A82)=0,0,SUMIF('Raw Data'!$A$3:$A$2927, $A82,'Raw Data'!U$3:U$2927) / COUNTIF('Raw Data'!$A$3:$A$2927,$A82))</f>
        <v>1.5</v>
      </c>
      <c r="Y82">
        <f>IF( COUNTIF('Raw Data'!$A$3:$A$2927,$A82)=0,0,SUMIF('Raw Data'!$A$3:$A$2927, $A82,'Raw Data'!V$3:V$2927) / COUNTIF('Raw Data'!$A$3:$A$2927,$A82))</f>
        <v>0</v>
      </c>
      <c r="Z82">
        <f>IF( COUNTIF('Raw Data'!$A$3:$A$2927,$A82)=0,0,SUMIF('Raw Data'!$A$3:$A$2927, $A82,'Raw Data'!W$3:W$2927) / COUNTIF('Raw Data'!$A$3:$A$2927,$A82))</f>
        <v>0</v>
      </c>
      <c r="AA82">
        <f>IF( COUNTIF('Raw Data'!$A$3:$A$2927,$A82)=0,0,SUMIF('Raw Data'!$A$3:$A$2927, $A82,'Raw Data'!X$3:X$2927) / COUNTIF('Raw Data'!$A$3:$A$2927,$A82))</f>
        <v>0</v>
      </c>
      <c r="AB82">
        <f>IF( COUNTIF('Raw Data'!$A$3:$A$2927,$A82)=0,0,SUMIF('Raw Data'!$A$3:$A$2927, $A82,'Raw Data'!AA$3:AA$2927) / COUNTIF('Raw Data'!$A$3:$A$2927,$A82))</f>
        <v>0</v>
      </c>
      <c r="AC82">
        <f>IF( COUNTIF('Raw Data'!$A$3:$A$2927,$A82)=0,0,SUMIF('Raw Data'!$A$3:$A$2927, $A82,'Raw Data'!AB$3:AB$2927) / COUNTIF('Raw Data'!$A$3:$A$2927,$A82))</f>
        <v>0</v>
      </c>
      <c r="AD82">
        <f>IF( COUNTIF('Raw Data'!$A$3:$A$2927,$A82)=0,0,SUMIF('Raw Data'!$A$3:$A$2927, $A82,'Raw Data'!AC$3:AC$2927) / COUNTIF('Raw Data'!$A$3:$A$2927,$A82))</f>
        <v>0.75</v>
      </c>
      <c r="AE82" s="117">
        <f>IF( COUNTIF('Raw Data'!$A$3:$A$2927,$A82)=0,0,SUMIF('Raw Data'!$A$3:$A$2927, $A82,'Raw Data'!AD$3:AD$2927) / COUNTIF('Raw Data'!$A$3:$A$2927,$A82))</f>
        <v>0</v>
      </c>
      <c r="AF82">
        <f>IF( COUNTIF('Raw Data'!$A$3:$A$2927,$A82)=0,0,SUMIF('Raw Data'!$A$3:$A$2927, $A82,'Raw Data'!AE$3:AE$2927) / COUNTIF('Raw Data'!$A$3:$A$2927,$A82))</f>
        <v>0.125</v>
      </c>
      <c r="AG82">
        <f>IF( COUNTIF('Raw Data'!$A$3:$A$2927,$A82)=0,0,SUMIF('Raw Data'!$A$3:$A$2927, $A82,'Raw Data'!AF$3:AF$2927) / COUNTIF('Raw Data'!$A$3:$A$2927,$A82))</f>
        <v>0</v>
      </c>
      <c r="AH82">
        <f>IF( COUNTIF('Raw Data'!$A$3:$A$2927,$A82)=0,0,SUMIF('Raw Data'!$A$3:$A$2927, $A82,'Raw Data'!AG$3:AG$2927) / COUNTIF('Raw Data'!$A$3:$A$2927,$A82))</f>
        <v>0</v>
      </c>
      <c r="AI82">
        <f>IF( COUNTIF('Raw Data'!$A$3:$A$2927,$A82)=0,0,SUMIF('Raw Data'!$A$3:$A$2927, $A82,'Raw Data'!AH$3:AH$2927) / COUNTIF('Raw Data'!$A$3:$A$2927,$A82))</f>
        <v>0.25</v>
      </c>
      <c r="AJ82" s="117">
        <f>COUNTIF('Raw Data'!A$3:A$2927, $A82)</f>
        <v>8</v>
      </c>
      <c r="AK82">
        <f t="shared" si="11"/>
        <v>0.65500000000000003</v>
      </c>
      <c r="AL82">
        <f t="shared" si="12"/>
        <v>-0.4375</v>
      </c>
      <c r="AM82">
        <f t="shared" si="13"/>
        <v>1.5625</v>
      </c>
    </row>
    <row r="83" spans="1:39">
      <c r="A83">
        <v>7664</v>
      </c>
      <c r="B83" t="s">
        <v>461</v>
      </c>
      <c r="C83">
        <f t="shared" si="9"/>
        <v>0</v>
      </c>
      <c r="D83">
        <f t="shared" si="10"/>
        <v>0</v>
      </c>
      <c r="E83">
        <f>IF( COUNTIF('Raw Data'!$A$3:$A$2927,$A83)=0,0,SUMIF('Raw Data'!$A$3:$A$2927, $A83,'Raw Data'!D$3:D$2927) / COUNTIF('Raw Data'!$A$3:$A$2927,$A83))</f>
        <v>0</v>
      </c>
      <c r="F83">
        <f>MAX(IF('Raw Data'!$A$3:$A$927=$A83, 'Raw Data'!$O$3:$O$927))</f>
        <v>0</v>
      </c>
      <c r="G83">
        <f>MAX(IF('Raw Data'!$A$3:$A$927=$A83, 'Raw Data'!$I$3:$I$927))</f>
        <v>0</v>
      </c>
      <c r="H83">
        <f>IF( COUNTIF('Raw Data'!$A$3:$A$2927,$A83)=0,0,SUMIF('Raw Data'!$A$3:$A$2927, $A83,'Raw Data'!E$3:E$2927) / COUNTIF('Raw Data'!$A$3:$A$2927,$A83))</f>
        <v>0</v>
      </c>
      <c r="I83">
        <f>IF( COUNTIF('Raw Data'!$A$3:$A$2927,$A83)=0,0,SUMIF('Raw Data'!$A$3:$A$2927, $A83,'Raw Data'!F$3:F$2927) / COUNTIF('Raw Data'!$A$3:$A$2927,$A83))</f>
        <v>0</v>
      </c>
      <c r="J83">
        <f>IF( COUNTIF('Raw Data'!$A$3:$A$2927,$A83)=0,0,SUMIF('Raw Data'!$A$3:$A$2927, $A83,'Raw Data'!G$3:G$2927) / COUNTIF('Raw Data'!$A$3:$A$2927,$A83))</f>
        <v>0</v>
      </c>
      <c r="K83">
        <f>IF( COUNTIF('Raw Data'!$A$3:$A$2927,$A83)=0,0,SUMIF('Raw Data'!$A$3:$A$2927, $A83,'Raw Data'!H$3:H$2927) / COUNTIF('Raw Data'!$A$3:$A$2927,$A83))</f>
        <v>0</v>
      </c>
      <c r="L83">
        <f>MAX(IF('Raw Data'!$A$3:$A$927=$A83, 'Raw Data'!$N$3:$N$927))</f>
        <v>0</v>
      </c>
      <c r="M83">
        <f>IF( COUNTIF('Raw Data'!$A$3:$A$2927,$A83)=0,0,SUMIF('Raw Data'!$A$3:$A$2927, $A83,'Raw Data'!J$3:J$2927) / COUNTIF('Raw Data'!$A$3:$A$2927,$A83))</f>
        <v>0</v>
      </c>
      <c r="N83">
        <f>IF( COUNTIF('Raw Data'!$A$3:$A$2927,$A83)=0,0,SUMIF('Raw Data'!$A$3:$A$2927, $A83,'Raw Data'!K$3:K$2927) / COUNTIF('Raw Data'!$A$3:$A$2927,$A83))</f>
        <v>0</v>
      </c>
      <c r="O83">
        <f>IF( COUNTIF('Raw Data'!$A$3:$A$2927,$A83)=0,0,SUMIF('Raw Data'!$A$3:$A$2927, $A83,'Raw Data'!L$3:L$2927) / COUNTIF('Raw Data'!$A$3:$A$2927,$A83))</f>
        <v>0</v>
      </c>
      <c r="P83" s="58">
        <f>IF( COUNTIF('Raw Data'!$A$3:$A$2927,$A83)=0,0,SUMIF('Raw Data'!$A$3:$A$2927, $A83,'Raw Data'!M$3:M$2927) / COUNTIF('Raw Data'!$A$3:$A$2927,$A83))</f>
        <v>0</v>
      </c>
      <c r="Q83">
        <f>MAX(IF('Raw Data'!$A$3:$A$927=$A83, 'Raw Data'!$Z$3:$Z$927))</f>
        <v>0</v>
      </c>
      <c r="R83">
        <f>MAX(IF('Raw Data'!$A$3:$A$927=$A83, 'Raw Data'!$T$3:$T$927))</f>
        <v>0</v>
      </c>
      <c r="S83">
        <f>IF( COUNTIF('Raw Data'!$A$3:$A$2927,$A83)=0,0,SUMIF('Raw Data'!$A$3:$A$2927, $A83,'Raw Data'!P$3:P$2927) / COUNTIF('Raw Data'!$A$3:$A$2927,$A83))</f>
        <v>0</v>
      </c>
      <c r="T83">
        <f>IF( COUNTIF('Raw Data'!$A$3:$A$2927,$A83)=0,0,SUMIF('Raw Data'!$A$3:$A$2927, $A83,'Raw Data'!Q$3:Q$2927) / COUNTIF('Raw Data'!$A$3:$A$2927,$A83))</f>
        <v>0</v>
      </c>
      <c r="U83">
        <f>IF( COUNTIF('Raw Data'!$A$3:$A$2927,$A83)=0,0,SUMIF('Raw Data'!$A$3:$A$2927, $A83,'Raw Data'!R$3:R$2927) / COUNTIF('Raw Data'!$A$3:$A$2927,$A83))</f>
        <v>0</v>
      </c>
      <c r="V83">
        <f>IF( COUNTIF('Raw Data'!$A$3:$A$2927,$A83)=0,0,SUMIF('Raw Data'!$A$3:$A$2927, $A83,'Raw Data'!S$3:S$2927) / COUNTIF('Raw Data'!$A$3:$A$2927,$A83))</f>
        <v>0</v>
      </c>
      <c r="W83">
        <f>MAX(IF('Raw Data'!$A$3:$A$927=$A83, 'Raw Data'!$Y$3:$Y$927))</f>
        <v>0</v>
      </c>
      <c r="X83">
        <f>IF( COUNTIF('Raw Data'!$A$3:$A$2927,$A83)=0,0,SUMIF('Raw Data'!$A$3:$A$2927, $A83,'Raw Data'!U$3:U$2927) / COUNTIF('Raw Data'!$A$3:$A$2927,$A83))</f>
        <v>0</v>
      </c>
      <c r="Y83">
        <f>IF( COUNTIF('Raw Data'!$A$3:$A$2927,$A83)=0,0,SUMIF('Raw Data'!$A$3:$A$2927, $A83,'Raw Data'!V$3:V$2927) / COUNTIF('Raw Data'!$A$3:$A$2927,$A83))</f>
        <v>0</v>
      </c>
      <c r="Z83">
        <f>IF( COUNTIF('Raw Data'!$A$3:$A$2927,$A83)=0,0,SUMIF('Raw Data'!$A$3:$A$2927, $A83,'Raw Data'!W$3:W$2927) / COUNTIF('Raw Data'!$A$3:$A$2927,$A83))</f>
        <v>0</v>
      </c>
      <c r="AA83">
        <f>IF( COUNTIF('Raw Data'!$A$3:$A$2927,$A83)=0,0,SUMIF('Raw Data'!$A$3:$A$2927, $A83,'Raw Data'!X$3:X$2927) / COUNTIF('Raw Data'!$A$3:$A$2927,$A83))</f>
        <v>0</v>
      </c>
      <c r="AB83">
        <f>IF( COUNTIF('Raw Data'!$A$3:$A$2927,$A83)=0,0,SUMIF('Raw Data'!$A$3:$A$2927, $A83,'Raw Data'!AA$3:AA$2927) / COUNTIF('Raw Data'!$A$3:$A$2927,$A83))</f>
        <v>0</v>
      </c>
      <c r="AC83">
        <f>IF( COUNTIF('Raw Data'!$A$3:$A$2927,$A83)=0,0,SUMIF('Raw Data'!$A$3:$A$2927, $A83,'Raw Data'!AB$3:AB$2927) / COUNTIF('Raw Data'!$A$3:$A$2927,$A83))</f>
        <v>0</v>
      </c>
      <c r="AD83">
        <f>IF( COUNTIF('Raw Data'!$A$3:$A$2927,$A83)=0,0,SUMIF('Raw Data'!$A$3:$A$2927, $A83,'Raw Data'!AC$3:AC$2927) / COUNTIF('Raw Data'!$A$3:$A$2927,$A83))</f>
        <v>0</v>
      </c>
      <c r="AE83" s="117">
        <f>IF( COUNTIF('Raw Data'!$A$3:$A$2927,$A83)=0,0,SUMIF('Raw Data'!$A$3:$A$2927, $A83,'Raw Data'!AD$3:AD$2927) / COUNTIF('Raw Data'!$A$3:$A$2927,$A83))</f>
        <v>0</v>
      </c>
      <c r="AF83">
        <f>IF( COUNTIF('Raw Data'!$A$3:$A$2927,$A83)=0,0,SUMIF('Raw Data'!$A$3:$A$2927, $A83,'Raw Data'!AE$3:AE$2927) / COUNTIF('Raw Data'!$A$3:$A$2927,$A83))</f>
        <v>0</v>
      </c>
      <c r="AG83">
        <f>IF( COUNTIF('Raw Data'!$A$3:$A$2927,$A83)=0,0,SUMIF('Raw Data'!$A$3:$A$2927, $A83,'Raw Data'!AF$3:AF$2927) / COUNTIF('Raw Data'!$A$3:$A$2927,$A83))</f>
        <v>0</v>
      </c>
      <c r="AH83">
        <f>IF( COUNTIF('Raw Data'!$A$3:$A$2927,$A83)=0,0,SUMIF('Raw Data'!$A$3:$A$2927, $A83,'Raw Data'!AG$3:AG$2927) / COUNTIF('Raw Data'!$A$3:$A$2927,$A83))</f>
        <v>0</v>
      </c>
      <c r="AI83">
        <f>IF( COUNTIF('Raw Data'!$A$3:$A$2927,$A83)=0,0,SUMIF('Raw Data'!$A$3:$A$2927, $A83,'Raw Data'!AH$3:AH$2927) / COUNTIF('Raw Data'!$A$3:$A$2927,$A83))</f>
        <v>0</v>
      </c>
      <c r="AJ83" s="117">
        <f>COUNTIF('Raw Data'!A$3:A$2927, $A83)</f>
        <v>0</v>
      </c>
      <c r="AK83">
        <f t="shared" si="11"/>
        <v>-21</v>
      </c>
      <c r="AL83">
        <f t="shared" si="12"/>
        <v>-1.5</v>
      </c>
      <c r="AM83">
        <f t="shared" si="13"/>
        <v>-1</v>
      </c>
    </row>
    <row r="84" spans="1:39">
      <c r="A84">
        <v>7690</v>
      </c>
      <c r="B84" t="s">
        <v>234</v>
      </c>
      <c r="C84">
        <f t="shared" si="9"/>
        <v>7</v>
      </c>
      <c r="D84">
        <f t="shared" si="10"/>
        <v>1.2727272727272727</v>
      </c>
      <c r="E84">
        <f>IF( COUNTIF('Raw Data'!$A$3:$A$2927,$A84)=0,0,SUMIF('Raw Data'!$A$3:$A$2927, $A84,'Raw Data'!D$3:D$2927) / COUNTIF('Raw Data'!$A$3:$A$2927,$A84))</f>
        <v>1.1818181818181819</v>
      </c>
      <c r="F84">
        <f>MAX(IF('Raw Data'!$A$3:$A$927=$A84, 'Raw Data'!$O$3:$O$927))</f>
        <v>0</v>
      </c>
      <c r="G84">
        <f>MAX(IF('Raw Data'!$A$3:$A$927=$A84, 'Raw Data'!$I$3:$I$927))</f>
        <v>0</v>
      </c>
      <c r="H84">
        <f>IF( COUNTIF('Raw Data'!$A$3:$A$2927,$A84)=0,0,SUMIF('Raw Data'!$A$3:$A$2927, $A84,'Raw Data'!E$3:E$2927) / COUNTIF('Raw Data'!$A$3:$A$2927,$A84))</f>
        <v>0</v>
      </c>
      <c r="I84">
        <f>IF( COUNTIF('Raw Data'!$A$3:$A$2927,$A84)=0,0,SUMIF('Raw Data'!$A$3:$A$2927, $A84,'Raw Data'!F$3:F$2927) / COUNTIF('Raw Data'!$A$3:$A$2927,$A84))</f>
        <v>9.0909090909090912E-2</v>
      </c>
      <c r="J84">
        <f>IF( COUNTIF('Raw Data'!$A$3:$A$2927,$A84)=0,0,SUMIF('Raw Data'!$A$3:$A$2927, $A84,'Raw Data'!G$3:G$2927) / COUNTIF('Raw Data'!$A$3:$A$2927,$A84))</f>
        <v>0</v>
      </c>
      <c r="K84">
        <f>IF( COUNTIF('Raw Data'!$A$3:$A$2927,$A84)=0,0,SUMIF('Raw Data'!$A$3:$A$2927, $A84,'Raw Data'!H$3:H$2927) / COUNTIF('Raw Data'!$A$3:$A$2927,$A84))</f>
        <v>0</v>
      </c>
      <c r="L84">
        <f>MAX(IF('Raw Data'!$A$3:$A$927=$A84, 'Raw Data'!$N$3:$N$927))</f>
        <v>0</v>
      </c>
      <c r="M84">
        <f>IF( COUNTIF('Raw Data'!$A$3:$A$2927,$A84)=0,0,SUMIF('Raw Data'!$A$3:$A$2927, $A84,'Raw Data'!J$3:J$2927) / COUNTIF('Raw Data'!$A$3:$A$2927,$A84))</f>
        <v>0</v>
      </c>
      <c r="N84">
        <f>IF( COUNTIF('Raw Data'!$A$3:$A$2927,$A84)=0,0,SUMIF('Raw Data'!$A$3:$A$2927, $A84,'Raw Data'!K$3:K$2927) / COUNTIF('Raw Data'!$A$3:$A$2927,$A84))</f>
        <v>0</v>
      </c>
      <c r="O84">
        <f>IF( COUNTIF('Raw Data'!$A$3:$A$2927,$A84)=0,0,SUMIF('Raw Data'!$A$3:$A$2927, $A84,'Raw Data'!L$3:L$2927) / COUNTIF('Raw Data'!$A$3:$A$2927,$A84))</f>
        <v>0</v>
      </c>
      <c r="P84" s="58">
        <f>IF( COUNTIF('Raw Data'!$A$3:$A$2927,$A84)=0,0,SUMIF('Raw Data'!$A$3:$A$2927, $A84,'Raw Data'!M$3:M$2927) / COUNTIF('Raw Data'!$A$3:$A$2927,$A84))</f>
        <v>0</v>
      </c>
      <c r="Q84">
        <f>MAX(IF('Raw Data'!$A$3:$A$927=$A84, 'Raw Data'!$Z$3:$Z$927))</f>
        <v>0</v>
      </c>
      <c r="R84">
        <f>MAX(IF('Raw Data'!$A$3:$A$927=$A84, 'Raw Data'!$T$3:$T$927))</f>
        <v>0</v>
      </c>
      <c r="S84">
        <f>IF( COUNTIF('Raw Data'!$A$3:$A$2927,$A84)=0,0,SUMIF('Raw Data'!$A$3:$A$2927, $A84,'Raw Data'!P$3:P$2927) / COUNTIF('Raw Data'!$A$3:$A$2927,$A84))</f>
        <v>0.45454545454545453</v>
      </c>
      <c r="T84">
        <f>IF( COUNTIF('Raw Data'!$A$3:$A$2927,$A84)=0,0,SUMIF('Raw Data'!$A$3:$A$2927, $A84,'Raw Data'!Q$3:Q$2927) / COUNTIF('Raw Data'!$A$3:$A$2927,$A84))</f>
        <v>9.0909090909090912E-2</v>
      </c>
      <c r="U84">
        <f>IF( COUNTIF('Raw Data'!$A$3:$A$2927,$A84)=0,0,SUMIF('Raw Data'!$A$3:$A$2927, $A84,'Raw Data'!R$3:R$2927) / COUNTIF('Raw Data'!$A$3:$A$2927,$A84))</f>
        <v>0</v>
      </c>
      <c r="V84">
        <f>IF( COUNTIF('Raw Data'!$A$3:$A$2927,$A84)=0,0,SUMIF('Raw Data'!$A$3:$A$2927, $A84,'Raw Data'!S$3:S$2927) / COUNTIF('Raw Data'!$A$3:$A$2927,$A84))</f>
        <v>0</v>
      </c>
      <c r="W84">
        <f>MAX(IF('Raw Data'!$A$3:$A$927=$A84, 'Raw Data'!$Y$3:$Y$927))</f>
        <v>0</v>
      </c>
      <c r="X84">
        <f>IF( COUNTIF('Raw Data'!$A$3:$A$2927,$A84)=0,0,SUMIF('Raw Data'!$A$3:$A$2927, $A84,'Raw Data'!U$3:U$2927) / COUNTIF('Raw Data'!$A$3:$A$2927,$A84))</f>
        <v>0</v>
      </c>
      <c r="Y84">
        <f>IF( COUNTIF('Raw Data'!$A$3:$A$2927,$A84)=0,0,SUMIF('Raw Data'!$A$3:$A$2927, $A84,'Raw Data'!V$3:V$2927) / COUNTIF('Raw Data'!$A$3:$A$2927,$A84))</f>
        <v>0</v>
      </c>
      <c r="Z84">
        <f>IF( COUNTIF('Raw Data'!$A$3:$A$2927,$A84)=0,0,SUMIF('Raw Data'!$A$3:$A$2927, $A84,'Raw Data'!W$3:W$2927) / COUNTIF('Raw Data'!$A$3:$A$2927,$A84))</f>
        <v>0</v>
      </c>
      <c r="AA84">
        <f>IF( COUNTIF('Raw Data'!$A$3:$A$2927,$A84)=0,0,SUMIF('Raw Data'!$A$3:$A$2927, $A84,'Raw Data'!X$3:X$2927) / COUNTIF('Raw Data'!$A$3:$A$2927,$A84))</f>
        <v>0</v>
      </c>
      <c r="AB84">
        <f>IF( COUNTIF('Raw Data'!$A$3:$A$2927,$A84)=0,0,SUMIF('Raw Data'!$A$3:$A$2927, $A84,'Raw Data'!AA$3:AA$2927) / COUNTIF('Raw Data'!$A$3:$A$2927,$A84))</f>
        <v>1.8181818181818181</v>
      </c>
      <c r="AC84">
        <f>IF( COUNTIF('Raw Data'!$A$3:$A$2927,$A84)=0,0,SUMIF('Raw Data'!$A$3:$A$2927, $A84,'Raw Data'!AB$3:AB$2927) / COUNTIF('Raw Data'!$A$3:$A$2927,$A84))</f>
        <v>0</v>
      </c>
      <c r="AD84">
        <f>IF( COUNTIF('Raw Data'!$A$3:$A$2927,$A84)=0,0,SUMIF('Raw Data'!$A$3:$A$2927, $A84,'Raw Data'!AC$3:AC$2927) / COUNTIF('Raw Data'!$A$3:$A$2927,$A84))</f>
        <v>0.72727272727272729</v>
      </c>
      <c r="AE84" s="117">
        <f>IF( COUNTIF('Raw Data'!$A$3:$A$2927,$A84)=0,0,SUMIF('Raw Data'!$A$3:$A$2927, $A84,'Raw Data'!AD$3:AD$2927) / COUNTIF('Raw Data'!$A$3:$A$2927,$A84))</f>
        <v>0</v>
      </c>
      <c r="AF84">
        <f>IF( COUNTIF('Raw Data'!$A$3:$A$2927,$A84)=0,0,SUMIF('Raw Data'!$A$3:$A$2927, $A84,'Raw Data'!AE$3:AE$2927) / COUNTIF('Raw Data'!$A$3:$A$2927,$A84))</f>
        <v>0.36363636363636365</v>
      </c>
      <c r="AG84">
        <f>IF( COUNTIF('Raw Data'!$A$3:$A$2927,$A84)=0,0,SUMIF('Raw Data'!$A$3:$A$2927, $A84,'Raw Data'!AF$3:AF$2927) / COUNTIF('Raw Data'!$A$3:$A$2927,$A84))</f>
        <v>0</v>
      </c>
      <c r="AH84">
        <f>IF( COUNTIF('Raw Data'!$A$3:$A$2927,$A84)=0,0,SUMIF('Raw Data'!$A$3:$A$2927, $A84,'Raw Data'!AG$3:AG$2927) / COUNTIF('Raw Data'!$A$3:$A$2927,$A84))</f>
        <v>0</v>
      </c>
      <c r="AI84">
        <f>IF( COUNTIF('Raw Data'!$A$3:$A$2927,$A84)=0,0,SUMIF('Raw Data'!$A$3:$A$2927, $A84,'Raw Data'!AH$3:AH$2927) / COUNTIF('Raw Data'!$A$3:$A$2927,$A84))</f>
        <v>1.2727272727272727</v>
      </c>
      <c r="AJ84" s="117">
        <f>COUNTIF('Raw Data'!A$3:A$2927, $A84)</f>
        <v>11</v>
      </c>
      <c r="AK84">
        <f t="shared" si="11"/>
        <v>-2.6363636363636367</v>
      </c>
      <c r="AL84">
        <f t="shared" si="12"/>
        <v>-2.5909090909090908</v>
      </c>
      <c r="AM84">
        <f t="shared" si="13"/>
        <v>-0.72727272727272729</v>
      </c>
    </row>
    <row r="85" spans="1:39">
      <c r="A85">
        <v>7710</v>
      </c>
      <c r="B85" t="s">
        <v>235</v>
      </c>
      <c r="C85">
        <f t="shared" si="9"/>
        <v>10.571428571428571</v>
      </c>
      <c r="D85">
        <f t="shared" si="10"/>
        <v>2</v>
      </c>
      <c r="E85">
        <f>IF( COUNTIF('Raw Data'!$A$3:$A$2927,$A85)=0,0,SUMIF('Raw Data'!$A$3:$A$2927, $A85,'Raw Data'!D$3:D$2927) / COUNTIF('Raw Data'!$A$3:$A$2927,$A85))</f>
        <v>2</v>
      </c>
      <c r="F85">
        <f>MAX(IF('Raw Data'!$A$3:$A$927=$A85, 'Raw Data'!$O$3:$O$927))</f>
        <v>0</v>
      </c>
      <c r="G85">
        <f>MAX(IF('Raw Data'!$A$3:$A$927=$A85, 'Raw Data'!$I$3:$I$927))</f>
        <v>0</v>
      </c>
      <c r="H85">
        <f>IF( COUNTIF('Raw Data'!$A$3:$A$2927,$A85)=0,0,SUMIF('Raw Data'!$A$3:$A$2927, $A85,'Raw Data'!E$3:E$2927) / COUNTIF('Raw Data'!$A$3:$A$2927,$A85))</f>
        <v>0.14285714285714285</v>
      </c>
      <c r="I85">
        <f>IF( COUNTIF('Raw Data'!$A$3:$A$2927,$A85)=0,0,SUMIF('Raw Data'!$A$3:$A$2927, $A85,'Raw Data'!F$3:F$2927) / COUNTIF('Raw Data'!$A$3:$A$2927,$A85))</f>
        <v>0</v>
      </c>
      <c r="J85">
        <f>IF( COUNTIF('Raw Data'!$A$3:$A$2927,$A85)=0,0,SUMIF('Raw Data'!$A$3:$A$2927, $A85,'Raw Data'!G$3:G$2927) / COUNTIF('Raw Data'!$A$3:$A$2927,$A85))</f>
        <v>0</v>
      </c>
      <c r="K85">
        <f>IF( COUNTIF('Raw Data'!$A$3:$A$2927,$A85)=0,0,SUMIF('Raw Data'!$A$3:$A$2927, $A85,'Raw Data'!H$3:H$2927) / COUNTIF('Raw Data'!$A$3:$A$2927,$A85))</f>
        <v>0</v>
      </c>
      <c r="L85">
        <f>MAX(IF('Raw Data'!$A$3:$A$927=$A85, 'Raw Data'!$N$3:$N$927))</f>
        <v>0</v>
      </c>
      <c r="M85">
        <f>IF( COUNTIF('Raw Data'!$A$3:$A$2927,$A85)=0,0,SUMIF('Raw Data'!$A$3:$A$2927, $A85,'Raw Data'!J$3:J$2927) / COUNTIF('Raw Data'!$A$3:$A$2927,$A85))</f>
        <v>0</v>
      </c>
      <c r="N85">
        <f>IF( COUNTIF('Raw Data'!$A$3:$A$2927,$A85)=0,0,SUMIF('Raw Data'!$A$3:$A$2927, $A85,'Raw Data'!K$3:K$2927) / COUNTIF('Raw Data'!$A$3:$A$2927,$A85))</f>
        <v>0</v>
      </c>
      <c r="O85">
        <f>IF( COUNTIF('Raw Data'!$A$3:$A$2927,$A85)=0,0,SUMIF('Raw Data'!$A$3:$A$2927, $A85,'Raw Data'!L$3:L$2927) / COUNTIF('Raw Data'!$A$3:$A$2927,$A85))</f>
        <v>0</v>
      </c>
      <c r="P85" s="58">
        <f>IF( COUNTIF('Raw Data'!$A$3:$A$2927,$A85)=0,0,SUMIF('Raw Data'!$A$3:$A$2927, $A85,'Raw Data'!M$3:M$2927) / COUNTIF('Raw Data'!$A$3:$A$2927,$A85))</f>
        <v>0</v>
      </c>
      <c r="Q85">
        <f>MAX(IF('Raw Data'!$A$3:$A$927=$A85, 'Raw Data'!$Z$3:$Z$927))</f>
        <v>0</v>
      </c>
      <c r="R85">
        <f>MAX(IF('Raw Data'!$A$3:$A$927=$A85, 'Raw Data'!$T$3:$T$927))</f>
        <v>0</v>
      </c>
      <c r="S85">
        <f>IF( COUNTIF('Raw Data'!$A$3:$A$2927,$A85)=0,0,SUMIF('Raw Data'!$A$3:$A$2927, $A85,'Raw Data'!P$3:P$2927) / COUNTIF('Raw Data'!$A$3:$A$2927,$A85))</f>
        <v>0.14285714285714285</v>
      </c>
      <c r="T85">
        <f>IF( COUNTIF('Raw Data'!$A$3:$A$2927,$A85)=0,0,SUMIF('Raw Data'!$A$3:$A$2927, $A85,'Raw Data'!Q$3:Q$2927) / COUNTIF('Raw Data'!$A$3:$A$2927,$A85))</f>
        <v>0.7142857142857143</v>
      </c>
      <c r="U85">
        <f>IF( COUNTIF('Raw Data'!$A$3:$A$2927,$A85)=0,0,SUMIF('Raw Data'!$A$3:$A$2927, $A85,'Raw Data'!R$3:R$2927) / COUNTIF('Raw Data'!$A$3:$A$2927,$A85))</f>
        <v>0</v>
      </c>
      <c r="V85">
        <f>IF( COUNTIF('Raw Data'!$A$3:$A$2927,$A85)=0,0,SUMIF('Raw Data'!$A$3:$A$2927, $A85,'Raw Data'!S$3:S$2927) / COUNTIF('Raw Data'!$A$3:$A$2927,$A85))</f>
        <v>0</v>
      </c>
      <c r="W85">
        <f>MAX(IF('Raw Data'!$A$3:$A$927=$A85, 'Raw Data'!$Y$3:$Y$927))</f>
        <v>0</v>
      </c>
      <c r="X85">
        <f>IF( COUNTIF('Raw Data'!$A$3:$A$2927,$A85)=0,0,SUMIF('Raw Data'!$A$3:$A$2927, $A85,'Raw Data'!U$3:U$2927) / COUNTIF('Raw Data'!$A$3:$A$2927,$A85))</f>
        <v>0</v>
      </c>
      <c r="Y85">
        <f>IF( COUNTIF('Raw Data'!$A$3:$A$2927,$A85)=0,0,SUMIF('Raw Data'!$A$3:$A$2927, $A85,'Raw Data'!V$3:V$2927) / COUNTIF('Raw Data'!$A$3:$A$2927,$A85))</f>
        <v>0</v>
      </c>
      <c r="Z85">
        <f>IF( COUNTIF('Raw Data'!$A$3:$A$2927,$A85)=0,0,SUMIF('Raw Data'!$A$3:$A$2927, $A85,'Raw Data'!W$3:W$2927) / COUNTIF('Raw Data'!$A$3:$A$2927,$A85))</f>
        <v>0</v>
      </c>
      <c r="AA85">
        <f>IF( COUNTIF('Raw Data'!$A$3:$A$2927,$A85)=0,0,SUMIF('Raw Data'!$A$3:$A$2927, $A85,'Raw Data'!X$3:X$2927) / COUNTIF('Raw Data'!$A$3:$A$2927,$A85))</f>
        <v>0</v>
      </c>
      <c r="AB85">
        <f>IF( COUNTIF('Raw Data'!$A$3:$A$2927,$A85)=0,0,SUMIF('Raw Data'!$A$3:$A$2927, $A85,'Raw Data'!AA$3:AA$2927) / COUNTIF('Raw Data'!$A$3:$A$2927,$A85))</f>
        <v>9.8571428571428577</v>
      </c>
      <c r="AC85">
        <f>IF( COUNTIF('Raw Data'!$A$3:$A$2927,$A85)=0,0,SUMIF('Raw Data'!$A$3:$A$2927, $A85,'Raw Data'!AB$3:AB$2927) / COUNTIF('Raw Data'!$A$3:$A$2927,$A85))</f>
        <v>0.14285714285714285</v>
      </c>
      <c r="AD85">
        <f>IF( COUNTIF('Raw Data'!$A$3:$A$2927,$A85)=0,0,SUMIF('Raw Data'!$A$3:$A$2927, $A85,'Raw Data'!AC$3:AC$2927) / COUNTIF('Raw Data'!$A$3:$A$2927,$A85))</f>
        <v>0.7142857142857143</v>
      </c>
      <c r="AE85" s="117">
        <f>IF( COUNTIF('Raw Data'!$A$3:$A$2927,$A85)=0,0,SUMIF('Raw Data'!$A$3:$A$2927, $A85,'Raw Data'!AD$3:AD$2927) / COUNTIF('Raw Data'!$A$3:$A$2927,$A85))</f>
        <v>0</v>
      </c>
      <c r="AF85">
        <f>IF( COUNTIF('Raw Data'!$A$3:$A$2927,$A85)=0,0,SUMIF('Raw Data'!$A$3:$A$2927, $A85,'Raw Data'!AE$3:AE$2927) / COUNTIF('Raw Data'!$A$3:$A$2927,$A85))</f>
        <v>0</v>
      </c>
      <c r="AG85">
        <f>IF( COUNTIF('Raw Data'!$A$3:$A$2927,$A85)=0,0,SUMIF('Raw Data'!$A$3:$A$2927, $A85,'Raw Data'!AF$3:AF$2927) / COUNTIF('Raw Data'!$A$3:$A$2927,$A85))</f>
        <v>0</v>
      </c>
      <c r="AH85">
        <f>IF( COUNTIF('Raw Data'!$A$3:$A$2927,$A85)=0,0,SUMIF('Raw Data'!$A$3:$A$2927, $A85,'Raw Data'!AG$3:AG$2927) / COUNTIF('Raw Data'!$A$3:$A$2927,$A85))</f>
        <v>0</v>
      </c>
      <c r="AI85">
        <f>IF( COUNTIF('Raw Data'!$A$3:$A$2927,$A85)=0,0,SUMIF('Raw Data'!$A$3:$A$2927, $A85,'Raw Data'!AH$3:AH$2927) / COUNTIF('Raw Data'!$A$3:$A$2927,$A85))</f>
        <v>1</v>
      </c>
      <c r="AJ85" s="117">
        <f>COUNTIF('Raw Data'!A$3:A$2927, $A85)</f>
        <v>7</v>
      </c>
      <c r="AK85">
        <f t="shared" si="11"/>
        <v>0</v>
      </c>
      <c r="AL85">
        <f t="shared" si="12"/>
        <v>-0.9285714285714286</v>
      </c>
      <c r="AM85">
        <f t="shared" si="13"/>
        <v>0</v>
      </c>
    </row>
    <row r="86" spans="1:39">
      <c r="A86">
        <v>7712</v>
      </c>
      <c r="B86" t="s">
        <v>236</v>
      </c>
      <c r="C86">
        <f t="shared" si="9"/>
        <v>4.75</v>
      </c>
      <c r="D86">
        <f t="shared" si="10"/>
        <v>1</v>
      </c>
      <c r="E86">
        <f>IF( COUNTIF('Raw Data'!$A$3:$A$2927,$A86)=0,0,SUMIF('Raw Data'!$A$3:$A$2927, $A86,'Raw Data'!D$3:D$2927) / COUNTIF('Raw Data'!$A$3:$A$2927,$A86))</f>
        <v>0.875</v>
      </c>
      <c r="F86">
        <f>MAX(IF('Raw Data'!$A$3:$A$927=$A86, 'Raw Data'!$O$3:$O$927))</f>
        <v>0</v>
      </c>
      <c r="G86">
        <f>MAX(IF('Raw Data'!$A$3:$A$927=$A86, 'Raw Data'!$I$3:$I$927))</f>
        <v>0</v>
      </c>
      <c r="H86">
        <f>IF( COUNTIF('Raw Data'!$A$3:$A$2927,$A86)=0,0,SUMIF('Raw Data'!$A$3:$A$2927, $A86,'Raw Data'!E$3:E$2927) / COUNTIF('Raw Data'!$A$3:$A$2927,$A86))</f>
        <v>0</v>
      </c>
      <c r="I86">
        <f>IF( COUNTIF('Raw Data'!$A$3:$A$2927,$A86)=0,0,SUMIF('Raw Data'!$A$3:$A$2927, $A86,'Raw Data'!F$3:F$2927) / COUNTIF('Raw Data'!$A$3:$A$2927,$A86))</f>
        <v>0</v>
      </c>
      <c r="J86">
        <f>IF( COUNTIF('Raw Data'!$A$3:$A$2927,$A86)=0,0,SUMIF('Raw Data'!$A$3:$A$2927, $A86,'Raw Data'!G$3:G$2927) / COUNTIF('Raw Data'!$A$3:$A$2927,$A86))</f>
        <v>0</v>
      </c>
      <c r="K86">
        <f>IF( COUNTIF('Raw Data'!$A$3:$A$2927,$A86)=0,0,SUMIF('Raw Data'!$A$3:$A$2927, $A86,'Raw Data'!H$3:H$2927) / COUNTIF('Raw Data'!$A$3:$A$2927,$A86))</f>
        <v>0</v>
      </c>
      <c r="L86">
        <f>MAX(IF('Raw Data'!$A$3:$A$927=$A86, 'Raw Data'!$N$3:$N$927))</f>
        <v>0</v>
      </c>
      <c r="M86">
        <f>IF( COUNTIF('Raw Data'!$A$3:$A$2927,$A86)=0,0,SUMIF('Raw Data'!$A$3:$A$2927, $A86,'Raw Data'!J$3:J$2927) / COUNTIF('Raw Data'!$A$3:$A$2927,$A86))</f>
        <v>0</v>
      </c>
      <c r="N86">
        <f>IF( COUNTIF('Raw Data'!$A$3:$A$2927,$A86)=0,0,SUMIF('Raw Data'!$A$3:$A$2927, $A86,'Raw Data'!K$3:K$2927) / COUNTIF('Raw Data'!$A$3:$A$2927,$A86))</f>
        <v>0</v>
      </c>
      <c r="O86">
        <f>IF( COUNTIF('Raw Data'!$A$3:$A$2927,$A86)=0,0,SUMIF('Raw Data'!$A$3:$A$2927, $A86,'Raw Data'!L$3:L$2927) / COUNTIF('Raw Data'!$A$3:$A$2927,$A86))</f>
        <v>0</v>
      </c>
      <c r="P86" s="58">
        <f>IF( COUNTIF('Raw Data'!$A$3:$A$2927,$A86)=0,0,SUMIF('Raw Data'!$A$3:$A$2927, $A86,'Raw Data'!M$3:M$2927) / COUNTIF('Raw Data'!$A$3:$A$2927,$A86))</f>
        <v>0</v>
      </c>
      <c r="Q86">
        <f>MAX(IF('Raw Data'!$A$3:$A$927=$A86, 'Raw Data'!$Z$3:$Z$927))</f>
        <v>0</v>
      </c>
      <c r="R86">
        <f>MAX(IF('Raw Data'!$A$3:$A$927=$A86, 'Raw Data'!$T$3:$T$927))</f>
        <v>0</v>
      </c>
      <c r="S86">
        <f>IF( COUNTIF('Raw Data'!$A$3:$A$2927,$A86)=0,0,SUMIF('Raw Data'!$A$3:$A$2927, $A86,'Raw Data'!P$3:P$2927) / COUNTIF('Raw Data'!$A$3:$A$2927,$A86))</f>
        <v>0</v>
      </c>
      <c r="T86">
        <f>IF( COUNTIF('Raw Data'!$A$3:$A$2927,$A86)=0,0,SUMIF('Raw Data'!$A$3:$A$2927, $A86,'Raw Data'!Q$3:Q$2927) / COUNTIF('Raw Data'!$A$3:$A$2927,$A86))</f>
        <v>0.125</v>
      </c>
      <c r="U86">
        <f>IF( COUNTIF('Raw Data'!$A$3:$A$2927,$A86)=0,0,SUMIF('Raw Data'!$A$3:$A$2927, $A86,'Raw Data'!R$3:R$2927) / COUNTIF('Raw Data'!$A$3:$A$2927,$A86))</f>
        <v>0</v>
      </c>
      <c r="V86">
        <f>IF( COUNTIF('Raw Data'!$A$3:$A$2927,$A86)=0,0,SUMIF('Raw Data'!$A$3:$A$2927, $A86,'Raw Data'!S$3:S$2927) / COUNTIF('Raw Data'!$A$3:$A$2927,$A86))</f>
        <v>0</v>
      </c>
      <c r="W86">
        <f>MAX(IF('Raw Data'!$A$3:$A$927=$A86, 'Raw Data'!$Y$3:$Y$927))</f>
        <v>0</v>
      </c>
      <c r="X86">
        <f>IF( COUNTIF('Raw Data'!$A$3:$A$2927,$A86)=0,0,SUMIF('Raw Data'!$A$3:$A$2927, $A86,'Raw Data'!U$3:U$2927) / COUNTIF('Raw Data'!$A$3:$A$2927,$A86))</f>
        <v>0.25</v>
      </c>
      <c r="Y86">
        <f>IF( COUNTIF('Raw Data'!$A$3:$A$2927,$A86)=0,0,SUMIF('Raw Data'!$A$3:$A$2927, $A86,'Raw Data'!V$3:V$2927) / COUNTIF('Raw Data'!$A$3:$A$2927,$A86))</f>
        <v>0</v>
      </c>
      <c r="Z86">
        <f>IF( COUNTIF('Raw Data'!$A$3:$A$2927,$A86)=0,0,SUMIF('Raw Data'!$A$3:$A$2927, $A86,'Raw Data'!W$3:W$2927) / COUNTIF('Raw Data'!$A$3:$A$2927,$A86))</f>
        <v>0</v>
      </c>
      <c r="AA86">
        <f>IF( COUNTIF('Raw Data'!$A$3:$A$2927,$A86)=0,0,SUMIF('Raw Data'!$A$3:$A$2927, $A86,'Raw Data'!X$3:X$2927) / COUNTIF('Raw Data'!$A$3:$A$2927,$A86))</f>
        <v>0</v>
      </c>
      <c r="AB86">
        <f>IF( COUNTIF('Raw Data'!$A$3:$A$2927,$A86)=0,0,SUMIF('Raw Data'!$A$3:$A$2927, $A86,'Raw Data'!AA$3:AA$2927) / COUNTIF('Raw Data'!$A$3:$A$2927,$A86))</f>
        <v>6.875</v>
      </c>
      <c r="AC86">
        <f>IF( COUNTIF('Raw Data'!$A$3:$A$2927,$A86)=0,0,SUMIF('Raw Data'!$A$3:$A$2927, $A86,'Raw Data'!AB$3:AB$2927) / COUNTIF('Raw Data'!$A$3:$A$2927,$A86))</f>
        <v>0</v>
      </c>
      <c r="AD86">
        <f>IF( COUNTIF('Raw Data'!$A$3:$A$2927,$A86)=0,0,SUMIF('Raw Data'!$A$3:$A$2927, $A86,'Raw Data'!AC$3:AC$2927) / COUNTIF('Raw Data'!$A$3:$A$2927,$A86))</f>
        <v>0.625</v>
      </c>
      <c r="AE86" s="117">
        <f>IF( COUNTIF('Raw Data'!$A$3:$A$2927,$A86)=0,0,SUMIF('Raw Data'!$A$3:$A$2927, $A86,'Raw Data'!AD$3:AD$2927) / COUNTIF('Raw Data'!$A$3:$A$2927,$A86))</f>
        <v>0</v>
      </c>
      <c r="AF86">
        <f>IF( COUNTIF('Raw Data'!$A$3:$A$2927,$A86)=0,0,SUMIF('Raw Data'!$A$3:$A$2927, $A86,'Raw Data'!AE$3:AE$2927) / COUNTIF('Raw Data'!$A$3:$A$2927,$A86))</f>
        <v>0.5</v>
      </c>
      <c r="AG86">
        <f>IF( COUNTIF('Raw Data'!$A$3:$A$2927,$A86)=0,0,SUMIF('Raw Data'!$A$3:$A$2927, $A86,'Raw Data'!AF$3:AF$2927) / COUNTIF('Raw Data'!$A$3:$A$2927,$A86))</f>
        <v>0</v>
      </c>
      <c r="AH86">
        <f>IF( COUNTIF('Raw Data'!$A$3:$A$2927,$A86)=0,0,SUMIF('Raw Data'!$A$3:$A$2927, $A86,'Raw Data'!AG$3:AG$2927) / COUNTIF('Raw Data'!$A$3:$A$2927,$A86))</f>
        <v>0.75</v>
      </c>
      <c r="AI86">
        <f>IF( COUNTIF('Raw Data'!$A$3:$A$2927,$A86)=0,0,SUMIF('Raw Data'!$A$3:$A$2927, $A86,'Raw Data'!AH$3:AH$2927) / COUNTIF('Raw Data'!$A$3:$A$2927,$A86))</f>
        <v>0.25</v>
      </c>
      <c r="AJ86" s="117">
        <f>COUNTIF('Raw Data'!A$3:A$2927, $A86)</f>
        <v>8</v>
      </c>
      <c r="AK86">
        <f t="shared" si="11"/>
        <v>-22.585000000000001</v>
      </c>
      <c r="AL86">
        <f t="shared" si="12"/>
        <v>-3.25</v>
      </c>
      <c r="AM86">
        <f t="shared" si="13"/>
        <v>-1.9975000000000001</v>
      </c>
    </row>
    <row r="87" spans="1:39">
      <c r="A87">
        <v>7735</v>
      </c>
      <c r="B87" t="s">
        <v>237</v>
      </c>
      <c r="C87">
        <f t="shared" si="9"/>
        <v>12.700000000000001</v>
      </c>
      <c r="D87">
        <f t="shared" si="10"/>
        <v>6.4</v>
      </c>
      <c r="E87">
        <f>IF( COUNTIF('Raw Data'!$A$3:$A$2927,$A87)=0,0,SUMIF('Raw Data'!$A$3:$A$2927, $A87,'Raw Data'!D$3:D$2927) / COUNTIF('Raw Data'!$A$3:$A$2927,$A87))</f>
        <v>1.6</v>
      </c>
      <c r="F87">
        <f>MAX(IF('Raw Data'!$A$3:$A$927=$A87, 'Raw Data'!$O$3:$O$927))</f>
        <v>0</v>
      </c>
      <c r="G87">
        <f>MAX(IF('Raw Data'!$A$3:$A$927=$A87, 'Raw Data'!$I$3:$I$927))</f>
        <v>0</v>
      </c>
      <c r="H87">
        <f>IF( COUNTIF('Raw Data'!$A$3:$A$2927,$A87)=0,0,SUMIF('Raw Data'!$A$3:$A$2927, $A87,'Raw Data'!E$3:E$2927) / COUNTIF('Raw Data'!$A$3:$A$2927,$A87))</f>
        <v>0</v>
      </c>
      <c r="I87">
        <f>IF( COUNTIF('Raw Data'!$A$3:$A$2927,$A87)=0,0,SUMIF('Raw Data'!$A$3:$A$2927, $A87,'Raw Data'!F$3:F$2927) / COUNTIF('Raw Data'!$A$3:$A$2927,$A87))</f>
        <v>0.1</v>
      </c>
      <c r="J87">
        <f>IF( COUNTIF('Raw Data'!$A$3:$A$2927,$A87)=0,0,SUMIF('Raw Data'!$A$3:$A$2927, $A87,'Raw Data'!G$3:G$2927) / COUNTIF('Raw Data'!$A$3:$A$2927,$A87))</f>
        <v>0</v>
      </c>
      <c r="K87">
        <f>IF( COUNTIF('Raw Data'!$A$3:$A$2927,$A87)=0,0,SUMIF('Raw Data'!$A$3:$A$2927, $A87,'Raw Data'!H$3:H$2927) / COUNTIF('Raw Data'!$A$3:$A$2927,$A87))</f>
        <v>0</v>
      </c>
      <c r="L87">
        <f>MAX(IF('Raw Data'!$A$3:$A$927=$A87, 'Raw Data'!$N$3:$N$927))</f>
        <v>0</v>
      </c>
      <c r="M87">
        <f>IF( COUNTIF('Raw Data'!$A$3:$A$2927,$A87)=0,0,SUMIF('Raw Data'!$A$3:$A$2927, $A87,'Raw Data'!J$3:J$2927) / COUNTIF('Raw Data'!$A$3:$A$2927,$A87))</f>
        <v>0</v>
      </c>
      <c r="N87">
        <f>IF( COUNTIF('Raw Data'!$A$3:$A$2927,$A87)=0,0,SUMIF('Raw Data'!$A$3:$A$2927, $A87,'Raw Data'!K$3:K$2927) / COUNTIF('Raw Data'!$A$3:$A$2927,$A87))</f>
        <v>0</v>
      </c>
      <c r="O87">
        <f>IF( COUNTIF('Raw Data'!$A$3:$A$2927,$A87)=0,0,SUMIF('Raw Data'!$A$3:$A$2927, $A87,'Raw Data'!L$3:L$2927) / COUNTIF('Raw Data'!$A$3:$A$2927,$A87))</f>
        <v>0</v>
      </c>
      <c r="P87" s="58">
        <f>IF( COUNTIF('Raw Data'!$A$3:$A$2927,$A87)=0,0,SUMIF('Raw Data'!$A$3:$A$2927, $A87,'Raw Data'!M$3:M$2927) / COUNTIF('Raw Data'!$A$3:$A$2927,$A87))</f>
        <v>0</v>
      </c>
      <c r="Q87">
        <f>MAX(IF('Raw Data'!$A$3:$A$927=$A87, 'Raw Data'!$Z$3:$Z$927))</f>
        <v>0</v>
      </c>
      <c r="R87">
        <f>MAX(IF('Raw Data'!$A$3:$A$927=$A87, 'Raw Data'!$T$3:$T$927))</f>
        <v>0</v>
      </c>
      <c r="S87">
        <f>IF( COUNTIF('Raw Data'!$A$3:$A$2927,$A87)=0,0,SUMIF('Raw Data'!$A$3:$A$2927, $A87,'Raw Data'!P$3:P$2927) / COUNTIF('Raw Data'!$A$3:$A$2927,$A87))</f>
        <v>0.3</v>
      </c>
      <c r="T87">
        <f>IF( COUNTIF('Raw Data'!$A$3:$A$2927,$A87)=0,0,SUMIF('Raw Data'!$A$3:$A$2927, $A87,'Raw Data'!Q$3:Q$2927) / COUNTIF('Raw Data'!$A$3:$A$2927,$A87))</f>
        <v>0.1</v>
      </c>
      <c r="U87">
        <f>IF( COUNTIF('Raw Data'!$A$3:$A$2927,$A87)=0,0,SUMIF('Raw Data'!$A$3:$A$2927, $A87,'Raw Data'!R$3:R$2927) / COUNTIF('Raw Data'!$A$3:$A$2927,$A87))</f>
        <v>0</v>
      </c>
      <c r="V87">
        <f>IF( COUNTIF('Raw Data'!$A$3:$A$2927,$A87)=0,0,SUMIF('Raw Data'!$A$3:$A$2927, $A87,'Raw Data'!S$3:S$2927) / COUNTIF('Raw Data'!$A$3:$A$2927,$A87))</f>
        <v>0</v>
      </c>
      <c r="W87">
        <f>MAX(IF('Raw Data'!$A$3:$A$927=$A87, 'Raw Data'!$Y$3:$Y$927))</f>
        <v>0</v>
      </c>
      <c r="X87">
        <f>IF( COUNTIF('Raw Data'!$A$3:$A$2927,$A87)=0,0,SUMIF('Raw Data'!$A$3:$A$2927, $A87,'Raw Data'!U$3:U$2927) / COUNTIF('Raw Data'!$A$3:$A$2927,$A87))</f>
        <v>1.8</v>
      </c>
      <c r="Y87">
        <f>IF( COUNTIF('Raw Data'!$A$3:$A$2927,$A87)=0,0,SUMIF('Raw Data'!$A$3:$A$2927, $A87,'Raw Data'!V$3:V$2927) / COUNTIF('Raw Data'!$A$3:$A$2927,$A87))</f>
        <v>0</v>
      </c>
      <c r="Z87">
        <f>IF( COUNTIF('Raw Data'!$A$3:$A$2927,$A87)=0,0,SUMIF('Raw Data'!$A$3:$A$2927, $A87,'Raw Data'!W$3:W$2927) / COUNTIF('Raw Data'!$A$3:$A$2927,$A87))</f>
        <v>0</v>
      </c>
      <c r="AA87">
        <f>IF( COUNTIF('Raw Data'!$A$3:$A$2927,$A87)=0,0,SUMIF('Raw Data'!$A$3:$A$2927, $A87,'Raw Data'!X$3:X$2927) / COUNTIF('Raw Data'!$A$3:$A$2927,$A87))</f>
        <v>0</v>
      </c>
      <c r="AB87">
        <f>IF( COUNTIF('Raw Data'!$A$3:$A$2927,$A87)=0,0,SUMIF('Raw Data'!$A$3:$A$2927, $A87,'Raw Data'!AA$3:AA$2927) / COUNTIF('Raw Data'!$A$3:$A$2927,$A87))</f>
        <v>9</v>
      </c>
      <c r="AC87">
        <f>IF( COUNTIF('Raw Data'!$A$3:$A$2927,$A87)=0,0,SUMIF('Raw Data'!$A$3:$A$2927, $A87,'Raw Data'!AB$3:AB$2927) / COUNTIF('Raw Data'!$A$3:$A$2927,$A87))</f>
        <v>0</v>
      </c>
      <c r="AD87">
        <f>IF( COUNTIF('Raw Data'!$A$3:$A$2927,$A87)=0,0,SUMIF('Raw Data'!$A$3:$A$2927, $A87,'Raw Data'!AC$3:AC$2927) / COUNTIF('Raw Data'!$A$3:$A$2927,$A87))</f>
        <v>0.8</v>
      </c>
      <c r="AE87" s="117">
        <f>IF( COUNTIF('Raw Data'!$A$3:$A$2927,$A87)=0,0,SUMIF('Raw Data'!$A$3:$A$2927, $A87,'Raw Data'!AD$3:AD$2927) / COUNTIF('Raw Data'!$A$3:$A$2927,$A87))</f>
        <v>0</v>
      </c>
      <c r="AF87">
        <f>IF( COUNTIF('Raw Data'!$A$3:$A$2927,$A87)=0,0,SUMIF('Raw Data'!$A$3:$A$2927, $A87,'Raw Data'!AE$3:AE$2927) / COUNTIF('Raw Data'!$A$3:$A$2927,$A87))</f>
        <v>0</v>
      </c>
      <c r="AG87">
        <f>IF( COUNTIF('Raw Data'!$A$3:$A$2927,$A87)=0,0,SUMIF('Raw Data'!$A$3:$A$2927, $A87,'Raw Data'!AF$3:AF$2927) / COUNTIF('Raw Data'!$A$3:$A$2927,$A87))</f>
        <v>0</v>
      </c>
      <c r="AH87">
        <f>IF( COUNTIF('Raw Data'!$A$3:$A$2927,$A87)=0,0,SUMIF('Raw Data'!$A$3:$A$2927, $A87,'Raw Data'!AG$3:AG$2927) / COUNTIF('Raw Data'!$A$3:$A$2927,$A87))</f>
        <v>0.9</v>
      </c>
      <c r="AI87">
        <f>IF( COUNTIF('Raw Data'!$A$3:$A$2927,$A87)=0,0,SUMIF('Raw Data'!$A$3:$A$2927, $A87,'Raw Data'!AH$3:AH$2927) / COUNTIF('Raw Data'!$A$3:$A$2927,$A87))</f>
        <v>0.1</v>
      </c>
      <c r="AJ87" s="117">
        <f>COUNTIF('Raw Data'!A$3:A$2927, $A87)</f>
        <v>10</v>
      </c>
      <c r="AK87">
        <f t="shared" si="11"/>
        <v>2.0379999999999998</v>
      </c>
      <c r="AL87">
        <f t="shared" si="12"/>
        <v>-9.9999999999999978E-2</v>
      </c>
      <c r="AM87">
        <f t="shared" si="13"/>
        <v>1.5030000000000001</v>
      </c>
    </row>
    <row r="88" spans="1:39">
      <c r="A88">
        <v>7757</v>
      </c>
      <c r="B88" t="s">
        <v>462</v>
      </c>
      <c r="C88">
        <f t="shared" si="9"/>
        <v>0</v>
      </c>
      <c r="D88">
        <f t="shared" si="10"/>
        <v>0</v>
      </c>
      <c r="E88">
        <f>IF( COUNTIF('Raw Data'!$A$3:$A$2927,$A88)=0,0,SUMIF('Raw Data'!$A$3:$A$2927, $A88,'Raw Data'!D$3:D$2927) / COUNTIF('Raw Data'!$A$3:$A$2927,$A88))</f>
        <v>0</v>
      </c>
      <c r="F88">
        <f>MAX(IF('Raw Data'!$A$3:$A$927=$A88, 'Raw Data'!$O$3:$O$927))</f>
        <v>0</v>
      </c>
      <c r="G88">
        <f>MAX(IF('Raw Data'!$A$3:$A$927=$A88, 'Raw Data'!$I$3:$I$927))</f>
        <v>0</v>
      </c>
      <c r="H88">
        <f>IF( COUNTIF('Raw Data'!$A$3:$A$2927,$A88)=0,0,SUMIF('Raw Data'!$A$3:$A$2927, $A88,'Raw Data'!E$3:E$2927) / COUNTIF('Raw Data'!$A$3:$A$2927,$A88))</f>
        <v>0</v>
      </c>
      <c r="I88">
        <f>IF( COUNTIF('Raw Data'!$A$3:$A$2927,$A88)=0,0,SUMIF('Raw Data'!$A$3:$A$2927, $A88,'Raw Data'!F$3:F$2927) / COUNTIF('Raw Data'!$A$3:$A$2927,$A88))</f>
        <v>0</v>
      </c>
      <c r="J88">
        <f>IF( COUNTIF('Raw Data'!$A$3:$A$2927,$A88)=0,0,SUMIF('Raw Data'!$A$3:$A$2927, $A88,'Raw Data'!G$3:G$2927) / COUNTIF('Raw Data'!$A$3:$A$2927,$A88))</f>
        <v>0</v>
      </c>
      <c r="K88">
        <f>IF( COUNTIF('Raw Data'!$A$3:$A$2927,$A88)=0,0,SUMIF('Raw Data'!$A$3:$A$2927, $A88,'Raw Data'!H$3:H$2927) / COUNTIF('Raw Data'!$A$3:$A$2927,$A88))</f>
        <v>0</v>
      </c>
      <c r="L88">
        <f>MAX(IF('Raw Data'!$A$3:$A$927=$A88, 'Raw Data'!$N$3:$N$927))</f>
        <v>0</v>
      </c>
      <c r="M88">
        <f>IF( COUNTIF('Raw Data'!$A$3:$A$2927,$A88)=0,0,SUMIF('Raw Data'!$A$3:$A$2927, $A88,'Raw Data'!J$3:J$2927) / COUNTIF('Raw Data'!$A$3:$A$2927,$A88))</f>
        <v>0</v>
      </c>
      <c r="N88">
        <f>IF( COUNTIF('Raw Data'!$A$3:$A$2927,$A88)=0,0,SUMIF('Raw Data'!$A$3:$A$2927, $A88,'Raw Data'!K$3:K$2927) / COUNTIF('Raw Data'!$A$3:$A$2927,$A88))</f>
        <v>0</v>
      </c>
      <c r="O88">
        <f>IF( COUNTIF('Raw Data'!$A$3:$A$2927,$A88)=0,0,SUMIF('Raw Data'!$A$3:$A$2927, $A88,'Raw Data'!L$3:L$2927) / COUNTIF('Raw Data'!$A$3:$A$2927,$A88))</f>
        <v>0</v>
      </c>
      <c r="P88" s="58">
        <f>IF( COUNTIF('Raw Data'!$A$3:$A$2927,$A88)=0,0,SUMIF('Raw Data'!$A$3:$A$2927, $A88,'Raw Data'!M$3:M$2927) / COUNTIF('Raw Data'!$A$3:$A$2927,$A88))</f>
        <v>0</v>
      </c>
      <c r="Q88">
        <f>MAX(IF('Raw Data'!$A$3:$A$927=$A88, 'Raw Data'!$Z$3:$Z$927))</f>
        <v>0</v>
      </c>
      <c r="R88">
        <f>MAX(IF('Raw Data'!$A$3:$A$927=$A88, 'Raw Data'!$T$3:$T$927))</f>
        <v>0</v>
      </c>
      <c r="S88">
        <f>IF( COUNTIF('Raw Data'!$A$3:$A$2927,$A88)=0,0,SUMIF('Raw Data'!$A$3:$A$2927, $A88,'Raw Data'!P$3:P$2927) / COUNTIF('Raw Data'!$A$3:$A$2927,$A88))</f>
        <v>0</v>
      </c>
      <c r="T88">
        <f>IF( COUNTIF('Raw Data'!$A$3:$A$2927,$A88)=0,0,SUMIF('Raw Data'!$A$3:$A$2927, $A88,'Raw Data'!Q$3:Q$2927) / COUNTIF('Raw Data'!$A$3:$A$2927,$A88))</f>
        <v>0</v>
      </c>
      <c r="U88">
        <f>IF( COUNTIF('Raw Data'!$A$3:$A$2927,$A88)=0,0,SUMIF('Raw Data'!$A$3:$A$2927, $A88,'Raw Data'!R$3:R$2927) / COUNTIF('Raw Data'!$A$3:$A$2927,$A88))</f>
        <v>0</v>
      </c>
      <c r="V88">
        <f>IF( COUNTIF('Raw Data'!$A$3:$A$2927,$A88)=0,0,SUMIF('Raw Data'!$A$3:$A$2927, $A88,'Raw Data'!S$3:S$2927) / COUNTIF('Raw Data'!$A$3:$A$2927,$A88))</f>
        <v>0</v>
      </c>
      <c r="W88">
        <f>MAX(IF('Raw Data'!$A$3:$A$927=$A88, 'Raw Data'!$Y$3:$Y$927))</f>
        <v>0</v>
      </c>
      <c r="X88">
        <f>IF( COUNTIF('Raw Data'!$A$3:$A$2927,$A88)=0,0,SUMIF('Raw Data'!$A$3:$A$2927, $A88,'Raw Data'!U$3:U$2927) / COUNTIF('Raw Data'!$A$3:$A$2927,$A88))</f>
        <v>0</v>
      </c>
      <c r="Y88">
        <f>IF( COUNTIF('Raw Data'!$A$3:$A$2927,$A88)=0,0,SUMIF('Raw Data'!$A$3:$A$2927, $A88,'Raw Data'!V$3:V$2927) / COUNTIF('Raw Data'!$A$3:$A$2927,$A88))</f>
        <v>0</v>
      </c>
      <c r="Z88">
        <f>IF( COUNTIF('Raw Data'!$A$3:$A$2927,$A88)=0,0,SUMIF('Raw Data'!$A$3:$A$2927, $A88,'Raw Data'!W$3:W$2927) / COUNTIF('Raw Data'!$A$3:$A$2927,$A88))</f>
        <v>0</v>
      </c>
      <c r="AA88">
        <f>IF( COUNTIF('Raw Data'!$A$3:$A$2927,$A88)=0,0,SUMIF('Raw Data'!$A$3:$A$2927, $A88,'Raw Data'!X$3:X$2927) / COUNTIF('Raw Data'!$A$3:$A$2927,$A88))</f>
        <v>0</v>
      </c>
      <c r="AB88">
        <f>IF( COUNTIF('Raw Data'!$A$3:$A$2927,$A88)=0,0,SUMIF('Raw Data'!$A$3:$A$2927, $A88,'Raw Data'!AA$3:AA$2927) / COUNTIF('Raw Data'!$A$3:$A$2927,$A88))</f>
        <v>0</v>
      </c>
      <c r="AC88">
        <f>IF( COUNTIF('Raw Data'!$A$3:$A$2927,$A88)=0,0,SUMIF('Raw Data'!$A$3:$A$2927, $A88,'Raw Data'!AB$3:AB$2927) / COUNTIF('Raw Data'!$A$3:$A$2927,$A88))</f>
        <v>0</v>
      </c>
      <c r="AD88">
        <f>IF( COUNTIF('Raw Data'!$A$3:$A$2927,$A88)=0,0,SUMIF('Raw Data'!$A$3:$A$2927, $A88,'Raw Data'!AC$3:AC$2927) / COUNTIF('Raw Data'!$A$3:$A$2927,$A88))</f>
        <v>0</v>
      </c>
      <c r="AE88" s="117">
        <f>IF( COUNTIF('Raw Data'!$A$3:$A$2927,$A88)=0,0,SUMIF('Raw Data'!$A$3:$A$2927, $A88,'Raw Data'!AD$3:AD$2927) / COUNTIF('Raw Data'!$A$3:$A$2927,$A88))</f>
        <v>0</v>
      </c>
      <c r="AF88">
        <f>IF( COUNTIF('Raw Data'!$A$3:$A$2927,$A88)=0,0,SUMIF('Raw Data'!$A$3:$A$2927, $A88,'Raw Data'!AE$3:AE$2927) / COUNTIF('Raw Data'!$A$3:$A$2927,$A88))</f>
        <v>0</v>
      </c>
      <c r="AG88">
        <f>IF( COUNTIF('Raw Data'!$A$3:$A$2927,$A88)=0,0,SUMIF('Raw Data'!$A$3:$A$2927, $A88,'Raw Data'!AF$3:AF$2927) / COUNTIF('Raw Data'!$A$3:$A$2927,$A88))</f>
        <v>0</v>
      </c>
      <c r="AH88">
        <f>IF( COUNTIF('Raw Data'!$A$3:$A$2927,$A88)=0,0,SUMIF('Raw Data'!$A$3:$A$2927, $A88,'Raw Data'!AG$3:AG$2927) / COUNTIF('Raw Data'!$A$3:$A$2927,$A88))</f>
        <v>0</v>
      </c>
      <c r="AI88">
        <f>IF( COUNTIF('Raw Data'!$A$3:$A$2927,$A88)=0,0,SUMIF('Raw Data'!$A$3:$A$2927, $A88,'Raw Data'!AH$3:AH$2927) / COUNTIF('Raw Data'!$A$3:$A$2927,$A88))</f>
        <v>0</v>
      </c>
      <c r="AJ88" s="117">
        <f>COUNTIF('Raw Data'!A$3:A$2927, $A88)</f>
        <v>0</v>
      </c>
      <c r="AK88">
        <f t="shared" si="11"/>
        <v>-21</v>
      </c>
      <c r="AL88">
        <f t="shared" si="12"/>
        <v>-1.5</v>
      </c>
      <c r="AM88">
        <f t="shared" si="13"/>
        <v>-1</v>
      </c>
    </row>
    <row r="89" spans="1:39">
      <c r="A89">
        <v>7806</v>
      </c>
      <c r="B89" t="s">
        <v>463</v>
      </c>
      <c r="C89">
        <f t="shared" si="9"/>
        <v>0</v>
      </c>
      <c r="D89">
        <f t="shared" si="10"/>
        <v>0</v>
      </c>
      <c r="E89">
        <f>IF( COUNTIF('Raw Data'!$A$3:$A$2927,$A89)=0,0,SUMIF('Raw Data'!$A$3:$A$2927, $A89,'Raw Data'!D$3:D$2927) / COUNTIF('Raw Data'!$A$3:$A$2927,$A89))</f>
        <v>0</v>
      </c>
      <c r="F89">
        <f>MAX(IF('Raw Data'!$A$3:$A$927=$A89, 'Raw Data'!$O$3:$O$927))</f>
        <v>0</v>
      </c>
      <c r="G89">
        <f>MAX(IF('Raw Data'!$A$3:$A$927=$A89, 'Raw Data'!$I$3:$I$927))</f>
        <v>0</v>
      </c>
      <c r="H89">
        <f>IF( COUNTIF('Raw Data'!$A$3:$A$2927,$A89)=0,0,SUMIF('Raw Data'!$A$3:$A$2927, $A89,'Raw Data'!E$3:E$2927) / COUNTIF('Raw Data'!$A$3:$A$2927,$A89))</f>
        <v>0</v>
      </c>
      <c r="I89">
        <f>IF( COUNTIF('Raw Data'!$A$3:$A$2927,$A89)=0,0,SUMIF('Raw Data'!$A$3:$A$2927, $A89,'Raw Data'!F$3:F$2927) / COUNTIF('Raw Data'!$A$3:$A$2927,$A89))</f>
        <v>0</v>
      </c>
      <c r="J89">
        <f>IF( COUNTIF('Raw Data'!$A$3:$A$2927,$A89)=0,0,SUMIF('Raw Data'!$A$3:$A$2927, $A89,'Raw Data'!G$3:G$2927) / COUNTIF('Raw Data'!$A$3:$A$2927,$A89))</f>
        <v>0</v>
      </c>
      <c r="K89">
        <f>IF( COUNTIF('Raw Data'!$A$3:$A$2927,$A89)=0,0,SUMIF('Raw Data'!$A$3:$A$2927, $A89,'Raw Data'!H$3:H$2927) / COUNTIF('Raw Data'!$A$3:$A$2927,$A89))</f>
        <v>0</v>
      </c>
      <c r="L89">
        <f>MAX(IF('Raw Data'!$A$3:$A$927=$A89, 'Raw Data'!$N$3:$N$927))</f>
        <v>0</v>
      </c>
      <c r="M89">
        <f>IF( COUNTIF('Raw Data'!$A$3:$A$2927,$A89)=0,0,SUMIF('Raw Data'!$A$3:$A$2927, $A89,'Raw Data'!J$3:J$2927) / COUNTIF('Raw Data'!$A$3:$A$2927,$A89))</f>
        <v>0</v>
      </c>
      <c r="N89">
        <f>IF( COUNTIF('Raw Data'!$A$3:$A$2927,$A89)=0,0,SUMIF('Raw Data'!$A$3:$A$2927, $A89,'Raw Data'!K$3:K$2927) / COUNTIF('Raw Data'!$A$3:$A$2927,$A89))</f>
        <v>0</v>
      </c>
      <c r="O89">
        <f>IF( COUNTIF('Raw Data'!$A$3:$A$2927,$A89)=0,0,SUMIF('Raw Data'!$A$3:$A$2927, $A89,'Raw Data'!L$3:L$2927) / COUNTIF('Raw Data'!$A$3:$A$2927,$A89))</f>
        <v>0</v>
      </c>
      <c r="P89" s="58">
        <f>IF( COUNTIF('Raw Data'!$A$3:$A$2927,$A89)=0,0,SUMIF('Raw Data'!$A$3:$A$2927, $A89,'Raw Data'!M$3:M$2927) / COUNTIF('Raw Data'!$A$3:$A$2927,$A89))</f>
        <v>0</v>
      </c>
      <c r="Q89">
        <f>MAX(IF('Raw Data'!$A$3:$A$927=$A89, 'Raw Data'!$Z$3:$Z$927))</f>
        <v>0</v>
      </c>
      <c r="R89">
        <f>MAX(IF('Raw Data'!$A$3:$A$927=$A89, 'Raw Data'!$T$3:$T$927))</f>
        <v>0</v>
      </c>
      <c r="S89">
        <f>IF( COUNTIF('Raw Data'!$A$3:$A$2927,$A89)=0,0,SUMIF('Raw Data'!$A$3:$A$2927, $A89,'Raw Data'!P$3:P$2927) / COUNTIF('Raw Data'!$A$3:$A$2927,$A89))</f>
        <v>0</v>
      </c>
      <c r="T89">
        <f>IF( COUNTIF('Raw Data'!$A$3:$A$2927,$A89)=0,0,SUMIF('Raw Data'!$A$3:$A$2927, $A89,'Raw Data'!Q$3:Q$2927) / COUNTIF('Raw Data'!$A$3:$A$2927,$A89))</f>
        <v>0</v>
      </c>
      <c r="U89">
        <f>IF( COUNTIF('Raw Data'!$A$3:$A$2927,$A89)=0,0,SUMIF('Raw Data'!$A$3:$A$2927, $A89,'Raw Data'!R$3:R$2927) / COUNTIF('Raw Data'!$A$3:$A$2927,$A89))</f>
        <v>0</v>
      </c>
      <c r="V89">
        <f>IF( COUNTIF('Raw Data'!$A$3:$A$2927,$A89)=0,0,SUMIF('Raw Data'!$A$3:$A$2927, $A89,'Raw Data'!S$3:S$2927) / COUNTIF('Raw Data'!$A$3:$A$2927,$A89))</f>
        <v>0</v>
      </c>
      <c r="W89">
        <f>MAX(IF('Raw Data'!$A$3:$A$927=$A89, 'Raw Data'!$Y$3:$Y$927))</f>
        <v>0</v>
      </c>
      <c r="X89">
        <f>IF( COUNTIF('Raw Data'!$A$3:$A$2927,$A89)=0,0,SUMIF('Raw Data'!$A$3:$A$2927, $A89,'Raw Data'!U$3:U$2927) / COUNTIF('Raw Data'!$A$3:$A$2927,$A89))</f>
        <v>0</v>
      </c>
      <c r="Y89">
        <f>IF( COUNTIF('Raw Data'!$A$3:$A$2927,$A89)=0,0,SUMIF('Raw Data'!$A$3:$A$2927, $A89,'Raw Data'!V$3:V$2927) / COUNTIF('Raw Data'!$A$3:$A$2927,$A89))</f>
        <v>0</v>
      </c>
      <c r="Z89">
        <f>IF( COUNTIF('Raw Data'!$A$3:$A$2927,$A89)=0,0,SUMIF('Raw Data'!$A$3:$A$2927, $A89,'Raw Data'!W$3:W$2927) / COUNTIF('Raw Data'!$A$3:$A$2927,$A89))</f>
        <v>0</v>
      </c>
      <c r="AA89">
        <f>IF( COUNTIF('Raw Data'!$A$3:$A$2927,$A89)=0,0,SUMIF('Raw Data'!$A$3:$A$2927, $A89,'Raw Data'!X$3:X$2927) / COUNTIF('Raw Data'!$A$3:$A$2927,$A89))</f>
        <v>0</v>
      </c>
      <c r="AB89">
        <f>IF( COUNTIF('Raw Data'!$A$3:$A$2927,$A89)=0,0,SUMIF('Raw Data'!$A$3:$A$2927, $A89,'Raw Data'!AA$3:AA$2927) / COUNTIF('Raw Data'!$A$3:$A$2927,$A89))</f>
        <v>0</v>
      </c>
      <c r="AC89">
        <f>IF( COUNTIF('Raw Data'!$A$3:$A$2927,$A89)=0,0,SUMIF('Raw Data'!$A$3:$A$2927, $A89,'Raw Data'!AB$3:AB$2927) / COUNTIF('Raw Data'!$A$3:$A$2927,$A89))</f>
        <v>0</v>
      </c>
      <c r="AD89">
        <f>IF( COUNTIF('Raw Data'!$A$3:$A$2927,$A89)=0,0,SUMIF('Raw Data'!$A$3:$A$2927, $A89,'Raw Data'!AC$3:AC$2927) / COUNTIF('Raw Data'!$A$3:$A$2927,$A89))</f>
        <v>0</v>
      </c>
      <c r="AE89" s="117">
        <f>IF( COUNTIF('Raw Data'!$A$3:$A$2927,$A89)=0,0,SUMIF('Raw Data'!$A$3:$A$2927, $A89,'Raw Data'!AD$3:AD$2927) / COUNTIF('Raw Data'!$A$3:$A$2927,$A89))</f>
        <v>0</v>
      </c>
      <c r="AF89">
        <f>IF( COUNTIF('Raw Data'!$A$3:$A$2927,$A89)=0,0,SUMIF('Raw Data'!$A$3:$A$2927, $A89,'Raw Data'!AE$3:AE$2927) / COUNTIF('Raw Data'!$A$3:$A$2927,$A89))</f>
        <v>0</v>
      </c>
      <c r="AG89">
        <f>IF( COUNTIF('Raw Data'!$A$3:$A$2927,$A89)=0,0,SUMIF('Raw Data'!$A$3:$A$2927, $A89,'Raw Data'!AF$3:AF$2927) / COUNTIF('Raw Data'!$A$3:$A$2927,$A89))</f>
        <v>0</v>
      </c>
      <c r="AH89">
        <f>IF( COUNTIF('Raw Data'!$A$3:$A$2927,$A89)=0,0,SUMIF('Raw Data'!$A$3:$A$2927, $A89,'Raw Data'!AG$3:AG$2927) / COUNTIF('Raw Data'!$A$3:$A$2927,$A89))</f>
        <v>0</v>
      </c>
      <c r="AI89">
        <f>IF( COUNTIF('Raw Data'!$A$3:$A$2927,$A89)=0,0,SUMIF('Raw Data'!$A$3:$A$2927, $A89,'Raw Data'!AH$3:AH$2927) / COUNTIF('Raw Data'!$A$3:$A$2927,$A89))</f>
        <v>0</v>
      </c>
      <c r="AJ89" s="117">
        <f>COUNTIF('Raw Data'!A$3:A$2927, $A89)</f>
        <v>0</v>
      </c>
      <c r="AK89">
        <f t="shared" si="11"/>
        <v>-21</v>
      </c>
      <c r="AL89">
        <f t="shared" si="12"/>
        <v>-1.5</v>
      </c>
      <c r="AM89">
        <f t="shared" si="13"/>
        <v>-1</v>
      </c>
    </row>
    <row r="90" spans="1:39">
      <c r="A90">
        <v>7902</v>
      </c>
      <c r="B90" t="s">
        <v>464</v>
      </c>
      <c r="C90">
        <f t="shared" si="9"/>
        <v>0</v>
      </c>
      <c r="D90">
        <f t="shared" si="10"/>
        <v>0</v>
      </c>
      <c r="E90">
        <f>IF( COUNTIF('Raw Data'!$A$3:$A$2927,$A90)=0,0,SUMIF('Raw Data'!$A$3:$A$2927, $A90,'Raw Data'!D$3:D$2927) / COUNTIF('Raw Data'!$A$3:$A$2927,$A90))</f>
        <v>0</v>
      </c>
      <c r="F90">
        <f>MAX(IF('Raw Data'!$A$3:$A$927=$A90, 'Raw Data'!$O$3:$O$927))</f>
        <v>0</v>
      </c>
      <c r="G90">
        <f>MAX(IF('Raw Data'!$A$3:$A$927=$A90, 'Raw Data'!$I$3:$I$927))</f>
        <v>0</v>
      </c>
      <c r="H90">
        <f>IF( COUNTIF('Raw Data'!$A$3:$A$2927,$A90)=0,0,SUMIF('Raw Data'!$A$3:$A$2927, $A90,'Raw Data'!E$3:E$2927) / COUNTIF('Raw Data'!$A$3:$A$2927,$A90))</f>
        <v>0</v>
      </c>
      <c r="I90">
        <f>IF( COUNTIF('Raw Data'!$A$3:$A$2927,$A90)=0,0,SUMIF('Raw Data'!$A$3:$A$2927, $A90,'Raw Data'!F$3:F$2927) / COUNTIF('Raw Data'!$A$3:$A$2927,$A90))</f>
        <v>0</v>
      </c>
      <c r="J90">
        <f>IF( COUNTIF('Raw Data'!$A$3:$A$2927,$A90)=0,0,SUMIF('Raw Data'!$A$3:$A$2927, $A90,'Raw Data'!G$3:G$2927) / COUNTIF('Raw Data'!$A$3:$A$2927,$A90))</f>
        <v>0</v>
      </c>
      <c r="K90">
        <f>IF( COUNTIF('Raw Data'!$A$3:$A$2927,$A90)=0,0,SUMIF('Raw Data'!$A$3:$A$2927, $A90,'Raw Data'!H$3:H$2927) / COUNTIF('Raw Data'!$A$3:$A$2927,$A90))</f>
        <v>0</v>
      </c>
      <c r="L90">
        <f>MAX(IF('Raw Data'!$A$3:$A$927=$A90, 'Raw Data'!$N$3:$N$927))</f>
        <v>0</v>
      </c>
      <c r="M90">
        <f>IF( COUNTIF('Raw Data'!$A$3:$A$2927,$A90)=0,0,SUMIF('Raw Data'!$A$3:$A$2927, $A90,'Raw Data'!J$3:J$2927) / COUNTIF('Raw Data'!$A$3:$A$2927,$A90))</f>
        <v>0</v>
      </c>
      <c r="N90">
        <f>IF( COUNTIF('Raw Data'!$A$3:$A$2927,$A90)=0,0,SUMIF('Raw Data'!$A$3:$A$2927, $A90,'Raw Data'!K$3:K$2927) / COUNTIF('Raw Data'!$A$3:$A$2927,$A90))</f>
        <v>0</v>
      </c>
      <c r="O90">
        <f>IF( COUNTIF('Raw Data'!$A$3:$A$2927,$A90)=0,0,SUMIF('Raw Data'!$A$3:$A$2927, $A90,'Raw Data'!L$3:L$2927) / COUNTIF('Raw Data'!$A$3:$A$2927,$A90))</f>
        <v>0</v>
      </c>
      <c r="P90" s="58">
        <f>IF( COUNTIF('Raw Data'!$A$3:$A$2927,$A90)=0,0,SUMIF('Raw Data'!$A$3:$A$2927, $A90,'Raw Data'!M$3:M$2927) / COUNTIF('Raw Data'!$A$3:$A$2927,$A90))</f>
        <v>0</v>
      </c>
      <c r="Q90">
        <f>MAX(IF('Raw Data'!$A$3:$A$927=$A90, 'Raw Data'!$Z$3:$Z$927))</f>
        <v>0</v>
      </c>
      <c r="R90">
        <f>MAX(IF('Raw Data'!$A$3:$A$927=$A90, 'Raw Data'!$T$3:$T$927))</f>
        <v>0</v>
      </c>
      <c r="S90">
        <f>IF( COUNTIF('Raw Data'!$A$3:$A$2927,$A90)=0,0,SUMIF('Raw Data'!$A$3:$A$2927, $A90,'Raw Data'!P$3:P$2927) / COUNTIF('Raw Data'!$A$3:$A$2927,$A90))</f>
        <v>0</v>
      </c>
      <c r="T90">
        <f>IF( COUNTIF('Raw Data'!$A$3:$A$2927,$A90)=0,0,SUMIF('Raw Data'!$A$3:$A$2927, $A90,'Raw Data'!Q$3:Q$2927) / COUNTIF('Raw Data'!$A$3:$A$2927,$A90))</f>
        <v>0</v>
      </c>
      <c r="U90">
        <f>IF( COUNTIF('Raw Data'!$A$3:$A$2927,$A90)=0,0,SUMIF('Raw Data'!$A$3:$A$2927, $A90,'Raw Data'!R$3:R$2927) / COUNTIF('Raw Data'!$A$3:$A$2927,$A90))</f>
        <v>0</v>
      </c>
      <c r="V90">
        <f>IF( COUNTIF('Raw Data'!$A$3:$A$2927,$A90)=0,0,SUMIF('Raw Data'!$A$3:$A$2927, $A90,'Raw Data'!S$3:S$2927) / COUNTIF('Raw Data'!$A$3:$A$2927,$A90))</f>
        <v>0</v>
      </c>
      <c r="W90">
        <f>MAX(IF('Raw Data'!$A$3:$A$927=$A90, 'Raw Data'!$Y$3:$Y$927))</f>
        <v>0</v>
      </c>
      <c r="X90">
        <f>IF( COUNTIF('Raw Data'!$A$3:$A$2927,$A90)=0,0,SUMIF('Raw Data'!$A$3:$A$2927, $A90,'Raw Data'!U$3:U$2927) / COUNTIF('Raw Data'!$A$3:$A$2927,$A90))</f>
        <v>0</v>
      </c>
      <c r="Y90">
        <f>IF( COUNTIF('Raw Data'!$A$3:$A$2927,$A90)=0,0,SUMIF('Raw Data'!$A$3:$A$2927, $A90,'Raw Data'!V$3:V$2927) / COUNTIF('Raw Data'!$A$3:$A$2927,$A90))</f>
        <v>0</v>
      </c>
      <c r="Z90">
        <f>IF( COUNTIF('Raw Data'!$A$3:$A$2927,$A90)=0,0,SUMIF('Raw Data'!$A$3:$A$2927, $A90,'Raw Data'!W$3:W$2927) / COUNTIF('Raw Data'!$A$3:$A$2927,$A90))</f>
        <v>0</v>
      </c>
      <c r="AA90">
        <f>IF( COUNTIF('Raw Data'!$A$3:$A$2927,$A90)=0,0,SUMIF('Raw Data'!$A$3:$A$2927, $A90,'Raw Data'!X$3:X$2927) / COUNTIF('Raw Data'!$A$3:$A$2927,$A90))</f>
        <v>0</v>
      </c>
      <c r="AB90">
        <f>IF( COUNTIF('Raw Data'!$A$3:$A$2927,$A90)=0,0,SUMIF('Raw Data'!$A$3:$A$2927, $A90,'Raw Data'!AA$3:AA$2927) / COUNTIF('Raw Data'!$A$3:$A$2927,$A90))</f>
        <v>0</v>
      </c>
      <c r="AC90">
        <f>IF( COUNTIF('Raw Data'!$A$3:$A$2927,$A90)=0,0,SUMIF('Raw Data'!$A$3:$A$2927, $A90,'Raw Data'!AB$3:AB$2927) / COUNTIF('Raw Data'!$A$3:$A$2927,$A90))</f>
        <v>0</v>
      </c>
      <c r="AD90">
        <f>IF( COUNTIF('Raw Data'!$A$3:$A$2927,$A90)=0,0,SUMIF('Raw Data'!$A$3:$A$2927, $A90,'Raw Data'!AC$3:AC$2927) / COUNTIF('Raw Data'!$A$3:$A$2927,$A90))</f>
        <v>0</v>
      </c>
      <c r="AE90" s="117">
        <f>IF( COUNTIF('Raw Data'!$A$3:$A$2927,$A90)=0,0,SUMIF('Raw Data'!$A$3:$A$2927, $A90,'Raw Data'!AD$3:AD$2927) / COUNTIF('Raw Data'!$A$3:$A$2927,$A90))</f>
        <v>0</v>
      </c>
      <c r="AF90">
        <f>IF( COUNTIF('Raw Data'!$A$3:$A$2927,$A90)=0,0,SUMIF('Raw Data'!$A$3:$A$2927, $A90,'Raw Data'!AE$3:AE$2927) / COUNTIF('Raw Data'!$A$3:$A$2927,$A90))</f>
        <v>0</v>
      </c>
      <c r="AG90">
        <f>IF( COUNTIF('Raw Data'!$A$3:$A$2927,$A90)=0,0,SUMIF('Raw Data'!$A$3:$A$2927, $A90,'Raw Data'!AF$3:AF$2927) / COUNTIF('Raw Data'!$A$3:$A$2927,$A90))</f>
        <v>0</v>
      </c>
      <c r="AH90">
        <f>IF( COUNTIF('Raw Data'!$A$3:$A$2927,$A90)=0,0,SUMIF('Raw Data'!$A$3:$A$2927, $A90,'Raw Data'!AG$3:AG$2927) / COUNTIF('Raw Data'!$A$3:$A$2927,$A90))</f>
        <v>0</v>
      </c>
      <c r="AI90">
        <f>IF( COUNTIF('Raw Data'!$A$3:$A$2927,$A90)=0,0,SUMIF('Raw Data'!$A$3:$A$2927, $A90,'Raw Data'!AH$3:AH$2927) / COUNTIF('Raw Data'!$A$3:$A$2927,$A90))</f>
        <v>0</v>
      </c>
      <c r="AJ90" s="117">
        <f>COUNTIF('Raw Data'!A$3:A$2927, $A90)</f>
        <v>0</v>
      </c>
      <c r="AK90">
        <f t="shared" si="11"/>
        <v>-21</v>
      </c>
      <c r="AL90">
        <f t="shared" si="12"/>
        <v>-1.5</v>
      </c>
      <c r="AM90">
        <f t="shared" si="13"/>
        <v>-1</v>
      </c>
    </row>
    <row r="91" spans="1:39">
      <c r="AE91" s="117"/>
      <c r="AJ91" s="117"/>
    </row>
    <row r="92" spans="1:39">
      <c r="AE92" s="117"/>
      <c r="AJ92" s="117"/>
    </row>
    <row r="93" spans="1:39">
      <c r="AE93" s="117"/>
      <c r="AJ93" s="117"/>
    </row>
    <row r="94" spans="1:39">
      <c r="AE94" s="117"/>
      <c r="AJ94" s="117"/>
    </row>
    <row r="95" spans="1:39">
      <c r="AE95" s="117"/>
      <c r="AJ95" s="117"/>
    </row>
    <row r="96" spans="1:39">
      <c r="AE96" s="117"/>
      <c r="AJ96" s="117"/>
    </row>
    <row r="97" spans="31:36">
      <c r="AE97" s="117"/>
      <c r="AJ97" s="117"/>
    </row>
    <row r="98" spans="31:36">
      <c r="AE98" s="117"/>
      <c r="AJ98" s="117"/>
    </row>
    <row r="99" spans="31:36">
      <c r="AE99" s="117"/>
      <c r="AJ99" s="117"/>
    </row>
    <row r="100" spans="31:36">
      <c r="AE100" s="117"/>
      <c r="AJ100" s="117"/>
    </row>
    <row r="101" spans="31:36">
      <c r="AE101" s="117"/>
      <c r="AJ101" s="117"/>
    </row>
    <row r="102" spans="31:36">
      <c r="AE102" s="117"/>
      <c r="AJ102" s="117"/>
    </row>
    <row r="103" spans="31:36">
      <c r="AE103" s="117"/>
      <c r="AJ103" s="117"/>
    </row>
    <row r="104" spans="31:36">
      <c r="AE104" s="117"/>
      <c r="AJ104" s="117"/>
    </row>
    <row r="105" spans="31:36">
      <c r="AE105" s="117"/>
      <c r="AJ105" s="117"/>
    </row>
    <row r="106" spans="31:36">
      <c r="AE106" s="117"/>
      <c r="AJ106" s="117"/>
    </row>
    <row r="107" spans="31:36">
      <c r="AE107" s="117"/>
      <c r="AJ107" s="117"/>
    </row>
    <row r="108" spans="31:36">
      <c r="AE108" s="117"/>
      <c r="AJ108" s="117"/>
    </row>
    <row r="109" spans="31:36">
      <c r="AE109" s="117"/>
      <c r="AJ109" s="117"/>
    </row>
    <row r="110" spans="31:36">
      <c r="AE110" s="117"/>
      <c r="AJ110" s="117"/>
    </row>
    <row r="111" spans="31:36">
      <c r="AE111" s="117"/>
      <c r="AJ111" s="117"/>
    </row>
    <row r="112" spans="31:36">
      <c r="AE112" s="117"/>
      <c r="AJ112" s="117"/>
    </row>
    <row r="113" spans="31:36">
      <c r="AE113" s="117"/>
      <c r="AJ113" s="117"/>
    </row>
    <row r="114" spans="31:36">
      <c r="AE114" s="117"/>
      <c r="AJ114" s="117"/>
    </row>
    <row r="115" spans="31:36">
      <c r="AE115" s="117"/>
      <c r="AJ115" s="117"/>
    </row>
    <row r="116" spans="31:36">
      <c r="AE116" s="117"/>
      <c r="AJ116" s="117"/>
    </row>
    <row r="117" spans="31:36">
      <c r="AE117" s="117"/>
      <c r="AJ117" s="117"/>
    </row>
    <row r="118" spans="31:36">
      <c r="AE118" s="117"/>
      <c r="AJ118" s="117"/>
    </row>
    <row r="119" spans="31:36">
      <c r="AE119" s="117"/>
      <c r="AJ119" s="117"/>
    </row>
    <row r="120" spans="31:36">
      <c r="AE120" s="117"/>
      <c r="AJ120" s="117"/>
    </row>
    <row r="121" spans="31:36">
      <c r="AE121" s="117"/>
      <c r="AJ121" s="117"/>
    </row>
    <row r="122" spans="31:36">
      <c r="AE122" s="117"/>
      <c r="AJ122" s="117"/>
    </row>
    <row r="123" spans="31:36">
      <c r="AE123" s="117"/>
      <c r="AJ123" s="117"/>
    </row>
    <row r="124" spans="31:36">
      <c r="AE124" s="117"/>
      <c r="AJ124" s="117"/>
    </row>
    <row r="125" spans="31:36">
      <c r="AE125" s="117"/>
      <c r="AJ125" s="117"/>
    </row>
    <row r="126" spans="31:36">
      <c r="AE126" s="117"/>
      <c r="AJ126" s="117"/>
    </row>
    <row r="127" spans="31:36">
      <c r="AE127" s="117"/>
      <c r="AJ127" s="117"/>
    </row>
    <row r="128" spans="31:36">
      <c r="AE128" s="117"/>
      <c r="AJ128" s="117"/>
    </row>
    <row r="129" spans="31:36">
      <c r="AE129" s="117"/>
      <c r="AJ129" s="117"/>
    </row>
    <row r="130" spans="31:36">
      <c r="AE130" s="117"/>
      <c r="AJ130" s="117"/>
    </row>
    <row r="131" spans="31:36">
      <c r="AE131" s="117"/>
      <c r="AJ131" s="117"/>
    </row>
    <row r="132" spans="31:36">
      <c r="AE132" s="117"/>
      <c r="AJ132" s="117"/>
    </row>
    <row r="133" spans="31:36">
      <c r="AE133" s="117"/>
      <c r="AJ133" s="117"/>
    </row>
    <row r="134" spans="31:36">
      <c r="AE134" s="117"/>
      <c r="AJ134" s="117"/>
    </row>
    <row r="135" spans="31:36">
      <c r="AE135" s="117"/>
      <c r="AJ135" s="117"/>
    </row>
    <row r="136" spans="31:36">
      <c r="AE136" s="117"/>
      <c r="AJ136" s="117"/>
    </row>
    <row r="137" spans="31:36">
      <c r="AE137" s="117"/>
      <c r="AJ137" s="117"/>
    </row>
    <row r="138" spans="31:36">
      <c r="AE138" s="117"/>
      <c r="AJ138" s="117"/>
    </row>
    <row r="139" spans="31:36">
      <c r="AE139" s="117"/>
      <c r="AJ139" s="117"/>
    </row>
    <row r="140" spans="31:36">
      <c r="AE140" s="117"/>
      <c r="AJ140" s="117"/>
    </row>
    <row r="141" spans="31:36">
      <c r="AE141" s="117"/>
      <c r="AJ141" s="117"/>
    </row>
    <row r="142" spans="31:36">
      <c r="AE142" s="117"/>
      <c r="AJ142" s="117"/>
    </row>
    <row r="143" spans="31:36">
      <c r="AE143" s="117"/>
      <c r="AJ143" s="117"/>
    </row>
    <row r="144" spans="31:36">
      <c r="AE144" s="117"/>
      <c r="AJ144" s="117"/>
    </row>
    <row r="145" spans="31:36">
      <c r="AE145" s="117"/>
      <c r="AJ145" s="117"/>
    </row>
    <row r="146" spans="31:36">
      <c r="AE146" s="117"/>
      <c r="AJ146" s="117"/>
    </row>
    <row r="147" spans="31:36">
      <c r="AE147" s="117"/>
      <c r="AJ147" s="117"/>
    </row>
    <row r="148" spans="31:36">
      <c r="AE148" s="117"/>
      <c r="AJ148" s="117"/>
    </row>
    <row r="149" spans="31:36">
      <c r="AE149" s="117"/>
      <c r="AJ149" s="117"/>
    </row>
    <row r="150" spans="31:36">
      <c r="AE150" s="117"/>
      <c r="AJ150" s="117"/>
    </row>
    <row r="151" spans="31:36">
      <c r="AE151" s="117"/>
      <c r="AJ151" s="117"/>
    </row>
    <row r="152" spans="31:36">
      <c r="AE152" s="117"/>
      <c r="AJ152" s="117"/>
    </row>
    <row r="153" spans="31:36">
      <c r="AE153" s="117"/>
      <c r="AJ153" s="117"/>
    </row>
    <row r="154" spans="31:36">
      <c r="AE154" s="117"/>
      <c r="AJ154" s="117"/>
    </row>
    <row r="155" spans="31:36">
      <c r="AE155" s="117"/>
      <c r="AJ155" s="117"/>
    </row>
    <row r="156" spans="31:36">
      <c r="AE156" s="117"/>
      <c r="AJ156" s="117"/>
    </row>
    <row r="157" spans="31:36">
      <c r="AE157" s="117"/>
      <c r="AJ157" s="117"/>
    </row>
    <row r="158" spans="31:36">
      <c r="AE158" s="117"/>
      <c r="AJ158" s="117"/>
    </row>
    <row r="159" spans="31:36">
      <c r="AE159" s="117"/>
      <c r="AJ159" s="117"/>
    </row>
    <row r="160" spans="31:36">
      <c r="AE160" s="117"/>
      <c r="AJ160" s="117"/>
    </row>
    <row r="161" spans="31:36">
      <c r="AE161" s="117"/>
      <c r="AJ161" s="117"/>
    </row>
    <row r="162" spans="31:36">
      <c r="AE162" s="117"/>
      <c r="AJ162" s="117"/>
    </row>
    <row r="163" spans="31:36">
      <c r="AE163" s="117"/>
      <c r="AJ163" s="117"/>
    </row>
    <row r="164" spans="31:36">
      <c r="AE164" s="117"/>
      <c r="AJ164" s="117"/>
    </row>
    <row r="165" spans="31:36">
      <c r="AE165" s="117"/>
      <c r="AJ165" s="117"/>
    </row>
    <row r="166" spans="31:36">
      <c r="AE166" s="117"/>
      <c r="AJ166" s="117"/>
    </row>
    <row r="167" spans="31:36">
      <c r="AE167" s="117"/>
      <c r="AJ167" s="117"/>
    </row>
    <row r="168" spans="31:36">
      <c r="AE168" s="117"/>
      <c r="AJ168" s="117"/>
    </row>
    <row r="169" spans="31:36">
      <c r="AE169" s="117"/>
      <c r="AJ169" s="117"/>
    </row>
    <row r="170" spans="31:36">
      <c r="AE170" s="117"/>
      <c r="AJ170" s="117"/>
    </row>
    <row r="171" spans="31:36">
      <c r="AE171" s="117"/>
      <c r="AJ171" s="117"/>
    </row>
    <row r="172" spans="31:36">
      <c r="AE172" s="117"/>
      <c r="AJ172" s="117"/>
    </row>
    <row r="173" spans="31:36">
      <c r="AE173" s="117"/>
      <c r="AJ173" s="117"/>
    </row>
    <row r="174" spans="31:36">
      <c r="AE174" s="117"/>
      <c r="AJ174" s="117"/>
    </row>
    <row r="175" spans="31:36">
      <c r="AE175" s="117"/>
      <c r="AJ175" s="117"/>
    </row>
    <row r="176" spans="31:36">
      <c r="AE176" s="117"/>
      <c r="AJ176" s="117"/>
    </row>
    <row r="177" spans="31:36">
      <c r="AE177" s="117"/>
      <c r="AJ177" s="117"/>
    </row>
    <row r="178" spans="31:36">
      <c r="AE178" s="117"/>
      <c r="AJ178" s="117"/>
    </row>
    <row r="179" spans="31:36">
      <c r="AE179" s="117"/>
      <c r="AJ179" s="117"/>
    </row>
    <row r="180" spans="31:36">
      <c r="AE180" s="117"/>
      <c r="AJ180" s="117"/>
    </row>
    <row r="181" spans="31:36">
      <c r="AE181" s="117"/>
      <c r="AJ181" s="117"/>
    </row>
    <row r="182" spans="31:36">
      <c r="AE182" s="117"/>
      <c r="AJ182" s="117"/>
    </row>
    <row r="183" spans="31:36">
      <c r="AE183" s="117"/>
      <c r="AJ183" s="117"/>
    </row>
    <row r="184" spans="31:36">
      <c r="AE184" s="117"/>
      <c r="AJ184" s="117"/>
    </row>
    <row r="185" spans="31:36">
      <c r="AE185" s="117"/>
      <c r="AJ185" s="117"/>
    </row>
    <row r="186" spans="31:36">
      <c r="AE186" s="117"/>
      <c r="AJ186" s="117"/>
    </row>
    <row r="187" spans="31:36">
      <c r="AE187" s="117"/>
      <c r="AJ187" s="117"/>
    </row>
    <row r="188" spans="31:36">
      <c r="AE188" s="117"/>
      <c r="AJ188" s="117"/>
    </row>
    <row r="189" spans="31:36">
      <c r="AE189" s="117"/>
      <c r="AJ189" s="117"/>
    </row>
    <row r="190" spans="31:36">
      <c r="AE190" s="117"/>
      <c r="AJ190" s="117"/>
    </row>
    <row r="191" spans="31:36">
      <c r="AE191" s="117"/>
      <c r="AJ191" s="117"/>
    </row>
    <row r="192" spans="31:36">
      <c r="AE192" s="117"/>
      <c r="AJ192" s="117"/>
    </row>
    <row r="193" spans="31:36">
      <c r="AE193" s="117"/>
      <c r="AJ193" s="117"/>
    </row>
    <row r="194" spans="31:36">
      <c r="AE194" s="117"/>
      <c r="AJ194" s="117"/>
    </row>
    <row r="195" spans="31:36">
      <c r="AE195" s="117"/>
      <c r="AJ195" s="117"/>
    </row>
    <row r="196" spans="31:36">
      <c r="AE196" s="117"/>
      <c r="AJ196" s="117"/>
    </row>
    <row r="197" spans="31:36">
      <c r="AE197" s="117"/>
      <c r="AJ197" s="117"/>
    </row>
    <row r="198" spans="31:36">
      <c r="AE198" s="117"/>
      <c r="AJ198" s="117"/>
    </row>
    <row r="199" spans="31:36">
      <c r="AE199" s="117"/>
      <c r="AJ199" s="117"/>
    </row>
    <row r="200" spans="31:36">
      <c r="AE200" s="117"/>
      <c r="AJ200" s="117"/>
    </row>
    <row r="201" spans="31:36">
      <c r="AE201" s="117"/>
      <c r="AJ201" s="117"/>
    </row>
    <row r="202" spans="31:36">
      <c r="AE202" s="117"/>
      <c r="AJ202" s="117"/>
    </row>
    <row r="203" spans="31:36">
      <c r="AE203" s="117"/>
      <c r="AJ203" s="117"/>
    </row>
    <row r="204" spans="31:36">
      <c r="AE204" s="117"/>
      <c r="AJ204" s="117"/>
    </row>
    <row r="205" spans="31:36">
      <c r="AE205" s="117"/>
      <c r="AJ205" s="117"/>
    </row>
    <row r="206" spans="31:36">
      <c r="AE206" s="117"/>
      <c r="AJ206" s="117"/>
    </row>
    <row r="207" spans="31:36">
      <c r="AE207" s="117"/>
      <c r="AJ207" s="117"/>
    </row>
    <row r="208" spans="31:36">
      <c r="AE208" s="117"/>
      <c r="AJ208" s="117"/>
    </row>
    <row r="209" spans="31:36">
      <c r="AE209" s="117"/>
      <c r="AJ209" s="117"/>
    </row>
    <row r="210" spans="31:36">
      <c r="AE210" s="117"/>
      <c r="AJ210" s="117"/>
    </row>
    <row r="211" spans="31:36">
      <c r="AE211" s="117"/>
      <c r="AJ211" s="117"/>
    </row>
    <row r="212" spans="31:36">
      <c r="AE212" s="117"/>
      <c r="AJ212" s="117"/>
    </row>
    <row r="213" spans="31:36">
      <c r="AE213" s="117"/>
      <c r="AJ213" s="117"/>
    </row>
    <row r="214" spans="31:36">
      <c r="AE214" s="117"/>
      <c r="AJ214" s="117"/>
    </row>
    <row r="215" spans="31:36">
      <c r="AE215" s="117"/>
      <c r="AJ215" s="117"/>
    </row>
    <row r="216" spans="31:36">
      <c r="AE216" s="117"/>
      <c r="AJ216" s="117"/>
    </row>
    <row r="217" spans="31:36">
      <c r="AE217" s="117"/>
      <c r="AJ217" s="117"/>
    </row>
    <row r="218" spans="31:36">
      <c r="AE218" s="117"/>
      <c r="AJ218" s="117"/>
    </row>
    <row r="219" spans="31:36">
      <c r="AE219" s="117"/>
      <c r="AJ219" s="117"/>
    </row>
    <row r="220" spans="31:36">
      <c r="AE220" s="117"/>
      <c r="AJ220" s="117"/>
    </row>
    <row r="221" spans="31:36">
      <c r="AE221" s="117"/>
      <c r="AJ221" s="117"/>
    </row>
    <row r="222" spans="31:36">
      <c r="AE222" s="117"/>
      <c r="AJ222" s="117"/>
    </row>
    <row r="223" spans="31:36">
      <c r="AE223" s="117"/>
      <c r="AJ223" s="117"/>
    </row>
    <row r="224" spans="31:36">
      <c r="AE224" s="117"/>
      <c r="AJ224" s="117"/>
    </row>
    <row r="225" spans="31:36">
      <c r="AE225" s="117"/>
      <c r="AJ225" s="117"/>
    </row>
    <row r="226" spans="31:36">
      <c r="AE226" s="117"/>
      <c r="AJ226" s="117"/>
    </row>
    <row r="227" spans="31:36">
      <c r="AE227" s="117"/>
      <c r="AJ227" s="117"/>
    </row>
    <row r="228" spans="31:36">
      <c r="AE228" s="117"/>
      <c r="AJ228" s="117"/>
    </row>
    <row r="229" spans="31:36">
      <c r="AE229" s="117"/>
      <c r="AJ229" s="117"/>
    </row>
    <row r="230" spans="31:36">
      <c r="AE230" s="117"/>
      <c r="AJ230" s="117"/>
    </row>
    <row r="231" spans="31:36">
      <c r="AE231" s="117"/>
      <c r="AJ231" s="117"/>
    </row>
    <row r="232" spans="31:36">
      <c r="AE232" s="117"/>
      <c r="AJ232" s="117"/>
    </row>
    <row r="233" spans="31:36">
      <c r="AE233" s="117"/>
      <c r="AJ233" s="117"/>
    </row>
    <row r="234" spans="31:36">
      <c r="AE234" s="117"/>
      <c r="AJ234" s="117"/>
    </row>
    <row r="235" spans="31:36">
      <c r="AE235" s="117"/>
      <c r="AJ235" s="117"/>
    </row>
    <row r="236" spans="31:36">
      <c r="AE236" s="117"/>
      <c r="AJ236" s="117"/>
    </row>
    <row r="237" spans="31:36">
      <c r="AE237" s="117"/>
      <c r="AJ237" s="117"/>
    </row>
    <row r="238" spans="31:36">
      <c r="AE238" s="117"/>
      <c r="AJ238" s="117"/>
    </row>
    <row r="239" spans="31:36">
      <c r="AE239" s="117"/>
      <c r="AJ239" s="117"/>
    </row>
    <row r="240" spans="31:36">
      <c r="AE240" s="117"/>
      <c r="AJ240" s="117"/>
    </row>
    <row r="241" spans="31:36">
      <c r="AE241" s="117"/>
      <c r="AJ241" s="117"/>
    </row>
    <row r="242" spans="31:36">
      <c r="AE242" s="117"/>
      <c r="AJ242" s="117"/>
    </row>
    <row r="243" spans="31:36">
      <c r="AE243" s="117"/>
      <c r="AJ243" s="117"/>
    </row>
    <row r="244" spans="31:36">
      <c r="AE244" s="117"/>
      <c r="AJ244" s="117"/>
    </row>
    <row r="245" spans="31:36">
      <c r="AE245" s="117"/>
      <c r="AJ245" s="117"/>
    </row>
    <row r="246" spans="31:36">
      <c r="AE246" s="117"/>
      <c r="AJ246" s="117"/>
    </row>
    <row r="247" spans="31:36">
      <c r="AE247" s="117"/>
      <c r="AJ247" s="117"/>
    </row>
    <row r="248" spans="31:36">
      <c r="AE248" s="117"/>
      <c r="AJ248" s="117"/>
    </row>
    <row r="249" spans="31:36">
      <c r="AE249" s="117"/>
      <c r="AJ249" s="117"/>
    </row>
    <row r="250" spans="31:36">
      <c r="AE250" s="117"/>
      <c r="AJ250" s="117"/>
    </row>
  </sheetData>
  <mergeCells count="8">
    <mergeCell ref="AV13:AW13"/>
    <mergeCell ref="AY13:AZ13"/>
    <mergeCell ref="A1:B1"/>
    <mergeCell ref="G1:P1"/>
    <mergeCell ref="Q1:AD1"/>
    <mergeCell ref="AE1:AI1"/>
    <mergeCell ref="AP13:AQ13"/>
    <mergeCell ref="AS13:AT13"/>
  </mergeCells>
  <conditionalFormatting sqref="A3:AM23 A25:AM42 A24:U24 W24:AM24">
    <cfRule type="expression" dxfId="81" priority="12">
      <formula>IF($AJ3=0,TRUE,FALSE)</formula>
    </cfRule>
  </conditionalFormatting>
  <conditionalFormatting sqref="F1:F42 F251:F1048576">
    <cfRule type="cellIs" dxfId="80" priority="10" operator="greaterThan">
      <formula>$AQ$20</formula>
    </cfRule>
    <cfRule type="cellIs" dxfId="79" priority="11" operator="greaterThan">
      <formula>$AQ$20</formula>
    </cfRule>
  </conditionalFormatting>
  <conditionalFormatting sqref="AP14:AW29 AP30:AQ30">
    <cfRule type="containsText" dxfId="78" priority="9" operator="containsText" text="threshold">
      <formula>NOT(ISERROR(SEARCH("threshold",AP14)))</formula>
    </cfRule>
  </conditionalFormatting>
  <conditionalFormatting sqref="AP14:AW28 AQ30">
    <cfRule type="cellIs" dxfId="77" priority="8" operator="lessThan">
      <formula>0</formula>
    </cfRule>
  </conditionalFormatting>
  <conditionalFormatting sqref="AY14:AZ29">
    <cfRule type="containsText" dxfId="76" priority="7" operator="containsText" text="threshold">
      <formula>NOT(ISERROR(SEARCH("threshold",AY14)))</formula>
    </cfRule>
  </conditionalFormatting>
  <conditionalFormatting sqref="AY14:AZ28">
    <cfRule type="cellIs" dxfId="75" priority="6" operator="lessThan">
      <formula>0</formula>
    </cfRule>
  </conditionalFormatting>
  <conditionalFormatting sqref="AP37">
    <cfRule type="expression" dxfId="74" priority="5">
      <formula>IF($AJ37=0,TRUE,FALSE)</formula>
    </cfRule>
  </conditionalFormatting>
  <conditionalFormatting sqref="V24">
    <cfRule type="expression" dxfId="73" priority="4">
      <formula>IF($AJ24=0,TRUE,FALSE)</formula>
    </cfRule>
  </conditionalFormatting>
  <conditionalFormatting sqref="A43:AM250">
    <cfRule type="expression" dxfId="72" priority="3">
      <formula>IF($AJ43=0,TRUE,FALSE)</formula>
    </cfRule>
  </conditionalFormatting>
  <conditionalFormatting sqref="F43:F250">
    <cfRule type="cellIs" dxfId="71" priority="1" operator="greaterThan">
      <formula>$AQ$20</formula>
    </cfRule>
    <cfRule type="cellIs" dxfId="70" priority="2" operator="greaterThan">
      <formula>$AQ$20</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Z250"/>
  <sheetViews>
    <sheetView zoomScale="75" zoomScaleNormal="50" workbookViewId="0">
      <pane xSplit="2" ySplit="2" topLeftCell="V30" activePane="bottomRight" state="frozen"/>
      <selection pane="topRight" activeCell="C1" sqref="C1"/>
      <selection pane="bottomLeft" activeCell="A3" sqref="A3"/>
      <selection pane="bottomRight" activeCell="AM70" sqref="AM70"/>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52" s="1" customFormat="1">
      <c r="A1" s="189" t="s">
        <v>0</v>
      </c>
      <c r="B1" s="189"/>
      <c r="G1" s="192" t="s">
        <v>9</v>
      </c>
      <c r="H1" s="189"/>
      <c r="I1" s="189"/>
      <c r="J1" s="189"/>
      <c r="K1" s="189"/>
      <c r="L1" s="189"/>
      <c r="M1" s="189"/>
      <c r="N1" s="189"/>
      <c r="O1" s="189"/>
      <c r="P1" s="193"/>
      <c r="Q1" s="191" t="s">
        <v>1</v>
      </c>
      <c r="R1" s="176"/>
      <c r="S1" s="176"/>
      <c r="T1" s="176"/>
      <c r="U1" s="176"/>
      <c r="V1" s="176"/>
      <c r="W1" s="176"/>
      <c r="X1" s="176"/>
      <c r="Y1" s="176"/>
      <c r="Z1" s="176"/>
      <c r="AA1" s="176"/>
      <c r="AB1" s="176"/>
      <c r="AC1" s="176"/>
      <c r="AD1" s="194"/>
      <c r="AE1" s="191" t="s">
        <v>2</v>
      </c>
      <c r="AF1" s="176"/>
      <c r="AG1" s="176"/>
      <c r="AH1" s="176"/>
      <c r="AI1" s="194"/>
      <c r="AJ1" s="4"/>
      <c r="AK1"/>
    </row>
    <row r="2" spans="1:52" s="1" customFormat="1" ht="15.75" thickBot="1">
      <c r="A2" s="2" t="s">
        <v>3</v>
      </c>
      <c r="B2" s="5" t="s">
        <v>4</v>
      </c>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c r="AN2" s="1" t="s">
        <v>355</v>
      </c>
    </row>
    <row r="3" spans="1:52" ht="15.75" thickBot="1">
      <c r="A3">
        <v>188</v>
      </c>
      <c r="B3" t="s">
        <v>198</v>
      </c>
      <c r="C3">
        <f>PRODUCT($E3,3)+PRODUCT(SUM($H3:$K3),2)+PRODUCT(SUM($M3:$P3),3)+PRODUCT(SUM($S3:$V3),2)+PRODUCT(SUM($X3:$AA3), 3)+IF($AC3 &gt; 2, PRODUCT(SUM($AC3, -1),6), PRODUCT($AC3,3)) + IF($AD3 &gt; 2, PRODUCT(SUM($AD3, -1),6), PRODUCT($AD3,3)) + PRODUCT($AH3, -1)</f>
        <v>18.777777777777779</v>
      </c>
      <c r="D3">
        <f>PRODUCT(SUM($H3:$I3), 2) + PRODUCT(SUM($M3:$N3),3) + PRODUCT(SUM($S3:$T3), 2) + PRODUCT(SUM($X3:$Y3), 3)</f>
        <v>5</v>
      </c>
      <c r="E3">
        <f>IF( COUNTIF('Raw Data'!$A$3:$A$2927,$A3)=0,0,SUMIF('Raw Data'!$A$3:$A$2927, $A3,'Raw Data'!D$3:D$2927) / COUNTIF('Raw Data'!$A$3:$A$2927,$A3))</f>
        <v>1.1111111111111112</v>
      </c>
      <c r="F3">
        <f t="array" ref="F3">MAX(IF('Raw Data'!$A$3:$A$927=$A3, 'Raw Data'!$O$3:$O$927))</f>
        <v>1</v>
      </c>
      <c r="G3">
        <f t="array" ref="G3">MAX(IF('Raw Data'!$A$3:$A$927=$A3, 'Raw Data'!$I$3:$I$927))</f>
        <v>1</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10</v>
      </c>
      <c r="R3">
        <f t="array" ref="R3">MAX(IF('Raw Data'!$A$3:$A$927=$A3, 'Raw Data'!$T$3:$T$927))</f>
        <v>6</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 t="array" ref="W3">MAX(IF('Raw Data'!$A$3:$A$927=$A3, 'Raw Data'!$Y$3:$Y$927))</f>
        <v>6</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SUM(hHatch * SUM($H3:$K3), hHatch * SUM($S3:$V3), hRocket23 * SUM($J3:$K3), hRocket23 * SUM($U3:$V3), hSandstorm * SUM($H3:$K3), hPenalty * $AH3, hDropHatch * $AI3,hTippedBroke * SUM($AE3:$AF3), IF($E3 &lt; hNoAutoThreshold, hNoAuto), IF($AG3 &gt; hFloorHatchThreshold, hFloorHatch))</f>
        <v>1.6111111111111112</v>
      </c>
      <c r="AM3">
        <f>SUM(cCargo * SUM($M3:$P3), cCargo *SUM( $X3:$AA3), cRocket23 * SUM($O3:$P3, $Z3:$AA3),cSandstorm * SUM($M3:$P3), cPenalty * $AH3, cTippedBroke * SUM($AE3:$AF3), IF($E3 &lt; cNoAutoThreshold, cNoAuto, 0))</f>
        <v>3.5555555555555554</v>
      </c>
      <c r="AN3">
        <f t="shared" ref="AN3:AN42" si="0">IFERROR(SUM(IF($E3 &gt;_2autoThreshold, _2auto), _2hatch * SUM($H3:$K3), _2cargo * SUM($M3:$P3), _2hatch * SUM( $S3:$V3), _2cargo * SUM($X3:$AA3), _2rocket23 * SUM($J3:$K3, $O3:$P3, $U3:$V3, $Z3:$AA3), IF($AD3 &gt; _2climbThreshold, _2climb * $AD3), IF($AC3 &gt; _2assistThreshold, $AC3 * _2assist), $AH3 * _2penalty, _2dropHatch * $AI3, _2tippedBroke * SUM($AE3:$AF3),  IF( $E3 &lt; _2noAutoThreshold, _2noAuto), IF($C3 &lt; _2doesNothingThreshold, _2doesNothing)), "h")</f>
        <v>2.3888888888888893</v>
      </c>
      <c r="AO3" t="b">
        <f>IF('Raw Data'!$A$3:$A$927=$A3, 'Raw Data'!$Z$3:$Z$927)</f>
        <v>0</v>
      </c>
    </row>
    <row r="4" spans="1:52" ht="15.75" thickBot="1">
      <c r="A4">
        <v>216</v>
      </c>
      <c r="B4" t="s">
        <v>441</v>
      </c>
      <c r="C4">
        <f>PRODUCT($E4,3)+PRODUCT(SUM($H4:$K4),2)+PRODUCT(SUM($M4:$P4),3)+PRODUCT(SUM($S4:$V4),2)+PRODUCT(SUM($X4:$AA4), 3)+IF($AC4 &gt; 2, PRODUCT(SUM($AC4, -1),6), PRODUCT($AC4,3)) + IF($AD4 &gt; 2, PRODUCT(SUM($AD4, -1),6), PRODUCT($AD4,3)) + PRODUCT($AH4, -1)</f>
        <v>0</v>
      </c>
      <c r="D4">
        <f>PRODUCT(SUM($H4:$I4), 2) + PRODUCT(SUM($M4:$N4),3) + PRODUCT(SUM($S4:$T4), 2) + PRODUCT(SUM($X4:$Y4), 3)</f>
        <v>0</v>
      </c>
      <c r="E4">
        <f>IF( COUNTIF('Raw Data'!$A$3:$A$2927,$A4)=0,0,SUMIF('Raw Data'!$A$3:$A$2927, $A4,'Raw Data'!D$3:D$2927) / COUNTIF('Raw Data'!$A$3:$A$2927,$A4))</f>
        <v>0</v>
      </c>
      <c r="F4">
        <f t="array" ref="F4">MAX(IF('Raw Data'!$A$3:$A$927=$A4, 'Raw Data'!$O$3:$O$927))</f>
        <v>0</v>
      </c>
      <c r="G4">
        <f t="array" ref="G4">MAX(IF('Raw Data'!$A$3:$A$927=$A4, 'Raw Data'!$I$3:$I$927))</f>
        <v>0</v>
      </c>
      <c r="H4">
        <f>IF( COUNTIF('Raw Data'!$A$3:$A$2927,$A4)=0,0,SUMIF('Raw Data'!$A$3:$A$2927, $A4,'Raw Data'!E$3:E$2927) / COUNTIF('Raw Data'!$A$3:$A$2927,$A4))</f>
        <v>0</v>
      </c>
      <c r="I4">
        <f>IF( COUNTIF('Raw Data'!$A$3:$A$2927,$A4)=0,0,SUMIF('Raw Data'!$A$3:$A$2927, $A4,'Raw Data'!F$3:F$2927) / COUNTIF('Raw Data'!$A$3:$A$2927,$A4))</f>
        <v>0</v>
      </c>
      <c r="J4">
        <f>IF( COUNTIF('Raw Data'!$A$3:$A$2927,$A4)=0,0,SUMIF('Raw Data'!$A$3:$A$2927, $A4,'Raw Data'!G$3:G$2927) / COUNTIF('Raw Data'!$A$3:$A$2927,$A4))</f>
        <v>0</v>
      </c>
      <c r="K4">
        <f>IF( COUNTIF('Raw Data'!$A$3:$A$2927,$A4)=0,0,SUMIF('Raw Data'!$A$3:$A$2927, $A4,'Raw Data'!H$3:H$2927) / COUNTIF('Raw Data'!$A$3:$A$2927,$A4))</f>
        <v>0</v>
      </c>
      <c r="L4">
        <f t="array" ref="L4">MAX(IF('Raw Data'!$A$3:$A$927=$A4, 'Raw Data'!$N$3:$N$927))</f>
        <v>0</v>
      </c>
      <c r="M4">
        <f>IF( COUNTIF('Raw Data'!$A$3:$A$2927,$A4)=0,0,SUMIF('Raw Data'!$A$3:$A$2927, $A4,'Raw Data'!J$3:J$2927) / COUNTIF('Raw Data'!$A$3:$A$2927,$A4))</f>
        <v>0</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 t="array" ref="Q4">MAX(IF('Raw Data'!$A$3:$A$927=$A4, 'Raw Data'!$Z$3:$Z$927))</f>
        <v>0</v>
      </c>
      <c r="R4">
        <f t="array" ref="R4">MAX(IF('Raw Data'!$A$3:$A$927=$A4, 'Raw Data'!$T$3:$T$927))</f>
        <v>0</v>
      </c>
      <c r="S4" s="118">
        <f>IF( COUNTIF('Raw Data'!$A$3:$A$2927,$A4)=0,0,SUMIF('Raw Data'!$A$3:$A$2927, $A4,'Raw Data'!P$3:P$2927) / COUNTIF('Raw Data'!$A$3:$A$2927,$A4))</f>
        <v>0</v>
      </c>
      <c r="T4">
        <f>IF( COUNTIF('Raw Data'!$A$3:$A$2927,$A4)=0,0,SUMIF('Raw Data'!$A$3:$A$2927, $A4,'Raw Data'!Q$3:Q$2927) / COUNTIF('Raw Data'!$A$3:$A$2927,$A4))</f>
        <v>0</v>
      </c>
      <c r="U4">
        <f>IF( COUNTIF('Raw Data'!$A$3:$A$2927,$A4)=0,0,SUMIF('Raw Data'!$A$3:$A$2927, $A4,'Raw Data'!R$3:R$2927) / COUNTIF('Raw Data'!$A$3:$A$2927,$A4))</f>
        <v>0</v>
      </c>
      <c r="V4">
        <f>IF( COUNTIF('Raw Data'!$A$3:$A$2927,$A4)=0,0,SUMIF('Raw Data'!$A$3:$A$2927, $A4,'Raw Data'!S$3:S$2927) / COUNTIF('Raw Data'!$A$3:$A$2927,$A4))</f>
        <v>0</v>
      </c>
      <c r="W4">
        <f t="array" ref="W4">MAX(IF('Raw Data'!$A$3:$A$927=$A4, 'Raw Data'!$Y$3:$Y$927))</f>
        <v>0</v>
      </c>
      <c r="X4">
        <f>IF( COUNTIF('Raw Data'!$A$3:$A$2927,$A4)=0,0,SUMIF('Raw Data'!$A$3:$A$2927, $A4,'Raw Data'!U$3:U$2927) / COUNTIF('Raw Data'!$A$3:$A$2927,$A4))</f>
        <v>0</v>
      </c>
      <c r="Y4">
        <f>IF( COUNTIF('Raw Data'!$A$3:$A$2927,$A4)=0,0,SUMIF('Raw Data'!$A$3:$A$2927, $A4,'Raw Data'!V$3:V$2927) / COUNTIF('Raw Data'!$A$3:$A$2927,$A4))</f>
        <v>0</v>
      </c>
      <c r="Z4">
        <f>IF( COUNTIF('Raw Data'!$A$3:$A$2927,$A4)=0,0,SUMIF('Raw Data'!$A$3:$A$2927, $A4,'Raw Data'!W$3:W$2927) / COUNTIF('Raw Data'!$A$3:$A$2927,$A4))</f>
        <v>0</v>
      </c>
      <c r="AA4">
        <f>IF( COUNTIF('Raw Data'!$A$3:$A$2927,$A4)=0,0,SUMIF('Raw Data'!$A$3:$A$2927, $A4,'Raw Data'!X$3:X$2927) / COUNTIF('Raw Data'!$A$3:$A$2927,$A4))</f>
        <v>0</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0</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v>
      </c>
      <c r="AI4">
        <f>IF( COUNTIF('Raw Data'!$A$3:$A$2927,$A4)=0,0,SUMIF('Raw Data'!$A$3:$A$2927, $A4,'Raw Data'!AH$3:AH$2927) / COUNTIF('Raw Data'!$A$3:$A$2927,$A4))</f>
        <v>0</v>
      </c>
      <c r="AJ4" s="116">
        <f>COUNTIF('Raw Data'!A$3:A$2927, $A4)</f>
        <v>0</v>
      </c>
      <c r="AK4">
        <f>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IF($AD4 &gt;1.45, 2) )), "h")</f>
        <v>-21</v>
      </c>
      <c r="AL4">
        <f>SUM(hHatch * SUM($H4:$K4), hHatch * SUM($S4:$V4), hRocket23 * SUM($J4:$K4), hRocket23 * SUM($U4:$V4), hSandstorm * SUM($H4:$K4), hPenalty * $AH4, hDropHatch * $AI4,hTippedBroke * SUM($AE4:$AF4), IF($E4 &lt; hNoAutoThreshold, hNoAuto), IF($AG4 &gt; hFloorHatchThreshold, hFloorHatch))</f>
        <v>-1.5</v>
      </c>
      <c r="AM4">
        <f>SUM(cCargo * SUM($M4:$P4), cCargo *SUM( $X4:$AA4), cRocket23 * SUM($O4:$P4, $Z4:$AA4),cSandstorm * SUM($M4:$P4), cPenalty * $AH4, cTippedBroke * SUM($AE4:$AF4), IF($E4 &lt; cNoAutoThreshold, cNoAuto, 0))</f>
        <v>-1</v>
      </c>
      <c r="AN4">
        <f t="shared" si="0"/>
        <v>-21</v>
      </c>
    </row>
    <row r="5" spans="1:52" ht="15.75" thickBot="1">
      <c r="A5">
        <v>244</v>
      </c>
      <c r="B5" t="s">
        <v>442</v>
      </c>
      <c r="C5">
        <f>PRODUCT($E5,3)+PRODUCT(SUM($H5:$K5),2)+PRODUCT(SUM($M5:$P5),3)+PRODUCT(SUM($S5:$V5),2)+PRODUCT(SUM($X5:$AA5), 3)+IF($AC5 &gt; 2, PRODUCT(SUM($AC5, -1),6), PRODUCT($AC5,3)) + IF($AD5 &gt; 2, PRODUCT(SUM($AD5, -1),6), PRODUCT($AD5,3)) + PRODUCT($AH5, -1)</f>
        <v>0</v>
      </c>
      <c r="D5">
        <f>PRODUCT(SUM($H5:$I5), 2) + PRODUCT(SUM($M5:$N5),3) + PRODUCT(SUM($S5:$T5), 2) + PRODUCT(SUM($X5:$Y5), 3)</f>
        <v>0</v>
      </c>
      <c r="E5">
        <f>IF( COUNTIF('Raw Data'!$A$3:$A$2927,$A5)=0,0,SUMIF('Raw Data'!$A$3:$A$2927, $A5,'Raw Data'!D$3:D$2927) / COUNTIF('Raw Data'!$A$3:$A$2927,$A5))</f>
        <v>0</v>
      </c>
      <c r="F5">
        <f t="array" ref="F5">MAX(IF('Raw Data'!$A$3:$A$927=$A5, 'Raw Data'!$O$3:$O$927))</f>
        <v>0</v>
      </c>
      <c r="G5">
        <f t="array" ref="G5">MAX(IF('Raw Data'!$A$3:$A$927=$A5, 'Raw Data'!$I$3:$I$927))</f>
        <v>0</v>
      </c>
      <c r="H5">
        <f>IF( COUNTIF('Raw Data'!$A$3:$A$2927,$A5)=0,0,SUMIF('Raw Data'!$A$3:$A$2927, $A5,'Raw Data'!E$3:E$2927) / COUNTIF('Raw Data'!$A$3:$A$2927,$A5))</f>
        <v>0</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 t="array" ref="L5">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 t="array" ref="Q5">MAX(IF('Raw Data'!$A$3:$A$927=$A5, 'Raw Data'!$Z$3:$Z$927))</f>
        <v>0</v>
      </c>
      <c r="R5">
        <f t="array" ref="R5">MAX(IF('Raw Data'!$A$3:$A$927=$A5, 'Raw Data'!$T$3:$T$927))</f>
        <v>0</v>
      </c>
      <c r="S5" s="118">
        <f>IF( COUNTIF('Raw Data'!$A$3:$A$2927,$A5)=0,0,SUMIF('Raw Data'!$A$3:$A$2927, $A5,'Raw Data'!P$3:P$2927) / COUNTIF('Raw Data'!$A$3:$A$2927,$A5))</f>
        <v>0</v>
      </c>
      <c r="T5">
        <f>IF( COUNTIF('Raw Data'!$A$3:$A$2927,$A5)=0,0,SUMIF('Raw Data'!$A$3:$A$2927, $A5,'Raw Data'!Q$3:Q$2927) / COUNTIF('Raw Data'!$A$3:$A$2927,$A5))</f>
        <v>0</v>
      </c>
      <c r="U5">
        <f>IF( COUNTIF('Raw Data'!$A$3:$A$2927,$A5)=0,0,SUMIF('Raw Data'!$A$3:$A$2927, $A5,'Raw Data'!R$3:R$2927) / COUNTIF('Raw Data'!$A$3:$A$2927,$A5))</f>
        <v>0</v>
      </c>
      <c r="V5">
        <f>IF( COUNTIF('Raw Data'!$A$3:$A$2927,$A5)=0,0,SUMIF('Raw Data'!$A$3:$A$2927, $A5,'Raw Data'!S$3:S$2927) / COUNTIF('Raw Data'!$A$3:$A$2927,$A5))</f>
        <v>0</v>
      </c>
      <c r="W5">
        <f t="array" ref="W5">MAX(IF('Raw Data'!$A$3:$A$927=$A5, 'Raw Data'!$Y$3:$Y$927))</f>
        <v>0</v>
      </c>
      <c r="X5">
        <f>IF( COUNTIF('Raw Data'!$A$3:$A$2927,$A5)=0,0,SUMIF('Raw Data'!$A$3:$A$2927, $A5,'Raw Data'!U$3:U$2927) / COUNTIF('Raw Data'!$A$3:$A$2927,$A5))</f>
        <v>0</v>
      </c>
      <c r="Y5">
        <f>IF( COUNTIF('Raw Data'!$A$3:$A$2927,$A5)=0,0,SUMIF('Raw Data'!$A$3:$A$2927, $A5,'Raw Data'!V$3:V$2927) / COUNTIF('Raw Data'!$A$3:$A$2927,$A5))</f>
        <v>0</v>
      </c>
      <c r="Z5">
        <f>IF( COUNTIF('Raw Data'!$A$3:$A$2927,$A5)=0,0,SUMIF('Raw Data'!$A$3:$A$2927, $A5,'Raw Data'!W$3:W$2927) / COUNTIF('Raw Data'!$A$3:$A$2927,$A5))</f>
        <v>0</v>
      </c>
      <c r="AA5">
        <f>IF( COUNTIF('Raw Data'!$A$3:$A$2927,$A5)=0,0,SUMIF('Raw Data'!$A$3:$A$2927, $A5,'Raw Data'!X$3:X$2927) / COUNTIF('Raw Data'!$A$3:$A$2927,$A5))</f>
        <v>0</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0</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v>
      </c>
      <c r="AI5">
        <f>IF( COUNTIF('Raw Data'!$A$3:$A$2927,$A5)=0,0,SUMIF('Raw Data'!$A$3:$A$2927, $A5,'Raw Data'!AH$3:AH$2927) / COUNTIF('Raw Data'!$A$3:$A$2927,$A5))</f>
        <v>0</v>
      </c>
      <c r="AJ5" s="116">
        <f>COUNTIF('Raw Data'!A$3:A$2927, $A5)</f>
        <v>0</v>
      </c>
      <c r="AK5">
        <f>IFERROR(SUM(IF($E5 &gt;autoThreshold, auto), hatch * SUM($H5:$K5), cargo * SUM($M5:$P5),hatch * SUM( $S5:$V5), cargo * SUM($X5:$AA5), rocket23 * SUM($J5:$K5, $O5:$P5, $U5:$V5, $Z5:$AA5), IF($AD5 &gt; climbThreshold, climb), IF($AC5 &gt; assistThreshold, $AC5 * assist), $AH5 * penalty, dropHatch * $AI5, tippedBroke * SUM($AE5:$AF5),  IF( $E5 &lt; noAutoThreshold, noAuto), IF($C5 &lt; doesNothingThreshold, doesNothing, IF($AD5 &gt;1.45, 2) )), "h")</f>
        <v>-21</v>
      </c>
      <c r="AL5">
        <f>SUM(hHatch * SUM($H5:$K5), hHatch * SUM($S5:$V5), hRocket23 * SUM($J5:$K5), hRocket23 * SUM($U5:$V5), hSandstorm * SUM($H5:$K5), hPenalty * $AH5, hDropHatch * $AI5,hTippedBroke * SUM($AE5:$AF5), IF($E5 &lt; hNoAutoThreshold, hNoAuto), IF($AG5 &gt; hFloorHatchThreshold, hFloorHatch))</f>
        <v>-1.5</v>
      </c>
      <c r="AM5">
        <f>SUM(cCargo * SUM($M5:$P5), cCargo *SUM( $X5:$AA5), cRocket23 * SUM($O5:$P5, $Z5:$AA5),cSandstorm * SUM($M5:$P5), cPenalty * $AH5, cTippedBroke * SUM($AE5:$AF5), IF($E5 &lt; cNoAutoThreshold, cNoAuto, 0))</f>
        <v>-1</v>
      </c>
      <c r="AN5">
        <f t="shared" si="0"/>
        <v>-21</v>
      </c>
      <c r="AP5" t="s">
        <v>289</v>
      </c>
    </row>
    <row r="6" spans="1:52" ht="15.75" thickBot="1">
      <c r="A6">
        <v>288</v>
      </c>
      <c r="B6" t="s">
        <v>443</v>
      </c>
      <c r="C6">
        <f>PRODUCT($E6,3)+PRODUCT(SUM($H6:$K6),2)+PRODUCT(SUM($M6:$P6),3)+PRODUCT(SUM($S6:$V6),2)+PRODUCT(SUM($X6:$AA6), 3)+IF($AC6 &gt; 2, PRODUCT(SUM($AC6, -1),6), PRODUCT($AC6,3)) + IF($AD6 &gt; 2, PRODUCT(SUM($AD6, -1),6), PRODUCT($AD6,3)) + PRODUCT($AH6, -1)</f>
        <v>0</v>
      </c>
      <c r="D6">
        <f>PRODUCT(SUM($H6:$I6), 2) + PRODUCT(SUM($M6:$N6),3) + PRODUCT(SUM($S6:$T6), 2) + PRODUCT(SUM($X6:$Y6), 3)</f>
        <v>0</v>
      </c>
      <c r="E6">
        <f>IF( COUNTIF('Raw Data'!$A$3:$A$2927,$A6)=0,0,SUMIF('Raw Data'!$A$3:$A$2927, $A6,'Raw Data'!D$3:D$2927) / COUNTIF('Raw Data'!$A$3:$A$2927,$A6))</f>
        <v>0</v>
      </c>
      <c r="F6">
        <f t="array" ref="F6">MAX(IF('Raw Data'!$A$3:$A$927=$A6, 'Raw Data'!$O$3:$O$927))</f>
        <v>0</v>
      </c>
      <c r="G6">
        <f t="array" ref="G6">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 t="array" ref="L6">MAX(IF('Raw Data'!$A$3:$A$927=$A6, 'Raw Data'!$N$3:$N$927))</f>
        <v>0</v>
      </c>
      <c r="M6">
        <f>IF( COUNTIF('Raw Data'!$A$3:$A$2927,$A6)=0,0,SUMIF('Raw Data'!$A$3:$A$2927, $A6,'Raw Data'!J$3:J$2927) / COUNTIF('Raw Data'!$A$3:$A$2927,$A6))</f>
        <v>0</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 t="array" ref="Q6">MAX(IF('Raw Data'!$A$3:$A$927=$A6, 'Raw Data'!$Z$3:$Z$927))</f>
        <v>0</v>
      </c>
      <c r="R6">
        <f t="array" ref="R6">MAX(IF('Raw Data'!$A$3:$A$927=$A6, 'Raw Data'!$T$3:$T$927))</f>
        <v>0</v>
      </c>
      <c r="S6" s="118">
        <f>IF( COUNTIF('Raw Data'!$A$3:$A$2927,$A6)=0,0,SUMIF('Raw Data'!$A$3:$A$2927, $A6,'Raw Data'!P$3:P$2927) / COUNTIF('Raw Data'!$A$3:$A$2927,$A6))</f>
        <v>0</v>
      </c>
      <c r="T6">
        <f>IF( COUNTIF('Raw Data'!$A$3:$A$2927,$A6)=0,0,SUMIF('Raw Data'!$A$3:$A$2927, $A6,'Raw Data'!Q$3:Q$2927) / COUNTIF('Raw Data'!$A$3:$A$2927,$A6))</f>
        <v>0</v>
      </c>
      <c r="U6">
        <f>IF( COUNTIF('Raw Data'!$A$3:$A$2927,$A6)=0,0,SUMIF('Raw Data'!$A$3:$A$2927, $A6,'Raw Data'!R$3:R$2927) / COUNTIF('Raw Data'!$A$3:$A$2927,$A6))</f>
        <v>0</v>
      </c>
      <c r="V6">
        <f>IF( COUNTIF('Raw Data'!$A$3:$A$2927,$A6)=0,0,SUMIF('Raw Data'!$A$3:$A$2927, $A6,'Raw Data'!S$3:S$2927) / COUNTIF('Raw Data'!$A$3:$A$2927,$A6))</f>
        <v>0</v>
      </c>
      <c r="W6">
        <f t="array" ref="W6">MAX(IF('Raw Data'!$A$3:$A$927=$A6, 'Raw Data'!$Y$3:$Y$927))</f>
        <v>0</v>
      </c>
      <c r="X6">
        <f>IF( COUNTIF('Raw Data'!$A$3:$A$2927,$A6)=0,0,SUMIF('Raw Data'!$A$3:$A$2927, $A6,'Raw Data'!U$3:U$2927) / COUNTIF('Raw Data'!$A$3:$A$2927,$A6))</f>
        <v>0</v>
      </c>
      <c r="Y6">
        <f>IF( COUNTIF('Raw Data'!$A$3:$A$2927,$A6)=0,0,SUMIF('Raw Data'!$A$3:$A$2927, $A6,'Raw Data'!V$3:V$2927) / COUNTIF('Raw Data'!$A$3:$A$2927,$A6))</f>
        <v>0</v>
      </c>
      <c r="Z6">
        <f>IF( COUNTIF('Raw Data'!$A$3:$A$2927,$A6)=0,0,SUMIF('Raw Data'!$A$3:$A$2927, $A6,'Raw Data'!W$3:W$2927) / COUNTIF('Raw Data'!$A$3:$A$2927,$A6))</f>
        <v>0</v>
      </c>
      <c r="AA6">
        <f>IF( COUNTIF('Raw Data'!$A$3:$A$2927,$A6)=0,0,SUMIF('Raw Data'!$A$3:$A$2927, $A6,'Raw Data'!X$3:X$2927) / COUNTIF('Raw Data'!$A$3:$A$2927,$A6))</f>
        <v>0</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0</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v>
      </c>
      <c r="AJ6" s="116">
        <f>COUNTIF('Raw Data'!A$3:A$2927, $A6)</f>
        <v>0</v>
      </c>
      <c r="AK6">
        <f>IFERROR(SUM(IF($E6 &gt;autoThreshold, auto), hatch * SUM($H6:$K6), cargo * SUM($M6:$P6),hatch * SUM( $S6:$V6), cargo * SUM($X6:$AA6), rocket23 * SUM($J6:$K6, $O6:$P6, $U6:$V6, $Z6:$AA6), IF($AD6 &gt; climbThreshold, climb), IF($AC6 &gt; assistThreshold, $AC6 * assist), $AH6 * penalty, dropHatch * $AI6, tippedBroke * SUM($AE6:$AF6),  IF( $E6 &lt; noAutoThreshold, noAuto), IF($C6 &lt; doesNothingThreshold, doesNothing, IF($AD6 &gt;1.45, 2) )), "h")</f>
        <v>-21</v>
      </c>
      <c r="AL6">
        <f>SUM(hHatch * SUM($H6:$K6), hHatch * SUM($S6:$V6), hRocket23 * SUM($J6:$K6), hRocket23 * SUM($U6:$V6), hSandstorm * SUM($H6:$K6), hPenalty * $AH6, hDropHatch * $AI6,hTippedBroke * SUM($AE6:$AF6), IF($E6 &lt; hNoAutoThreshold, hNoAuto), IF($AG6 &gt; hFloorHatchThreshold, hFloorHatch))</f>
        <v>-1.5</v>
      </c>
      <c r="AM6">
        <f>SUM(cCargo * SUM($M6:$P6), cCargo *SUM( $X6:$AA6), cRocket23 * SUM($O6:$P6, $Z6:$AA6),cSandstorm * SUM($M6:$P6), cPenalty * $AH6, cTippedBroke * SUM($AE6:$AF6), IF($E6 &lt; cNoAutoThreshold, cNoAuto, 0))</f>
        <v>-1</v>
      </c>
      <c r="AN6">
        <f t="shared" si="0"/>
        <v>-21</v>
      </c>
      <c r="AP6" t="s">
        <v>261</v>
      </c>
    </row>
    <row r="7" spans="1:52" ht="15.75" thickBot="1">
      <c r="A7">
        <v>610</v>
      </c>
      <c r="B7" t="s">
        <v>199</v>
      </c>
      <c r="C7">
        <f>PRODUCT($E7,3)+PRODUCT(SUM($H7:$K7),2)+PRODUCT(SUM($M7:$P7),3)+PRODUCT(SUM($S7:$V7),2)+PRODUCT(SUM($X7:$AA7), 3)+IF($AC7 &gt; 2, PRODUCT(SUM($AC7, -1),6), PRODUCT($AC7,3)) + IF($AD7 &gt; 2, PRODUCT(SUM($AD7, -1),6), PRODUCT($AD7,3)) + PRODUCT($AH7, -1)</f>
        <v>21.555555555555554</v>
      </c>
      <c r="D7">
        <f>PRODUCT(SUM($H7:$I7), 2) + PRODUCT(SUM($M7:$N7),3) + PRODUCT(SUM($S7:$T7), 2) + PRODUCT(SUM($X7:$Y7), 3)</f>
        <v>7.333333333333333</v>
      </c>
      <c r="E7">
        <f>IF( COUNTIF('Raw Data'!$A$3:$A$2927,$A7)=0,0,SUMIF('Raw Data'!$A$3:$A$2927, $A7,'Raw Data'!D$3:D$2927) / COUNTIF('Raw Data'!$A$3:$A$2927,$A7))</f>
        <v>1.3333333333333333</v>
      </c>
      <c r="F7">
        <f t="array" ref="F7">MAX(IF('Raw Data'!$A$3:$A$927=$A7, 'Raw Data'!$O$3:$O$927))</f>
        <v>1</v>
      </c>
      <c r="G7">
        <f t="array" ref="G7">MAX(IF('Raw Data'!$A$3:$A$927=$A7, 'Raw Data'!$I$3:$I$927))</f>
        <v>1</v>
      </c>
      <c r="H7">
        <f>IF( COUNTIF('Raw Data'!$A$3:$A$2927,$A7)=0,0,SUMIF('Raw Data'!$A$3:$A$2927, $A7,'Raw Data'!E$3:E$2927) / COUNTIF('Raw Data'!$A$3:$A$2927,$A7))</f>
        <v>0.1111111111111111</v>
      </c>
      <c r="I7">
        <f>IF( COUNTIF('Raw Data'!$A$3:$A$2927,$A7)=0,0,SUMIF('Raw Data'!$A$3:$A$2927, $A7,'Raw Data'!F$3:F$2927) / COUNTIF('Raw Data'!$A$3:$A$2927,$A7))</f>
        <v>0.22222222222222221</v>
      </c>
      <c r="J7">
        <f>IF( COUNTIF('Raw Data'!$A$3:$A$2927,$A7)=0,0,SUMIF('Raw Data'!$A$3:$A$2927, $A7,'Raw Data'!G$3:G$2927) / COUNTIF('Raw Data'!$A$3:$A$2927,$A7))</f>
        <v>0</v>
      </c>
      <c r="K7">
        <f>IF( COUNTIF('Raw Data'!$A$3:$A$2927,$A7)=0,0,SUMIF('Raw Data'!$A$3:$A$2927, $A7,'Raw Data'!H$3:H$2927) / COUNTIF('Raw Data'!$A$3:$A$2927,$A7))</f>
        <v>0</v>
      </c>
      <c r="L7">
        <f t="array" ref="L7">MAX(IF('Raw Data'!$A$3:$A$927=$A7, 'Raw Data'!$N$3:$N$927))</f>
        <v>1</v>
      </c>
      <c r="M7">
        <f>IF( COUNTIF('Raw Data'!$A$3:$A$2927,$A7)=0,0,SUMIF('Raw Data'!$A$3:$A$2927, $A7,'Raw Data'!J$3:J$2927) / COUNTIF('Raw Data'!$A$3:$A$2927,$A7))</f>
        <v>0.1111111111111111</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 t="array" ref="Q7">MAX(IF('Raw Data'!$A$3:$A$927=$A7, 'Raw Data'!$Z$3:$Z$927))</f>
        <v>8</v>
      </c>
      <c r="R7">
        <f t="array" ref="R7">MAX(IF('Raw Data'!$A$3:$A$927=$A7, 'Raw Data'!$T$3:$T$927))</f>
        <v>6</v>
      </c>
      <c r="S7" s="118">
        <f>IF( COUNTIF('Raw Data'!$A$3:$A$2927,$A7)=0,0,SUMIF('Raw Data'!$A$3:$A$2927, $A7,'Raw Data'!P$3:P$2927) / COUNTIF('Raw Data'!$A$3:$A$2927,$A7))</f>
        <v>0.88888888888888884</v>
      </c>
      <c r="T7">
        <f>IF( COUNTIF('Raw Data'!$A$3:$A$2927,$A7)=0,0,SUMIF('Raw Data'!$A$3:$A$2927, $A7,'Raw Data'!Q$3:Q$2927) / COUNTIF('Raw Data'!$A$3:$A$2927,$A7))</f>
        <v>0.1111111111111111</v>
      </c>
      <c r="U7">
        <f>IF( COUNTIF('Raw Data'!$A$3:$A$2927,$A7)=0,0,SUMIF('Raw Data'!$A$3:$A$2927, $A7,'Raw Data'!R$3:R$2927) / COUNTIF('Raw Data'!$A$3:$A$2927,$A7))</f>
        <v>1</v>
      </c>
      <c r="V7">
        <f>IF( COUNTIF('Raw Data'!$A$3:$A$2927,$A7)=0,0,SUMIF('Raw Data'!$A$3:$A$2927, $A7,'Raw Data'!S$3:S$2927) / COUNTIF('Raw Data'!$A$3:$A$2927,$A7))</f>
        <v>0.44444444444444442</v>
      </c>
      <c r="W7">
        <f t="array" ref="W7">MAX(IF('Raw Data'!$A$3:$A$927=$A7, 'Raw Data'!$Y$3:$Y$927))</f>
        <v>4</v>
      </c>
      <c r="X7">
        <f>IF( COUNTIF('Raw Data'!$A$3:$A$2927,$A7)=0,0,SUMIF('Raw Data'!$A$3:$A$2927, $A7,'Raw Data'!U$3:U$2927) / COUNTIF('Raw Data'!$A$3:$A$2927,$A7))</f>
        <v>1.4444444444444444</v>
      </c>
      <c r="Y7">
        <f>IF( COUNTIF('Raw Data'!$A$3:$A$2927,$A7)=0,0,SUMIF('Raw Data'!$A$3:$A$2927, $A7,'Raw Data'!V$3:V$2927) / COUNTIF('Raw Data'!$A$3:$A$2927,$A7))</f>
        <v>0</v>
      </c>
      <c r="Z7">
        <f>IF( COUNTIF('Raw Data'!$A$3:$A$2927,$A7)=0,0,SUMIF('Raw Data'!$A$3:$A$2927, $A7,'Raw Data'!W$3:W$2927) / COUNTIF('Raw Data'!$A$3:$A$2927,$A7))</f>
        <v>0.44444444444444442</v>
      </c>
      <c r="AA7">
        <f>IF( COUNTIF('Raw Data'!$A$3:$A$2927,$A7)=0,0,SUMIF('Raw Data'!$A$3:$A$2927, $A7,'Raw Data'!X$3:X$2927) / COUNTIF('Raw Data'!$A$3:$A$2927,$A7))</f>
        <v>0.22222222222222221</v>
      </c>
      <c r="AB7">
        <f>IF( COUNTIF('Raw Data'!$A$3:$A$2927,$A7)=0,0,SUMIF('Raw Data'!$A$3:$A$2927, $A7,'Raw Data'!AA$3:AA$2927) / COUNTIF('Raw Data'!$A$3:$A$2927,$A7))</f>
        <v>0</v>
      </c>
      <c r="AC7">
        <f>IF( COUNTIF('Raw Data'!$A$3:$A$2927,$A7)=0,0,SUMIF('Raw Data'!$A$3:$A$2927, $A7,'Raw Data'!AB$3:AB$2927) / COUNTIF('Raw Data'!$A$3:$A$2927,$A7))</f>
        <v>0</v>
      </c>
      <c r="AD7">
        <f>IF( COUNTIF('Raw Data'!$A$3:$A$2927,$A7)=0,0,SUMIF('Raw Data'!$A$3:$A$2927, $A7,'Raw Data'!AC$3:AC$2927) / COUNTIF('Raw Data'!$A$3:$A$2927,$A7))</f>
        <v>2</v>
      </c>
      <c r="AE7" s="117">
        <f>IF( COUNTIF('Raw Data'!$A$3:$A$2927,$A7)=0,0,SUMIF('Raw Data'!$A$3:$A$2927, $A7,'Raw Data'!AD$3:AD$2927) / COUNTIF('Raw Data'!$A$3:$A$2927,$A7))</f>
        <v>0</v>
      </c>
      <c r="AF7">
        <f>IF( COUNTIF('Raw Data'!$A$3:$A$2927,$A7)=0,0,SUMIF('Raw Data'!$A$3:$A$2927, $A7,'Raw Data'!AE$3:AE$2927) / COUNTIF('Raw Data'!$A$3:$A$2927,$A7))</f>
        <v>0</v>
      </c>
      <c r="AG7">
        <f>IF( COUNTIF('Raw Data'!$A$3:$A$2927,$A7)=0,0,SUMIF('Raw Data'!$A$3:$A$2927, $A7,'Raw Data'!AF$3:AF$2927) / COUNTIF('Raw Data'!$A$3:$A$2927,$A7))</f>
        <v>0</v>
      </c>
      <c r="AH7">
        <f>IF( COUNTIF('Raw Data'!$A$3:$A$2927,$A7)=0,0,SUMIF('Raw Data'!$A$3:$A$2927, $A7,'Raw Data'!AG$3:AG$2927) / COUNTIF('Raw Data'!$A$3:$A$2927,$A7))</f>
        <v>0.66666666666666663</v>
      </c>
      <c r="AI7">
        <f>IF( COUNTIF('Raw Data'!$A$3:$A$2927,$A7)=0,0,SUMIF('Raw Data'!$A$3:$A$2927, $A7,'Raw Data'!AH$3:AH$2927) / COUNTIF('Raw Data'!$A$3:$A$2927,$A7))</f>
        <v>0.22222222222222221</v>
      </c>
      <c r="AJ7" s="116">
        <f>COUNTIF('Raw Data'!A$3:A$2927, $A7)</f>
        <v>9</v>
      </c>
      <c r="AK7">
        <f>IFERROR(SUM(IF($E7 &gt;autoThreshold, auto), hatch * SUM($H7:$K7), cargo * SUM($M7:$P7),hatch * SUM( $S7:$V7), cargo * SUM($X7:$AA7), rocket23 * SUM($J7:$K7, $O7:$P7, $U7:$V7, $Z7:$AA7), IF($AD7 &gt; climbThreshold, climb), IF($AC7 &gt; assistThreshold, $AC7 * assist), $AH7 * penalty, dropHatch * $AI7, tippedBroke * SUM($AE7:$AF7),  IF( $E7 &lt; noAutoThreshold, noAuto), IF($C7 &lt; doesNothingThreshold, doesNothing, IF($AD7 &gt;1.45, 2) )), "h")</f>
        <v>6.522222222222223</v>
      </c>
      <c r="AL7">
        <f>SUM(hHatch * SUM($H7:$K7), hHatch * SUM($S7:$V7), hRocket23 * SUM($J7:$K7), hRocket23 * SUM($U7:$V7), hSandstorm * SUM($H7:$K7), hPenalty * $AH7, hDropHatch * $AI7,hTippedBroke * SUM($AE7:$AF7), IF($E7 &lt; hNoAutoThreshold, hNoAuto), IF($AG7 &gt; hFloorHatchThreshold, hFloorHatch))</f>
        <v>2.8888888888888893</v>
      </c>
      <c r="AM7">
        <f>SUM(cCargo * SUM($M7:$P7), cCargo *SUM( $X7:$AA7), cRocket23 * SUM($O7:$P7, $Z7:$AA7),cSandstorm * SUM($M7:$P7), cPenalty * $AH7, cTippedBroke * SUM($AE7:$AF7), IF($E7 &lt; cNoAutoThreshold, cNoAuto, 0))</f>
        <v>2.3633333333333333</v>
      </c>
      <c r="AN7">
        <f t="shared" si="0"/>
        <v>8.4666666666666668</v>
      </c>
      <c r="AP7" t="s">
        <v>249</v>
      </c>
    </row>
    <row r="8" spans="1:52" ht="15.75" thickBot="1">
      <c r="A8">
        <v>746</v>
      </c>
      <c r="B8" t="s">
        <v>416</v>
      </c>
      <c r="C8">
        <f>PRODUCT($E8,3)+PRODUCT(SUM($H8:$K8),2)+PRODUCT(SUM($M8:$P8),3)+PRODUCT(SUM($S8:$V8),2)+PRODUCT(SUM($X8:$AA8), 3)+IF($AC8 &gt; 2, PRODUCT(SUM($AC8, -1),6), PRODUCT($AC8,3)) + IF($AD8 &gt; 2, PRODUCT(SUM($AD8, -1),6), PRODUCT($AD8,3)) + PRODUCT($AH8, -1)</f>
        <v>0</v>
      </c>
      <c r="D8">
        <f>PRODUCT(SUM($H8:$I8), 2) + PRODUCT(SUM($M8:$N8),3) + PRODUCT(SUM($S8:$T8), 2) + PRODUCT(SUM($X8:$Y8), 3)</f>
        <v>0</v>
      </c>
      <c r="E8">
        <f>IF( COUNTIF('Raw Data'!$A$3:$A$2927,$A8)=0,0,SUMIF('Raw Data'!$A$3:$A$2927, $A8,'Raw Data'!D$3:D$2927) / COUNTIF('Raw Data'!$A$3:$A$2927,$A8))</f>
        <v>0</v>
      </c>
      <c r="F8">
        <f t="array" ref="F8">MAX(IF('Raw Data'!$A$3:$A$927=$A8, 'Raw Data'!$O$3:$O$927))</f>
        <v>0</v>
      </c>
      <c r="G8">
        <f t="array" ref="G8">MAX(IF('Raw Data'!$A$3:$A$927=$A8, 'Raw Data'!$I$3:$I$927))</f>
        <v>0</v>
      </c>
      <c r="H8">
        <f>IF( COUNTIF('Raw Data'!$A$3:$A$2927,$A8)=0,0,SUMIF('Raw Data'!$A$3:$A$2927, $A8,'Raw Data'!E$3:E$2927) / COUNTIF('Raw Data'!$A$3:$A$2927,$A8))</f>
        <v>0</v>
      </c>
      <c r="I8">
        <f>IF( COUNTIF('Raw Data'!$A$3:$A$2927,$A8)=0,0,SUMIF('Raw Data'!$A$3:$A$2927, $A8,'Raw Data'!F$3:F$2927) / COUNTIF('Raw Data'!$A$3:$A$2927,$A8))</f>
        <v>0</v>
      </c>
      <c r="J8">
        <f>IF( COUNTIF('Raw Data'!$A$3:$A$2927,$A8)=0,0,SUMIF('Raw Data'!$A$3:$A$2927, $A8,'Raw Data'!G$3:G$2927) / COUNTIF('Raw Data'!$A$3:$A$2927,$A8))</f>
        <v>0</v>
      </c>
      <c r="K8">
        <f>IF( COUNTIF('Raw Data'!$A$3:$A$2927,$A8)=0,0,SUMIF('Raw Data'!$A$3:$A$2927, $A8,'Raw Data'!H$3:H$2927) / COUNTIF('Raw Data'!$A$3:$A$2927,$A8))</f>
        <v>0</v>
      </c>
      <c r="L8">
        <f t="array" ref="L8">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 t="array" ref="Q8">MAX(IF('Raw Data'!$A$3:$A$927=$A8, 'Raw Data'!$Z$3:$Z$927))</f>
        <v>0</v>
      </c>
      <c r="R8">
        <f t="array" ref="R8">MAX(IF('Raw Data'!$A$3:$A$927=$A8, 'Raw Data'!$T$3:$T$927))</f>
        <v>0</v>
      </c>
      <c r="S8" s="118">
        <f>IF( COUNTIF('Raw Data'!$A$3:$A$2927,$A8)=0,0,SUMIF('Raw Data'!$A$3:$A$2927, $A8,'Raw Data'!P$3:P$2927) / COUNTIF('Raw Data'!$A$3:$A$2927,$A8))</f>
        <v>0</v>
      </c>
      <c r="T8">
        <f>IF( COUNTIF('Raw Data'!$A$3:$A$2927,$A8)=0,0,SUMIF('Raw Data'!$A$3:$A$2927, $A8,'Raw Data'!Q$3:Q$2927) / COUNTIF('Raw Data'!$A$3:$A$2927,$A8))</f>
        <v>0</v>
      </c>
      <c r="U8">
        <f>IF( COUNTIF('Raw Data'!$A$3:$A$2927,$A8)=0,0,SUMIF('Raw Data'!$A$3:$A$2927, $A8,'Raw Data'!R$3:R$2927) / COUNTIF('Raw Data'!$A$3:$A$2927,$A8))</f>
        <v>0</v>
      </c>
      <c r="V8">
        <f>IF( COUNTIF('Raw Data'!$A$3:$A$2927,$A8)=0,0,SUMIF('Raw Data'!$A$3:$A$2927, $A8,'Raw Data'!S$3:S$2927) / COUNTIF('Raw Data'!$A$3:$A$2927,$A8))</f>
        <v>0</v>
      </c>
      <c r="W8">
        <f t="array" ref="W8">MAX(IF('Raw Data'!$A$3:$A$927=$A8, 'Raw Data'!$Y$3:$Y$927))</f>
        <v>0</v>
      </c>
      <c r="X8">
        <f>IF( COUNTIF('Raw Data'!$A$3:$A$2927,$A8)=0,0,SUMIF('Raw Data'!$A$3:$A$2927, $A8,'Raw Data'!U$3:U$2927) / COUNTIF('Raw Data'!$A$3:$A$2927,$A8))</f>
        <v>0</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0</v>
      </c>
      <c r="AC8">
        <f>IF( COUNTIF('Raw Data'!$A$3:$A$2927,$A8)=0,0,SUMIF('Raw Data'!$A$3:$A$2927, $A8,'Raw Data'!AB$3:AB$2927) / COUNTIF('Raw Data'!$A$3:$A$2927,$A8))</f>
        <v>0</v>
      </c>
      <c r="AD8">
        <f>IF( COUNTIF('Raw Data'!$A$3:$A$2927,$A8)=0,0,SUMIF('Raw Data'!$A$3:$A$2927, $A8,'Raw Data'!AC$3:AC$2927) / COUNTIF('Raw Data'!$A$3:$A$2927,$A8))</f>
        <v>0</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0</v>
      </c>
      <c r="AI8">
        <f>IF( COUNTIF('Raw Data'!$A$3:$A$2927,$A8)=0,0,SUMIF('Raw Data'!$A$3:$A$2927, $A8,'Raw Data'!AH$3:AH$2927) / COUNTIF('Raw Data'!$A$3:$A$2927,$A8))</f>
        <v>0</v>
      </c>
      <c r="AJ8" s="116">
        <f>COUNTIF('Raw Data'!A$3:A$2927, $A8)</f>
        <v>0</v>
      </c>
      <c r="AK8">
        <f>IFERROR(SUM(IF($E8 &gt;autoThreshold, auto), hatch * SUM($H8:$K8), cargo * SUM($M8:$P8),hatch * SUM( $S8:$V8), cargo * SUM($X8:$AA8), rocket23 * SUM($J8:$K8, $O8:$P8, $U8:$V8, $Z8:$AA8), IF($AD8 &gt; climbThreshold, climb), IF($AC8 &gt; assistThreshold, $AC8 * assist), $AH8 * penalty, dropHatch * $AI8, tippedBroke * SUM($AE8:$AF8),  IF( $E8 &lt; noAutoThreshold, noAuto), IF($C8 &lt; doesNothingThreshold, doesNothing, IF($AD8 &gt;1.45, 2) )), "h")</f>
        <v>-21</v>
      </c>
      <c r="AL8">
        <f>SUM(hHatch * SUM($H8:$K8), hHatch * SUM($S8:$V8), hRocket23 * SUM($J8:$K8), hRocket23 * SUM($U8:$V8), hSandstorm * SUM($H8:$K8), hPenalty * $AH8, hDropHatch * $AI8,hTippedBroke * SUM($AE8:$AF8), IF($E8 &lt; hNoAutoThreshold, hNoAuto), IF($AG8 &gt; hFloorHatchThreshold, hFloorHatch))</f>
        <v>-1.5</v>
      </c>
      <c r="AM8">
        <f>SUM(cCargo * SUM($M8:$P8), cCargo *SUM( $X8:$AA8), cRocket23 * SUM($O8:$P8, $Z8:$AA8),cSandstorm * SUM($M8:$P8), cPenalty * $AH8, cTippedBroke * SUM($AE8:$AF8), IF($E8 &lt; cNoAutoThreshold, cNoAuto, 0))</f>
        <v>-1</v>
      </c>
      <c r="AN8">
        <f t="shared" si="0"/>
        <v>-21</v>
      </c>
      <c r="AP8" t="s">
        <v>260</v>
      </c>
    </row>
    <row r="9" spans="1:52" ht="15.75" thickBot="1">
      <c r="A9">
        <v>781</v>
      </c>
      <c r="B9" t="s">
        <v>444</v>
      </c>
      <c r="C9">
        <f>PRODUCT($E9,3)+PRODUCT(SUM($H9:$K9),2)+PRODUCT(SUM($M9:$P9),3)+PRODUCT(SUM($S9:$V9),2)+PRODUCT(SUM($X9:$AA9), 3)+IF($AC9 &gt; 2, PRODUCT(SUM($AC9, -1),6), PRODUCT($AC9,3)) + IF($AD9 &gt; 2, PRODUCT(SUM($AD9, -1),6), PRODUCT($AD9,3)) + PRODUCT($AH9, -1)</f>
        <v>0</v>
      </c>
      <c r="D9">
        <f>PRODUCT(SUM($H9:$I9), 2) + PRODUCT(SUM($M9:$N9),3) + PRODUCT(SUM($S9:$T9), 2) + PRODUCT(SUM($X9:$Y9), 3)</f>
        <v>0</v>
      </c>
      <c r="E9">
        <f>IF( COUNTIF('Raw Data'!$A$3:$A$2927,$A9)=0,0,SUMIF('Raw Data'!$A$3:$A$2927, $A9,'Raw Data'!D$3:D$2927) / COUNTIF('Raw Data'!$A$3:$A$2927,$A9))</f>
        <v>0</v>
      </c>
      <c r="F9">
        <f t="array" ref="F9">MAX(IF('Raw Data'!$A$3:$A$927=$A9, 'Raw Data'!$O$3:$O$927))</f>
        <v>0</v>
      </c>
      <c r="G9">
        <f t="array" ref="G9">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 t="array" ref="L9">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 t="array" ref="Q9">MAX(IF('Raw Data'!$A$3:$A$927=$A9, 'Raw Data'!$Z$3:$Z$927))</f>
        <v>0</v>
      </c>
      <c r="R9">
        <f t="array" ref="R9">MAX(IF('Raw Data'!$A$3:$A$927=$A9, 'Raw Data'!$T$3:$T$927))</f>
        <v>0</v>
      </c>
      <c r="S9" s="118">
        <f>IF( COUNTIF('Raw Data'!$A$3:$A$2927,$A9)=0,0,SUMIF('Raw Data'!$A$3:$A$2927, $A9,'Raw Data'!P$3:P$2927) / COUNTIF('Raw Data'!$A$3:$A$2927,$A9))</f>
        <v>0</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 t="array" ref="W9">MAX(IF('Raw Data'!$A$3:$A$927=$A9, 'Raw Data'!$Y$3:$Y$927))</f>
        <v>0</v>
      </c>
      <c r="X9">
        <f>IF( COUNTIF('Raw Data'!$A$3:$A$2927,$A9)=0,0,SUMIF('Raw Data'!$A$3:$A$2927, $A9,'Raw Data'!U$3:U$2927) / COUNTIF('Raw Data'!$A$3:$A$2927,$A9))</f>
        <v>0</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0</v>
      </c>
      <c r="AE9" s="117">
        <f>IF( COUNTIF('Raw Data'!$A$3:$A$2927,$A9)=0,0,SUMIF('Raw Data'!$A$3:$A$2927, $A9,'Raw Data'!AD$3:AD$2927) / COUNTIF('Raw Data'!$A$3:$A$2927,$A9))</f>
        <v>0</v>
      </c>
      <c r="AF9">
        <f>IF( COUNTIF('Raw Data'!$A$3:$A$2927,$A9)=0,0,SUMIF('Raw Data'!$A$3:$A$2927, $A9,'Raw Data'!AE$3:AE$2927) / COUNTIF('Raw Data'!$A$3:$A$2927,$A9))</f>
        <v>0</v>
      </c>
      <c r="AG9">
        <f>IF( COUNTIF('Raw Data'!$A$3:$A$2927,$A9)=0,0,SUMIF('Raw Data'!$A$3:$A$2927, $A9,'Raw Data'!AF$3:AF$2927) / COUNTIF('Raw Data'!$A$3:$A$2927,$A9))</f>
        <v>0</v>
      </c>
      <c r="AH9">
        <f>IF( COUNTIF('Raw Data'!$A$3:$A$2927,$A9)=0,0,SUMIF('Raw Data'!$A$3:$A$2927, $A9,'Raw Data'!AG$3:AG$2927) / COUNTIF('Raw Data'!$A$3:$A$2927,$A9))</f>
        <v>0</v>
      </c>
      <c r="AI9">
        <f>IF( COUNTIF('Raw Data'!$A$3:$A$2927,$A9)=0,0,SUMIF('Raw Data'!$A$3:$A$2927, $A9,'Raw Data'!AH$3:AH$2927) / COUNTIF('Raw Data'!$A$3:$A$2927,$A9))</f>
        <v>0</v>
      </c>
      <c r="AJ9" s="116">
        <f>COUNTIF('Raw Data'!A$3:A$2927, $A9)</f>
        <v>0</v>
      </c>
      <c r="AK9">
        <f>IFERROR(SUM(IF($E9 &gt;autoThreshold, auto), hatch * SUM($H9:$K9), cargo * SUM($M9:$P9),hatch * SUM( $S9:$V9), cargo * SUM($X9:$AA9), rocket23 * SUM($J9:$K9, $O9:$P9, $U9:$V9, $Z9:$AA9), IF($AD9 &gt; climbThreshold, climb), IF($AC9 &gt; assistThreshold, $AC9 * assist), $AH9 * penalty, dropHatch * $AI9, tippedBroke * SUM($AE9:$AF9),  IF( $E9 &lt; noAutoThreshold, noAuto), IF($C9 &lt; doesNothingThreshold, doesNothing, IF($AD9 &gt;1.45, 2) )), "h")</f>
        <v>-21</v>
      </c>
      <c r="AL9">
        <f>SUM(hHatch * SUM($H9:$K9), hHatch * SUM($S9:$V9), hRocket23 * SUM($J9:$K9), hRocket23 * SUM($U9:$V9), hSandstorm * SUM($H9:$K9), hPenalty * $AH9, hDropHatch * $AI9,hTippedBroke * SUM($AE9:$AF9), IF($E9 &lt; hNoAutoThreshold, hNoAuto), IF($AG9 &gt; hFloorHatchThreshold, hFloorHatch))</f>
        <v>-1.5</v>
      </c>
      <c r="AM9">
        <f>SUM(cCargo * SUM($M9:$P9), cCargo *SUM( $X9:$AA9), cRocket23 * SUM($O9:$P9, $Z9:$AA9),cSandstorm * SUM($M9:$P9), cPenalty * $AH9, cTippedBroke * SUM($AE9:$AF9), IF($E9 &lt; cNoAutoThreshold, cNoAuto, 0))</f>
        <v>-1</v>
      </c>
      <c r="AN9">
        <f t="shared" si="0"/>
        <v>-21</v>
      </c>
      <c r="AP9" t="s">
        <v>250</v>
      </c>
    </row>
    <row r="10" spans="1:52" ht="15.75" thickBot="1">
      <c r="A10">
        <v>854</v>
      </c>
      <c r="B10" t="s">
        <v>478</v>
      </c>
      <c r="C10">
        <f>PRODUCT($E10,3)+PRODUCT(SUM($H10:$K10),2)+PRODUCT(SUM($M10:$P10),3)+PRODUCT(SUM($S10:$V10),2)+PRODUCT(SUM($X10:$AA10), 3)+IF($AC10 &gt; 2, PRODUCT(SUM($AC10, -1),6), PRODUCT($AC10,3)) + IF($AD10 &gt; 2, PRODUCT(SUM($AD10, -1),6), PRODUCT($AD10,3)) + PRODUCT($AH10, -1)</f>
        <v>0</v>
      </c>
      <c r="D10">
        <f>PRODUCT(SUM($H10:$I10), 2) + PRODUCT(SUM($M10:$N10),3) + PRODUCT(SUM($S10:$T10), 2) + PRODUCT(SUM($X10:$Y10), 3)</f>
        <v>0</v>
      </c>
      <c r="E10">
        <f>IF( COUNTIF('Raw Data'!$A$3:$A$2927,$A10)=0,0,SUMIF('Raw Data'!$A$3:$A$2927, $A10,'Raw Data'!D$3:D$2927) / COUNTIF('Raw Data'!$A$3:$A$2927,$A10))</f>
        <v>0</v>
      </c>
      <c r="F10">
        <f t="array" ref="F10">MAX(IF('Raw Data'!$A$3:$A$927=$A10, 'Raw Data'!$O$3:$O$927))</f>
        <v>0</v>
      </c>
      <c r="G10">
        <f t="array" ref="G10">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 t="array" ref="L10">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 t="array" ref="Q10">MAX(IF('Raw Data'!$A$3:$A$927=$A10, 'Raw Data'!$Z$3:$Z$927))</f>
        <v>0</v>
      </c>
      <c r="R10">
        <f t="array" ref="R10">MAX(IF('Raw Data'!$A$3:$A$927=$A10, 'Raw Data'!$T$3:$T$927))</f>
        <v>0</v>
      </c>
      <c r="S10" s="118">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 t="array" ref="W10">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0</v>
      </c>
      <c r="AC10">
        <f>IF( COUNTIF('Raw Data'!$A$3:$A$2927,$A10)=0,0,SUMIF('Raw Data'!$A$3:$A$2927, $A10,'Raw Data'!AB$3:AB$2927) / COUNTIF('Raw Data'!$A$3:$A$2927,$A10))</f>
        <v>0</v>
      </c>
      <c r="AD10">
        <f>IF( COUNTIF('Raw Data'!$A$3:$A$2927,$A10)=0,0,SUMIF('Raw Data'!$A$3:$A$2927, $A10,'Raw Data'!AC$3:AC$2927) / COUNTIF('Raw Data'!$A$3:$A$2927,$A10))</f>
        <v>0</v>
      </c>
      <c r="AE10" s="117">
        <f>IF( COUNTIF('Raw Data'!$A$3:$A$2927,$A10)=0,0,SUMIF('Raw Data'!$A$3:$A$2927, $A10,'Raw Data'!AD$3:AD$2927) / COUNTIF('Raw Data'!$A$3:$A$2927,$A10))</f>
        <v>0</v>
      </c>
      <c r="AF10">
        <f>IF( COUNTIF('Raw Data'!$A$3:$A$2927,$A10)=0,0,SUMIF('Raw Data'!$A$3:$A$2927, $A10,'Raw Data'!AE$3:AE$2927) / COUNTIF('Raw Data'!$A$3:$A$2927,$A10))</f>
        <v>0</v>
      </c>
      <c r="AG10">
        <f>IF( COUNTIF('Raw Data'!$A$3:$A$2927,$A10)=0,0,SUMIF('Raw Data'!$A$3:$A$2927, $A10,'Raw Data'!AF$3:AF$2927) / COUNTIF('Raw Data'!$A$3:$A$2927,$A10))</f>
        <v>0</v>
      </c>
      <c r="AH10">
        <f>IF( COUNTIF('Raw Data'!$A$3:$A$2927,$A10)=0,0,SUMIF('Raw Data'!$A$3:$A$2927, $A10,'Raw Data'!AG$3:AG$2927) / COUNTIF('Raw Data'!$A$3:$A$2927,$A10))</f>
        <v>0</v>
      </c>
      <c r="AI10">
        <f>IF( COUNTIF('Raw Data'!$A$3:$A$2927,$A10)=0,0,SUMIF('Raw Data'!$A$3:$A$2927, $A10,'Raw Data'!AH$3:AH$2927) / COUNTIF('Raw Data'!$A$3:$A$2927,$A10))</f>
        <v>0</v>
      </c>
      <c r="AJ10" s="116">
        <f>COUNTIF('Raw Data'!A$3:A$2927, $A10)</f>
        <v>0</v>
      </c>
      <c r="AK10">
        <f>IFERROR(SUM(IF($E10 &gt;autoThreshold, auto), hatch * SUM($H10:$K10), cargo * SUM($M10:$P10),hatch * SUM( $S10:$V10), cargo * SUM($X10:$AA10), rocket23 * SUM($J10:$K10, $O10:$P10, $U10:$V10, $Z10:$AA10), IF($AD10 &gt; climbThreshold, climb), IF($AC10 &gt; assistThreshold, $AC10 * assist), $AH10 * penalty, dropHatch * $AI10, tippedBroke * SUM($AE10:$AF10),  IF( $E10 &lt; noAutoThreshold, noAuto), IF($C10 &lt; doesNothingThreshold, doesNothing, IF($AD10 &gt;1.45, 2) )), "h")</f>
        <v>-21</v>
      </c>
      <c r="AL10">
        <f>SUM(hHatch * SUM($H10:$K10), hHatch * SUM($S10:$V10), hRocket23 * SUM($J10:$K10), hRocket23 * SUM($U10:$V10), hSandstorm * SUM($H10:$K10), hPenalty * $AH10, hDropHatch * $AI10,hTippedBroke * SUM($AE10:$AF10), IF($E10 &lt; hNoAutoThreshold, hNoAuto), IF($AG10 &gt; hFloorHatchThreshold, hFloorHatch))</f>
        <v>-1.5</v>
      </c>
      <c r="AM10">
        <f>SUM(cCargo * SUM($M10:$P10), cCargo *SUM( $X10:$AA10), cRocket23 * SUM($O10:$P10, $Z10:$AA10),cSandstorm * SUM($M10:$P10), cPenalty * $AH10, cTippedBroke * SUM($AE10:$AF10), IF($E10 &lt; cNoAutoThreshold, cNoAuto, 0))</f>
        <v>-1</v>
      </c>
      <c r="AN10">
        <f t="shared" si="0"/>
        <v>-21</v>
      </c>
      <c r="AP10" t="s">
        <v>251</v>
      </c>
    </row>
    <row r="11" spans="1:52" ht="15.75" thickBot="1">
      <c r="A11">
        <v>907</v>
      </c>
      <c r="B11" t="s">
        <v>479</v>
      </c>
      <c r="C11">
        <f>PRODUCT($E11,3)+PRODUCT(SUM($H11:$K11),2)+PRODUCT(SUM($M11:$P11),3)+PRODUCT(SUM($S11:$V11),2)+PRODUCT(SUM($X11:$AA11), 3)+IF($AC11 &gt; 2, PRODUCT(SUM($AC11, -1),6), PRODUCT($AC11,3)) + IF($AD11 &gt; 2, PRODUCT(SUM($AD11, -1),6), PRODUCT($AD11,3)) + PRODUCT($AH11, -1)</f>
        <v>0</v>
      </c>
      <c r="D11">
        <f>PRODUCT(SUM($H11:$I11), 2) + PRODUCT(SUM($M11:$N11),3) + PRODUCT(SUM($S11:$T11), 2) + PRODUCT(SUM($X11:$Y11), 3)</f>
        <v>0</v>
      </c>
      <c r="E11">
        <f>IF( COUNTIF('Raw Data'!$A$3:$A$2927,$A11)=0,0,SUMIF('Raw Data'!$A$3:$A$2927, $A11,'Raw Data'!D$3:D$2927) / COUNTIF('Raw Data'!$A$3:$A$2927,$A11))</f>
        <v>0</v>
      </c>
      <c r="F11">
        <f t="array" ref="F11">MAX(IF('Raw Data'!$A$3:$A$927=$A11, 'Raw Data'!$O$3:$O$927))</f>
        <v>0</v>
      </c>
      <c r="G11">
        <f t="array" ref="G11">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 t="array" ref="L11">MAX(IF('Raw Data'!$A$3:$A$927=$A11, 'Raw Data'!$N$3:$N$927))</f>
        <v>0</v>
      </c>
      <c r="M11">
        <f>IF( COUNTIF('Raw Data'!$A$3:$A$2927,$A11)=0,0,SUMIF('Raw Data'!$A$3:$A$2927, $A11,'Raw Data'!J$3:J$2927) / COUNTIF('Raw Data'!$A$3:$A$2927,$A11))</f>
        <v>0</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 t="array" ref="Q11">MAX(IF('Raw Data'!$A$3:$A$927=$A11, 'Raw Data'!$Z$3:$Z$927))</f>
        <v>0</v>
      </c>
      <c r="R11">
        <f t="array" ref="R11">MAX(IF('Raw Data'!$A$3:$A$927=$A11, 'Raw Data'!$T$3:$T$927))</f>
        <v>0</v>
      </c>
      <c r="S11" s="118">
        <f>IF( COUNTIF('Raw Data'!$A$3:$A$2927,$A11)=0,0,SUMIF('Raw Data'!$A$3:$A$2927, $A11,'Raw Data'!P$3:P$2927) / COUNTIF('Raw Data'!$A$3:$A$2927,$A11))</f>
        <v>0</v>
      </c>
      <c r="T11">
        <f>IF( COUNTIF('Raw Data'!$A$3:$A$2927,$A11)=0,0,SUMIF('Raw Data'!$A$3:$A$2927, $A11,'Raw Data'!Q$3:Q$2927) / COUNTIF('Raw Data'!$A$3:$A$2927,$A11))</f>
        <v>0</v>
      </c>
      <c r="U11">
        <f>IF( COUNTIF('Raw Data'!$A$3:$A$2927,$A11)=0,0,SUMIF('Raw Data'!$A$3:$A$2927, $A11,'Raw Data'!R$3:R$2927) / COUNTIF('Raw Data'!$A$3:$A$2927,$A11))</f>
        <v>0</v>
      </c>
      <c r="V11">
        <f>IF( COUNTIF('Raw Data'!$A$3:$A$2927,$A11)=0,0,SUMIF('Raw Data'!$A$3:$A$2927, $A11,'Raw Data'!S$3:S$2927) / COUNTIF('Raw Data'!$A$3:$A$2927,$A11))</f>
        <v>0</v>
      </c>
      <c r="W11">
        <f t="array" ref="W11">MAX(IF('Raw Data'!$A$3:$A$927=$A11, 'Raw Data'!$Y$3:$Y$927))</f>
        <v>0</v>
      </c>
      <c r="X11">
        <f>IF( COUNTIF('Raw Data'!$A$3:$A$2927,$A11)=0,0,SUMIF('Raw Data'!$A$3:$A$2927, $A11,'Raw Data'!U$3:U$2927) / COUNTIF('Raw Data'!$A$3:$A$2927,$A11))</f>
        <v>0</v>
      </c>
      <c r="Y11">
        <f>IF( COUNTIF('Raw Data'!$A$3:$A$2927,$A11)=0,0,SUMIF('Raw Data'!$A$3:$A$2927, $A11,'Raw Data'!V$3:V$2927) / COUNTIF('Raw Data'!$A$3:$A$2927,$A11))</f>
        <v>0</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0</v>
      </c>
      <c r="AC11">
        <f>IF( COUNTIF('Raw Data'!$A$3:$A$2927,$A11)=0,0,SUMIF('Raw Data'!$A$3:$A$2927, $A11,'Raw Data'!AB$3:AB$2927) / COUNTIF('Raw Data'!$A$3:$A$2927,$A11))</f>
        <v>0</v>
      </c>
      <c r="AD11">
        <f>IF( COUNTIF('Raw Data'!$A$3:$A$2927,$A11)=0,0,SUMIF('Raw Data'!$A$3:$A$2927, $A11,'Raw Data'!AC$3:AC$2927) / COUNTIF('Raw Data'!$A$3:$A$2927,$A11))</f>
        <v>0</v>
      </c>
      <c r="AE11" s="117">
        <f>IF( COUNTIF('Raw Data'!$A$3:$A$2927,$A11)=0,0,SUMIF('Raw Data'!$A$3:$A$2927, $A11,'Raw Data'!AD$3:AD$2927) / COUNTIF('Raw Data'!$A$3:$A$2927,$A11))</f>
        <v>0</v>
      </c>
      <c r="AF11">
        <f>IF( COUNTIF('Raw Data'!$A$3:$A$2927,$A11)=0,0,SUMIF('Raw Data'!$A$3:$A$2927, $A11,'Raw Data'!AE$3:AE$2927) / COUNTIF('Raw Data'!$A$3:$A$2927,$A11))</f>
        <v>0</v>
      </c>
      <c r="AG11">
        <f>IF( COUNTIF('Raw Data'!$A$3:$A$2927,$A11)=0,0,SUMIF('Raw Data'!$A$3:$A$2927, $A11,'Raw Data'!AF$3:AF$2927) / COUNTIF('Raw Data'!$A$3:$A$2927,$A11))</f>
        <v>0</v>
      </c>
      <c r="AH11">
        <f>IF( COUNTIF('Raw Data'!$A$3:$A$2927,$A11)=0,0,SUMIF('Raw Data'!$A$3:$A$2927, $A11,'Raw Data'!AG$3:AG$2927) / COUNTIF('Raw Data'!$A$3:$A$2927,$A11))</f>
        <v>0</v>
      </c>
      <c r="AI11">
        <f>IF( COUNTIF('Raw Data'!$A$3:$A$2927,$A11)=0,0,SUMIF('Raw Data'!$A$3:$A$2927, $A11,'Raw Data'!AH$3:AH$2927) / COUNTIF('Raw Data'!$A$3:$A$2927,$A11))</f>
        <v>0</v>
      </c>
      <c r="AJ11" s="116">
        <f>COUNTIF('Raw Data'!A$3:A$2927, $A11)</f>
        <v>0</v>
      </c>
      <c r="AK11">
        <f>IFERROR(SUM(IF($E11 &gt;autoThreshold, auto), hatch * SUM($H11:$K11), cargo * SUM($M11:$P11),hatch * SUM( $S11:$V11), cargo * SUM($X11:$AA11), rocket23 * SUM($J11:$K11, $O11:$P11, $U11:$V11, $Z11:$AA11), IF($AD11 &gt; climbThreshold, climb), IF($AC11 &gt; assistThreshold, $AC11 * assist), $AH11 * penalty, dropHatch * $AI11, tippedBroke * SUM($AE11:$AF11),  IF( $E11 &lt; noAutoThreshold, noAuto), IF($C11 &lt; doesNothingThreshold, doesNothing, IF($AD11 &gt;1.45, 2) )), "h")</f>
        <v>-21</v>
      </c>
      <c r="AL11">
        <f>SUM(hHatch * SUM($H11:$K11), hHatch * SUM($S11:$V11), hRocket23 * SUM($J11:$K11), hRocket23 * SUM($U11:$V11), hSandstorm * SUM($H11:$K11), hPenalty * $AH11, hDropHatch * $AI11,hTippedBroke * SUM($AE11:$AF11), IF($E11 &lt; hNoAutoThreshold, hNoAuto), IF($AG11 &gt; hFloorHatchThreshold, hFloorHatch))</f>
        <v>-1.5</v>
      </c>
      <c r="AM11">
        <f>SUM(cCargo * SUM($M11:$P11), cCargo *SUM( $X11:$AA11), cRocket23 * SUM($O11:$P11, $Z11:$AA11),cSandstorm * SUM($M11:$P11), cPenalty * $AH11, cTippedBroke * SUM($AE11:$AF11), IF($E11 &lt; cNoAutoThreshold, cNoAuto, 0))</f>
        <v>-1</v>
      </c>
      <c r="AN11">
        <f t="shared" si="0"/>
        <v>-21</v>
      </c>
    </row>
    <row r="12" spans="1:52" ht="15.75" thickBot="1">
      <c r="A12">
        <v>919</v>
      </c>
      <c r="B12" t="s">
        <v>417</v>
      </c>
      <c r="C12">
        <f>PRODUCT($E12,3)+PRODUCT(SUM($H12:$K12),2)+PRODUCT(SUM($M12:$P12),3)+PRODUCT(SUM($S12:$V12),2)+PRODUCT(SUM($X12:$AA12), 3)+IF($AC12 &gt; 2, PRODUCT(SUM($AC12, -1),6), PRODUCT($AC12,3)) + IF($AD12 &gt; 2, PRODUCT(SUM($AD12, -1),6), PRODUCT($AD12,3)) + PRODUCT($AH12, -1)</f>
        <v>0</v>
      </c>
      <c r="D12">
        <f>PRODUCT(SUM($H12:$I12), 2) + PRODUCT(SUM($M12:$N12),3) + PRODUCT(SUM($S12:$T12), 2) + PRODUCT(SUM($X12:$Y12), 3)</f>
        <v>0</v>
      </c>
      <c r="E12">
        <f>IF( COUNTIF('Raw Data'!$A$3:$A$2927,$A12)=0,0,SUMIF('Raw Data'!$A$3:$A$2927, $A12,'Raw Data'!D$3:D$2927) / COUNTIF('Raw Data'!$A$3:$A$2927,$A12))</f>
        <v>0</v>
      </c>
      <c r="F12">
        <f t="array" ref="F12">MAX(IF('Raw Data'!$A$3:$A$927=$A12, 'Raw Data'!$O$3:$O$927))</f>
        <v>0</v>
      </c>
      <c r="G12">
        <f t="array" ref="G12">MAX(IF('Raw Data'!$A$3:$A$927=$A12, 'Raw Data'!$I$3:$I$927))</f>
        <v>0</v>
      </c>
      <c r="H12">
        <f>IF( COUNTIF('Raw Data'!$A$3:$A$2927,$A12)=0,0,SUMIF('Raw Data'!$A$3:$A$2927, $A12,'Raw Data'!E$3:E$2927) / COUNTIF('Raw Data'!$A$3:$A$2927,$A12))</f>
        <v>0</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 t="array" ref="L12">MAX(IF('Raw Data'!$A$3:$A$927=$A12, 'Raw Data'!$N$3:$N$927))</f>
        <v>0</v>
      </c>
      <c r="M12">
        <f>IF( COUNTIF('Raw Data'!$A$3:$A$2927,$A12)=0,0,SUMIF('Raw Data'!$A$3:$A$2927, $A12,'Raw Data'!J$3:J$2927) / COUNTIF('Raw Data'!$A$3:$A$2927,$A12))</f>
        <v>0</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 t="array" ref="Q12">MAX(IF('Raw Data'!$A$3:$A$927=$A12, 'Raw Data'!$Z$3:$Z$927))</f>
        <v>0</v>
      </c>
      <c r="R12">
        <f t="array" ref="R12">MAX(IF('Raw Data'!$A$3:$A$927=$A12, 'Raw Data'!$T$3:$T$927))</f>
        <v>0</v>
      </c>
      <c r="S12" s="118">
        <f>IF( COUNTIF('Raw Data'!$A$3:$A$2927,$A12)=0,0,SUMIF('Raw Data'!$A$3:$A$2927, $A12,'Raw Data'!P$3:P$2927) / COUNTIF('Raw Data'!$A$3:$A$2927,$A12))</f>
        <v>0</v>
      </c>
      <c r="T12">
        <f>IF( COUNTIF('Raw Data'!$A$3:$A$2927,$A12)=0,0,SUMIF('Raw Data'!$A$3:$A$2927, $A12,'Raw Data'!Q$3:Q$2927) / COUNTIF('Raw Data'!$A$3:$A$2927,$A12))</f>
        <v>0</v>
      </c>
      <c r="U12">
        <f>IF( COUNTIF('Raw Data'!$A$3:$A$2927,$A12)=0,0,SUMIF('Raw Data'!$A$3:$A$2927, $A12,'Raw Data'!R$3:R$2927) / COUNTIF('Raw Data'!$A$3:$A$2927,$A12))</f>
        <v>0</v>
      </c>
      <c r="V12">
        <f>IF( COUNTIF('Raw Data'!$A$3:$A$2927,$A12)=0,0,SUMIF('Raw Data'!$A$3:$A$2927, $A12,'Raw Data'!S$3:S$2927) / COUNTIF('Raw Data'!$A$3:$A$2927,$A12))</f>
        <v>0</v>
      </c>
      <c r="W12">
        <f t="array" ref="W12">MAX(IF('Raw Data'!$A$3:$A$927=$A12, 'Raw Data'!$Y$3:$Y$927))</f>
        <v>0</v>
      </c>
      <c r="X12">
        <f>IF( COUNTIF('Raw Data'!$A$3:$A$2927,$A12)=0,0,SUMIF('Raw Data'!$A$3:$A$2927, $A12,'Raw Data'!U$3:U$2927) / COUNTIF('Raw Data'!$A$3:$A$2927,$A12))</f>
        <v>0</v>
      </c>
      <c r="Y12">
        <f>IF( COUNTIF('Raw Data'!$A$3:$A$2927,$A12)=0,0,SUMIF('Raw Data'!$A$3:$A$2927, $A12,'Raw Data'!V$3:V$2927) / COUNTIF('Raw Data'!$A$3:$A$2927,$A12))</f>
        <v>0</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0</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v>
      </c>
      <c r="AI12">
        <f>IF( COUNTIF('Raw Data'!$A$3:$A$2927,$A12)=0,0,SUMIF('Raw Data'!$A$3:$A$2927, $A12,'Raw Data'!AH$3:AH$2927) / COUNTIF('Raw Data'!$A$3:$A$2927,$A12))</f>
        <v>0</v>
      </c>
      <c r="AJ12" s="116">
        <f>COUNTIF('Raw Data'!A$3:A$2927, $A12)</f>
        <v>0</v>
      </c>
      <c r="AK12">
        <f>IFERROR(SUM(IF($E12 &gt;autoThreshold, auto), hatch * SUM($H12:$K12), cargo * SUM($M12:$P12),hatch * SUM( $S12:$V12), cargo * SUM($X12:$AA12), rocket23 * SUM($J12:$K12, $O12:$P12, $U12:$V12, $Z12:$AA12), IF($AD12 &gt; climbThreshold, climb), IF($AC12 &gt; assistThreshold, $AC12 * assist), $AH12 * penalty, dropHatch * $AI12, tippedBroke * SUM($AE12:$AF12),  IF( $E12 &lt; noAutoThreshold, noAuto), IF($C12 &lt; doesNothingThreshold, doesNothing, IF($AD12 &gt;1.45, 2) )), "h")</f>
        <v>-21</v>
      </c>
      <c r="AL12">
        <f>SUM(hHatch * SUM($H12:$K12), hHatch * SUM($S12:$V12), hRocket23 * SUM($J12:$K12), hRocket23 * SUM($U12:$V12), hSandstorm * SUM($H12:$K12), hPenalty * $AH12, hDropHatch * $AI12,hTippedBroke * SUM($AE12:$AF12), IF($E12 &lt; hNoAutoThreshold, hNoAuto), IF($AG12 &gt; hFloorHatchThreshold, hFloorHatch))</f>
        <v>-1.5</v>
      </c>
      <c r="AM12">
        <f>SUM(cCargo * SUM($M12:$P12), cCargo *SUM( $X12:$AA12), cRocket23 * SUM($O12:$P12, $Z12:$AA12),cSandstorm * SUM($M12:$P12), cPenalty * $AH12, cTippedBroke * SUM($AE12:$AF12), IF($E12 &lt; cNoAutoThreshold, cNoAuto, 0))</f>
        <v>-1</v>
      </c>
      <c r="AN12">
        <f t="shared" si="0"/>
        <v>-21</v>
      </c>
      <c r="AP12" t="s">
        <v>252</v>
      </c>
    </row>
    <row r="13" spans="1:52" ht="15.75" thickBot="1">
      <c r="A13">
        <v>1075</v>
      </c>
      <c r="B13" t="s">
        <v>480</v>
      </c>
      <c r="C13">
        <f>PRODUCT($E13,3)+PRODUCT(SUM($H13:$K13),2)+PRODUCT(SUM($M13:$P13),3)+PRODUCT(SUM($S13:$V13),2)+PRODUCT(SUM($X13:$AA13), 3)+IF($AC13 &gt; 2, PRODUCT(SUM($AC13, -1),6), PRODUCT($AC13,3)) + IF($AD13 &gt; 2, PRODUCT(SUM($AD13, -1),6), PRODUCT($AD13,3)) + PRODUCT($AH13, -1)</f>
        <v>0</v>
      </c>
      <c r="D13">
        <f>PRODUCT(SUM($H13:$I13), 2) + PRODUCT(SUM($M13:$N13),3) + PRODUCT(SUM($S13:$T13), 2) + PRODUCT(SUM($X13:$Y13), 3)</f>
        <v>0</v>
      </c>
      <c r="E13">
        <f>IF( COUNTIF('Raw Data'!$A$3:$A$2927,$A13)=0,0,SUMIF('Raw Data'!$A$3:$A$2927, $A13,'Raw Data'!D$3:D$2927) / COUNTIF('Raw Data'!$A$3:$A$2927,$A13))</f>
        <v>0</v>
      </c>
      <c r="F13">
        <f t="array" ref="F13">MAX(IF('Raw Data'!$A$3:$A$927=$A13, 'Raw Data'!$O$3:$O$927))</f>
        <v>0</v>
      </c>
      <c r="G13">
        <f t="array" ref="G13">MAX(IF('Raw Data'!$A$3:$A$927=$A13, 'Raw Data'!$I$3:$I$927))</f>
        <v>0</v>
      </c>
      <c r="H13">
        <f>IF( COUNTIF('Raw Data'!$A$3:$A$2927,$A13)=0,0,SUMIF('Raw Data'!$A$3:$A$2927, $A13,'Raw Data'!E$3:E$2927) / COUNTIF('Raw Data'!$A$3:$A$2927,$A13))</f>
        <v>0</v>
      </c>
      <c r="I13">
        <f>IF( COUNTIF('Raw Data'!$A$3:$A$2927,$A13)=0,0,SUMIF('Raw Data'!$A$3:$A$2927, $A13,'Raw Data'!F$3:F$2927) / COUNTIF('Raw Data'!$A$3:$A$2927,$A13))</f>
        <v>0</v>
      </c>
      <c r="J13">
        <f>IF( COUNTIF('Raw Data'!$A$3:$A$2927,$A13)=0,0,SUMIF('Raw Data'!$A$3:$A$2927, $A13,'Raw Data'!G$3:G$2927) / COUNTIF('Raw Data'!$A$3:$A$2927,$A13))</f>
        <v>0</v>
      </c>
      <c r="K13">
        <f>IF( COUNTIF('Raw Data'!$A$3:$A$2927,$A13)=0,0,SUMIF('Raw Data'!$A$3:$A$2927, $A13,'Raw Data'!H$3:H$2927) / COUNTIF('Raw Data'!$A$3:$A$2927,$A13))</f>
        <v>0</v>
      </c>
      <c r="L13">
        <f t="array" ref="L13">MAX(IF('Raw Data'!$A$3:$A$927=$A13, 'Raw Data'!$N$3:$N$927))</f>
        <v>0</v>
      </c>
      <c r="M13">
        <f>IF( COUNTIF('Raw Data'!$A$3:$A$2927,$A13)=0,0,SUMIF('Raw Data'!$A$3:$A$2927, $A13,'Raw Data'!J$3:J$2927) / COUNTIF('Raw Data'!$A$3:$A$2927,$A13))</f>
        <v>0</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 t="array" ref="Q13">MAX(IF('Raw Data'!$A$3:$A$927=$A13, 'Raw Data'!$Z$3:$Z$927))</f>
        <v>0</v>
      </c>
      <c r="R13">
        <f t="array" ref="R13">MAX(IF('Raw Data'!$A$3:$A$927=$A13, 'Raw Data'!$T$3:$T$927))</f>
        <v>0</v>
      </c>
      <c r="S13" s="118">
        <f>IF( COUNTIF('Raw Data'!$A$3:$A$2927,$A13)=0,0,SUMIF('Raw Data'!$A$3:$A$2927, $A13,'Raw Data'!P$3:P$2927) / COUNTIF('Raw Data'!$A$3:$A$2927,$A13))</f>
        <v>0</v>
      </c>
      <c r="T13">
        <f>IF( COUNTIF('Raw Data'!$A$3:$A$2927,$A13)=0,0,SUMIF('Raw Data'!$A$3:$A$2927, $A13,'Raw Data'!Q$3:Q$2927) / COUNTIF('Raw Data'!$A$3:$A$2927,$A13))</f>
        <v>0</v>
      </c>
      <c r="U13">
        <f>IF( COUNTIF('Raw Data'!$A$3:$A$2927,$A13)=0,0,SUMIF('Raw Data'!$A$3:$A$2927, $A13,'Raw Data'!R$3:R$2927) / COUNTIF('Raw Data'!$A$3:$A$2927,$A13))</f>
        <v>0</v>
      </c>
      <c r="V13">
        <f>IF( COUNTIF('Raw Data'!$A$3:$A$2927,$A13)=0,0,SUMIF('Raw Data'!$A$3:$A$2927, $A13,'Raw Data'!S$3:S$2927) / COUNTIF('Raw Data'!$A$3:$A$2927,$A13))</f>
        <v>0</v>
      </c>
      <c r="W13">
        <f t="array" ref="W13">MAX(IF('Raw Data'!$A$3:$A$927=$A13, 'Raw Data'!$Y$3:$Y$927))</f>
        <v>0</v>
      </c>
      <c r="X13">
        <f>IF( COUNTIF('Raw Data'!$A$3:$A$2927,$A13)=0,0,SUMIF('Raw Data'!$A$3:$A$2927, $A13,'Raw Data'!U$3:U$2927) / COUNTIF('Raw Data'!$A$3:$A$2927,$A13))</f>
        <v>0</v>
      </c>
      <c r="Y13">
        <f>IF( COUNTIF('Raw Data'!$A$3:$A$2927,$A13)=0,0,SUMIF('Raw Data'!$A$3:$A$2927, $A13,'Raw Data'!V$3:V$2927) / COUNTIF('Raw Data'!$A$3:$A$2927,$A13))</f>
        <v>0</v>
      </c>
      <c r="Z13">
        <f>IF( COUNTIF('Raw Data'!$A$3:$A$2927,$A13)=0,0,SUMIF('Raw Data'!$A$3:$A$2927, $A13,'Raw Data'!W$3:W$2927) / COUNTIF('Raw Data'!$A$3:$A$2927,$A13))</f>
        <v>0</v>
      </c>
      <c r="AA13">
        <f>IF( COUNTIF('Raw Data'!$A$3:$A$2927,$A13)=0,0,SUMIF('Raw Data'!$A$3:$A$2927, $A13,'Raw Data'!X$3:X$2927) / COUNTIF('Raw Data'!$A$3:$A$2927,$A13))</f>
        <v>0</v>
      </c>
      <c r="AB13">
        <f>IF( COUNTIF('Raw Data'!$A$3:$A$2927,$A13)=0,0,SUMIF('Raw Data'!$A$3:$A$2927, $A13,'Raw Data'!AA$3:AA$2927) / COUNTIF('Raw Data'!$A$3:$A$2927,$A13))</f>
        <v>0</v>
      </c>
      <c r="AC13">
        <f>IF( COUNTIF('Raw Data'!$A$3:$A$2927,$A13)=0,0,SUMIF('Raw Data'!$A$3:$A$2927, $A13,'Raw Data'!AB$3:AB$2927) / COUNTIF('Raw Data'!$A$3:$A$2927,$A13))</f>
        <v>0</v>
      </c>
      <c r="AD13">
        <f>IF( COUNTIF('Raw Data'!$A$3:$A$2927,$A13)=0,0,SUMIF('Raw Data'!$A$3:$A$2927, $A13,'Raw Data'!AC$3:AC$2927) / COUNTIF('Raw Data'!$A$3:$A$2927,$A13))</f>
        <v>0</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0</v>
      </c>
      <c r="AH13">
        <f>IF( COUNTIF('Raw Data'!$A$3:$A$2927,$A13)=0,0,SUMIF('Raw Data'!$A$3:$A$2927, $A13,'Raw Data'!AG$3:AG$2927) / COUNTIF('Raw Data'!$A$3:$A$2927,$A13))</f>
        <v>0</v>
      </c>
      <c r="AI13">
        <f>IF( COUNTIF('Raw Data'!$A$3:$A$2927,$A13)=0,0,SUMIF('Raw Data'!$A$3:$A$2927, $A13,'Raw Data'!AH$3:AH$2927) / COUNTIF('Raw Data'!$A$3:$A$2927,$A13))</f>
        <v>0</v>
      </c>
      <c r="AJ13" s="116">
        <f>COUNTIF('Raw Data'!A$3:A$2927, $A13)</f>
        <v>0</v>
      </c>
      <c r="AK13">
        <f>IFERROR(SUM(IF($E13 &gt;autoThreshold, auto), hatch * SUM($H13:$K13), cargo * SUM($M13:$P13),hatch * SUM( $S13:$V13), cargo * SUM($X13:$AA13), rocket23 * SUM($J13:$K13, $O13:$P13, $U13:$V13, $Z13:$AA13), IF($AD13 &gt; climbThreshold, climb), IF($AC13 &gt; assistThreshold, $AC13 * assist), $AH13 * penalty, dropHatch * $AI13, tippedBroke * SUM($AE13:$AF13),  IF( $E13 &lt; noAutoThreshold, noAuto), IF($C13 &lt; doesNothingThreshold, doesNothing, IF($AD13 &gt;1.45, 2) )), "h")</f>
        <v>-21</v>
      </c>
      <c r="AL13">
        <f>SUM(hHatch * SUM($H13:$K13), hHatch * SUM($S13:$V13), hRocket23 * SUM($J13:$K13), hRocket23 * SUM($U13:$V13), hSandstorm * SUM($H13:$K13), hPenalty * $AH13, hDropHatch * $AI13,hTippedBroke * SUM($AE13:$AF13), IF($E13 &lt; hNoAutoThreshold, hNoAuto), IF($AG13 &gt; hFloorHatchThreshold, hFloorHatch))</f>
        <v>-1.5</v>
      </c>
      <c r="AM13">
        <f>SUM(cCargo * SUM($M13:$P13), cCargo *SUM( $X13:$AA13), cRocket23 * SUM($O13:$P13, $Z13:$AA13),cSandstorm * SUM($M13:$P13), cPenalty * $AH13, cTippedBroke * SUM($AE13:$AF13), IF($E13 &lt; cNoAutoThreshold, cNoAuto, 0))</f>
        <v>-1</v>
      </c>
      <c r="AN13">
        <f t="shared" si="0"/>
        <v>-21</v>
      </c>
      <c r="AP13" s="176" t="s">
        <v>356</v>
      </c>
      <c r="AQ13" s="176"/>
      <c r="AS13" s="176" t="s">
        <v>118</v>
      </c>
      <c r="AT13" s="176"/>
      <c r="AV13" s="176" t="s">
        <v>117</v>
      </c>
      <c r="AW13" s="176"/>
      <c r="AY13" s="176" t="s">
        <v>357</v>
      </c>
      <c r="AZ13" s="176"/>
    </row>
    <row r="14" spans="1:52" ht="15.75" thickBot="1">
      <c r="A14">
        <v>1246</v>
      </c>
      <c r="B14" t="s">
        <v>418</v>
      </c>
      <c r="C14">
        <f>PRODUCT($E14,3)+PRODUCT(SUM($H14:$K14),2)+PRODUCT(SUM($M14:$P14),3)+PRODUCT(SUM($S14:$V14),2)+PRODUCT(SUM($X14:$AA14), 3)+IF($AC14 &gt; 2, PRODUCT(SUM($AC14, -1),6), PRODUCT($AC14,3)) + IF($AD14 &gt; 2, PRODUCT(SUM($AD14, -1),6), PRODUCT($AD14,3)) + PRODUCT($AH14, -1)</f>
        <v>12.818181818181818</v>
      </c>
      <c r="D14">
        <f>PRODUCT(SUM($H14:$I14), 2) + PRODUCT(SUM($M14:$N14),3) + PRODUCT(SUM($S14:$T14), 2) + PRODUCT(SUM($X14:$Y14), 3)</f>
        <v>7.0909090909090899</v>
      </c>
      <c r="E14">
        <f>IF( COUNTIF('Raw Data'!$A$3:$A$2927,$A14)=0,0,SUMIF('Raw Data'!$A$3:$A$2927, $A14,'Raw Data'!D$3:D$2927) / COUNTIF('Raw Data'!$A$3:$A$2927,$A14))</f>
        <v>1.0909090909090908</v>
      </c>
      <c r="F14">
        <f t="array" ref="F14">MAX(IF('Raw Data'!$A$3:$A$927=$A14, 'Raw Data'!$O$3:$O$927))</f>
        <v>1</v>
      </c>
      <c r="G14">
        <f t="array" ref="G14">MAX(IF('Raw Data'!$A$3:$A$927=$A14, 'Raw Data'!$I$3:$I$927))</f>
        <v>0</v>
      </c>
      <c r="H14">
        <f>IF( COUNTIF('Raw Data'!$A$3:$A$2927,$A14)=0,0,SUMIF('Raw Data'!$A$3:$A$2927, $A14,'Raw Data'!E$3:E$2927) / COUNTIF('Raw Data'!$A$3:$A$2927,$A14))</f>
        <v>0</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 t="array" ref="L14">MAX(IF('Raw Data'!$A$3:$A$927=$A14, 'Raw Data'!$N$3:$N$927))</f>
        <v>1</v>
      </c>
      <c r="M14">
        <f>IF( COUNTIF('Raw Data'!$A$3:$A$2927,$A14)=0,0,SUMIF('Raw Data'!$A$3:$A$2927, $A14,'Raw Data'!J$3:J$2927) / COUNTIF('Raw Data'!$A$3:$A$2927,$A14))</f>
        <v>9.0909090909090912E-2</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 t="array" ref="Q14">MAX(IF('Raw Data'!$A$3:$A$927=$A14, 'Raw Data'!$Z$3:$Z$927))</f>
        <v>5</v>
      </c>
      <c r="R14">
        <f t="array" ref="R14">MAX(IF('Raw Data'!$A$3:$A$927=$A14, 'Raw Data'!$T$3:$T$927))</f>
        <v>0</v>
      </c>
      <c r="S14" s="118">
        <f>IF( COUNTIF('Raw Data'!$A$3:$A$2927,$A14)=0,0,SUMIF('Raw Data'!$A$3:$A$2927, $A14,'Raw Data'!P$3:P$2927) / COUNTIF('Raw Data'!$A$3:$A$2927,$A14))</f>
        <v>0</v>
      </c>
      <c r="T14">
        <f>IF( COUNTIF('Raw Data'!$A$3:$A$2927,$A14)=0,0,SUMIF('Raw Data'!$A$3:$A$2927, $A14,'Raw Data'!Q$3:Q$2927) / COUNTIF('Raw Data'!$A$3:$A$2927,$A14))</f>
        <v>0</v>
      </c>
      <c r="U14">
        <f>IF( COUNTIF('Raw Data'!$A$3:$A$2927,$A14)=0,0,SUMIF('Raw Data'!$A$3:$A$2927, $A14,'Raw Data'!R$3:R$2927) / COUNTIF('Raw Data'!$A$3:$A$2927,$A14))</f>
        <v>0</v>
      </c>
      <c r="V14">
        <f>IF( COUNTIF('Raw Data'!$A$3:$A$2927,$A14)=0,0,SUMIF('Raw Data'!$A$3:$A$2927, $A14,'Raw Data'!S$3:S$2927) / COUNTIF('Raw Data'!$A$3:$A$2927,$A14))</f>
        <v>0</v>
      </c>
      <c r="W14">
        <f t="array" ref="W14">MAX(IF('Raw Data'!$A$3:$A$927=$A14, 'Raw Data'!$Y$3:$Y$927))</f>
        <v>5</v>
      </c>
      <c r="X14">
        <f>IF( COUNTIF('Raw Data'!$A$3:$A$2927,$A14)=0,0,SUMIF('Raw Data'!$A$3:$A$2927, $A14,'Raw Data'!U$3:U$2927) / COUNTIF('Raw Data'!$A$3:$A$2927,$A14))</f>
        <v>2.1818181818181817</v>
      </c>
      <c r="Y14">
        <f>IF( COUNTIF('Raw Data'!$A$3:$A$2927,$A14)=0,0,SUMIF('Raw Data'!$A$3:$A$2927, $A14,'Raw Data'!V$3:V$2927) / COUNTIF('Raw Data'!$A$3:$A$2927,$A14))</f>
        <v>9.0909090909090912E-2</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30.90909090909091</v>
      </c>
      <c r="AC14">
        <f>IF( COUNTIF('Raw Data'!$A$3:$A$2927,$A14)=0,0,SUMIF('Raw Data'!$A$3:$A$2927, $A14,'Raw Data'!AB$3:AB$2927) / COUNTIF('Raw Data'!$A$3:$A$2927,$A14))</f>
        <v>0</v>
      </c>
      <c r="AD14">
        <f>IF( COUNTIF('Raw Data'!$A$3:$A$2927,$A14)=0,0,SUMIF('Raw Data'!$A$3:$A$2927, $A14,'Raw Data'!AC$3:AC$2927) / COUNTIF('Raw Data'!$A$3:$A$2927,$A14))</f>
        <v>0.81818181818181823</v>
      </c>
      <c r="AE14" s="117">
        <f>IF( COUNTIF('Raw Data'!$A$3:$A$2927,$A14)=0,0,SUMIF('Raw Data'!$A$3:$A$2927, $A14,'Raw Data'!AD$3:AD$2927) / COUNTIF('Raw Data'!$A$3:$A$2927,$A14))</f>
        <v>0</v>
      </c>
      <c r="AF14">
        <f>IF( COUNTIF('Raw Data'!$A$3:$A$2927,$A14)=0,0,SUMIF('Raw Data'!$A$3:$A$2927, $A14,'Raw Data'!AE$3:AE$2927) / COUNTIF('Raw Data'!$A$3:$A$2927,$A14))</f>
        <v>9.0909090909090912E-2</v>
      </c>
      <c r="AG14">
        <f>IF( COUNTIF('Raw Data'!$A$3:$A$2927,$A14)=0,0,SUMIF('Raw Data'!$A$3:$A$2927, $A14,'Raw Data'!AF$3:AF$2927) / COUNTIF('Raw Data'!$A$3:$A$2927,$A14))</f>
        <v>0</v>
      </c>
      <c r="AH14">
        <f>IF( COUNTIF('Raw Data'!$A$3:$A$2927,$A14)=0,0,SUMIF('Raw Data'!$A$3:$A$2927, $A14,'Raw Data'!AG$3:AG$2927) / COUNTIF('Raw Data'!$A$3:$A$2927,$A14))</f>
        <v>0</v>
      </c>
      <c r="AI14">
        <f>IF( COUNTIF('Raw Data'!$A$3:$A$2927,$A14)=0,0,SUMIF('Raw Data'!$A$3:$A$2927, $A14,'Raw Data'!AH$3:AH$2927) / COUNTIF('Raw Data'!$A$3:$A$2927,$A14))</f>
        <v>0</v>
      </c>
      <c r="AJ14" s="116">
        <f>COUNTIF('Raw Data'!A$3:A$2927, $A14)</f>
        <v>11</v>
      </c>
      <c r="AK14">
        <f>IFERROR(SUM(IF($E14 &gt;autoThreshold, auto), hatch * SUM($H14:$K14), cargo * SUM($M14:$P14),hatch * SUM( $S14:$V14), cargo * SUM($X14:$AA14), rocket23 * SUM($J14:$K14, $O14:$P14, $U14:$V14, $Z14:$AA14), IF($AD14 &gt; climbThreshold, climb), IF($AC14 &gt; assistThreshold, $AC14 * assist), $AH14 * penalty, dropHatch * $AI14, tippedBroke * SUM($AE14:$AF14),  IF( $E14 &lt; noAutoThreshold, noAuto), IF($C14 &lt; doesNothingThreshold, doesNothing, IF($AD14 &gt;1.45, 2) )), "h")</f>
        <v>1.3781818181818182</v>
      </c>
      <c r="AL14">
        <f>SUM(hHatch * SUM($H14:$K14), hHatch * SUM($S14:$V14), hRocket23 * SUM($J14:$K14), hRocket23 * SUM($U14:$V14), hSandstorm * SUM($H14:$K14), hPenalty * $AH14, hDropHatch * $AI14,hTippedBroke * SUM($AE14:$AF14), IF($E14 &lt; hNoAutoThreshold, hNoAuto), IF($AG14 &gt; hFloorHatchThreshold, hFloorHatch))</f>
        <v>-0.18181818181818182</v>
      </c>
      <c r="AM14">
        <f>SUM(cCargo * SUM($M14:$P14), cCargo *SUM( $X14:$AA14), cRocket23 * SUM($O14:$P14, $Z14:$AA14),cSandstorm * SUM($M14:$P14), cPenalty * $AH14, cTippedBroke * SUM($AE14:$AF14), IF($E14 &lt; cNoAutoThreshold, cNoAuto, 0))</f>
        <v>2.2045454545454546</v>
      </c>
      <c r="AN14">
        <f t="shared" si="0"/>
        <v>1.3781818181818182</v>
      </c>
      <c r="AP14" t="s">
        <v>259</v>
      </c>
      <c r="AQ14">
        <v>1</v>
      </c>
      <c r="AS14" t="s">
        <v>270</v>
      </c>
      <c r="AT14">
        <v>1</v>
      </c>
      <c r="AV14" t="s">
        <v>273</v>
      </c>
      <c r="AW14">
        <v>1</v>
      </c>
      <c r="AY14" t="s">
        <v>358</v>
      </c>
      <c r="AZ14">
        <v>1</v>
      </c>
    </row>
    <row r="15" spans="1:52" ht="15.75" thickBot="1">
      <c r="A15">
        <v>1285</v>
      </c>
      <c r="B15" t="s">
        <v>419</v>
      </c>
      <c r="C15">
        <f>PRODUCT($E15,3)+PRODUCT(SUM($H15:$K15),2)+PRODUCT(SUM($M15:$P15),3)+PRODUCT(SUM($S15:$V15),2)+PRODUCT(SUM($X15:$AA15), 3)+IF($AC15 &gt; 2, PRODUCT(SUM($AC15, -1),6), PRODUCT($AC15,3)) + IF($AD15 &gt; 2, PRODUCT(SUM($AD15, -1),6), PRODUCT($AD15,3)) + PRODUCT($AH15, -1)</f>
        <v>0</v>
      </c>
      <c r="D15">
        <f>PRODUCT(SUM($H15:$I15), 2) + PRODUCT(SUM($M15:$N15),3) + PRODUCT(SUM($S15:$T15), 2) + PRODUCT(SUM($X15:$Y15), 3)</f>
        <v>0</v>
      </c>
      <c r="E15">
        <f>IF( COUNTIF('Raw Data'!$A$3:$A$2927,$A15)=0,0,SUMIF('Raw Data'!$A$3:$A$2927, $A15,'Raw Data'!D$3:D$2927) / COUNTIF('Raw Data'!$A$3:$A$2927,$A15))</f>
        <v>0</v>
      </c>
      <c r="F15">
        <f t="array" ref="F15">MAX(IF('Raw Data'!$A$3:$A$927=$A15, 'Raw Data'!$O$3:$O$927))</f>
        <v>0</v>
      </c>
      <c r="G15">
        <f t="array" ref="G15">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 t="array" ref="L15">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 t="array" ref="Q15">MAX(IF('Raw Data'!$A$3:$A$927=$A15, 'Raw Data'!$Z$3:$Z$927))</f>
        <v>0</v>
      </c>
      <c r="R15">
        <f t="array" ref="R15">MAX(IF('Raw Data'!$A$3:$A$927=$A15, 'Raw Data'!$T$3:$T$927))</f>
        <v>0</v>
      </c>
      <c r="S15" s="118">
        <f>IF( COUNTIF('Raw Data'!$A$3:$A$2927,$A15)=0,0,SUMIF('Raw Data'!$A$3:$A$2927, $A15,'Raw Data'!P$3:P$2927) / COUNTIF('Raw Data'!$A$3:$A$2927,$A15))</f>
        <v>0</v>
      </c>
      <c r="T15">
        <f>IF( COUNTIF('Raw Data'!$A$3:$A$2927,$A15)=0,0,SUMIF('Raw Data'!$A$3:$A$2927, $A15,'Raw Data'!Q$3:Q$2927) / COUNTIF('Raw Data'!$A$3:$A$2927,$A15))</f>
        <v>0</v>
      </c>
      <c r="U15">
        <f>IF( COUNTIF('Raw Data'!$A$3:$A$2927,$A15)=0,0,SUMIF('Raw Data'!$A$3:$A$2927, $A15,'Raw Data'!R$3:R$2927) / COUNTIF('Raw Data'!$A$3:$A$2927,$A15))</f>
        <v>0</v>
      </c>
      <c r="V15">
        <f>IF( COUNTIF('Raw Data'!$A$3:$A$2927,$A15)=0,0,SUMIF('Raw Data'!$A$3:$A$2927, $A15,'Raw Data'!S$3:S$2927) / COUNTIF('Raw Data'!$A$3:$A$2927,$A15))</f>
        <v>0</v>
      </c>
      <c r="W15">
        <f t="array" ref="W15">MAX(IF('Raw Data'!$A$3:$A$927=$A15, 'Raw Data'!$Y$3:$Y$927))</f>
        <v>0</v>
      </c>
      <c r="X15">
        <f>IF( COUNTIF('Raw Data'!$A$3:$A$2927,$A15)=0,0,SUMIF('Raw Data'!$A$3:$A$2927, $A15,'Raw Data'!U$3:U$2927) / COUNTIF('Raw Data'!$A$3:$A$2927,$A15))</f>
        <v>0</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0</v>
      </c>
      <c r="AC15">
        <f>IF( COUNTIF('Raw Data'!$A$3:$A$2927,$A15)=0,0,SUMIF('Raw Data'!$A$3:$A$2927, $A15,'Raw Data'!AB$3:AB$2927) / COUNTIF('Raw Data'!$A$3:$A$2927,$A15))</f>
        <v>0</v>
      </c>
      <c r="AD15">
        <f>IF( COUNTIF('Raw Data'!$A$3:$A$2927,$A15)=0,0,SUMIF('Raw Data'!$A$3:$A$2927, $A15,'Raw Data'!AC$3:AC$2927) / COUNTIF('Raw Data'!$A$3:$A$2927,$A15))</f>
        <v>0</v>
      </c>
      <c r="AE15" s="117">
        <f>IF( COUNTIF('Raw Data'!$A$3:$A$2927,$A15)=0,0,SUMIF('Raw Data'!$A$3:$A$2927, $A15,'Raw Data'!AD$3:AD$2927) / COUNTIF('Raw Data'!$A$3:$A$2927,$A15))</f>
        <v>0</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0</v>
      </c>
      <c r="AI15">
        <f>IF( COUNTIF('Raw Data'!$A$3:$A$2927,$A15)=0,0,SUMIF('Raw Data'!$A$3:$A$2927, $A15,'Raw Data'!AH$3:AH$2927) / COUNTIF('Raw Data'!$A$3:$A$2927,$A15))</f>
        <v>0</v>
      </c>
      <c r="AJ15" s="116">
        <f>COUNTIF('Raw Data'!A$3:A$2927, $A15)</f>
        <v>0</v>
      </c>
      <c r="AK15">
        <f>IFERROR(SUM(IF($E15 &gt;autoThreshold, auto), hatch * SUM($H15:$K15), cargo * SUM($M15:$P15),hatch * SUM( $S15:$V15), cargo * SUM($X15:$AA15), rocket23 * SUM($J15:$K15, $O15:$P15, $U15:$V15, $Z15:$AA15), IF($AD15 &gt; climbThreshold, climb), IF($AC15 &gt; assistThreshold, $AC15 * assist), $AH15 * penalty, dropHatch * $AI15, tippedBroke * SUM($AE15:$AF15),  IF( $E15 &lt; noAutoThreshold, noAuto), IF($C15 &lt; doesNothingThreshold, doesNothing, IF($AD15 &gt;1.45, 2) )), "h")</f>
        <v>-21</v>
      </c>
      <c r="AL15">
        <f>SUM(hHatch * SUM($H15:$K15), hHatch * SUM($S15:$V15), hRocket23 * SUM($J15:$K15), hRocket23 * SUM($U15:$V15), hSandstorm * SUM($H15:$K15), hPenalty * $AH15, hDropHatch * $AI15,hTippedBroke * SUM($AE15:$AF15), IF($E15 &lt; hNoAutoThreshold, hNoAuto), IF($AG15 &gt; hFloorHatchThreshold, hFloorHatch))</f>
        <v>-1.5</v>
      </c>
      <c r="AM15">
        <f>SUM(cCargo * SUM($M15:$P15), cCargo *SUM( $X15:$AA15), cRocket23 * SUM($O15:$P15, $Z15:$AA15),cSandstorm * SUM($M15:$P15), cPenalty * $AH15, cTippedBroke * SUM($AE15:$AF15), IF($E15 &lt; cNoAutoThreshold, cNoAuto, 0))</f>
        <v>-1</v>
      </c>
      <c r="AN15">
        <f t="shared" si="0"/>
        <v>-21</v>
      </c>
      <c r="AP15" t="s">
        <v>278</v>
      </c>
      <c r="AQ15">
        <v>1.5</v>
      </c>
      <c r="AS15" t="s">
        <v>285</v>
      </c>
      <c r="AT15">
        <v>0.5</v>
      </c>
      <c r="AV15" t="s">
        <v>287</v>
      </c>
      <c r="AW15">
        <v>0.5</v>
      </c>
      <c r="AY15" t="s">
        <v>359</v>
      </c>
      <c r="AZ15">
        <v>1.5</v>
      </c>
    </row>
    <row r="16" spans="1:52" ht="15.75" thickBot="1">
      <c r="A16">
        <v>1305</v>
      </c>
      <c r="B16" t="s">
        <v>445</v>
      </c>
      <c r="C16">
        <f>PRODUCT($E16,3)+PRODUCT(SUM($H16:$K16),2)+PRODUCT(SUM($M16:$P16),3)+PRODUCT(SUM($S16:$V16),2)+PRODUCT(SUM($X16:$AA16), 3)+IF($AC16 &gt; 2, PRODUCT(SUM($AC16, -1),6), PRODUCT($AC16,3)) + IF($AD16 &gt; 2, PRODUCT(SUM($AD16, -1),6), PRODUCT($AD16,3)) + PRODUCT($AH16, -1)</f>
        <v>29</v>
      </c>
      <c r="D16">
        <f>PRODUCT(SUM($H16:$I16), 2) + PRODUCT(SUM($M16:$N16),3) + PRODUCT(SUM($S16:$T16), 2) + PRODUCT(SUM($X16:$Y16), 3)</f>
        <v>9.6666666666666679</v>
      </c>
      <c r="E16">
        <f>IF( COUNTIF('Raw Data'!$A$3:$A$2927,$A16)=0,0,SUMIF('Raw Data'!$A$3:$A$2927, $A16,'Raw Data'!D$3:D$2927) / COUNTIF('Raw Data'!$A$3:$A$2927,$A16))</f>
        <v>1</v>
      </c>
      <c r="F16">
        <f t="array" ref="F16">MAX(IF('Raw Data'!$A$3:$A$927=$A16, 'Raw Data'!$O$3:$O$927))</f>
        <v>1</v>
      </c>
      <c r="G16">
        <f t="array" ref="G16">MAX(IF('Raw Data'!$A$3:$A$927=$A16, 'Raw Data'!$I$3:$I$927))</f>
        <v>1</v>
      </c>
      <c r="H16">
        <f>IF( COUNTIF('Raw Data'!$A$3:$A$2927,$A16)=0,0,SUMIF('Raw Data'!$A$3:$A$2927, $A16,'Raw Data'!E$3:E$2927) / COUNTIF('Raw Data'!$A$3:$A$2927,$A16))</f>
        <v>0.22222222222222221</v>
      </c>
      <c r="I16">
        <f>IF( COUNTIF('Raw Data'!$A$3:$A$2927,$A16)=0,0,SUMIF('Raw Data'!$A$3:$A$2927, $A16,'Raw Data'!F$3:F$2927) / COUNTIF('Raw Data'!$A$3:$A$2927,$A16))</f>
        <v>0.66666666666666663</v>
      </c>
      <c r="J16">
        <f>IF( COUNTIF('Raw Data'!$A$3:$A$2927,$A16)=0,0,SUMIF('Raw Data'!$A$3:$A$2927, $A16,'Raw Data'!G$3:G$2927) / COUNTIF('Raw Data'!$A$3:$A$2927,$A16))</f>
        <v>0</v>
      </c>
      <c r="K16">
        <f>IF( COUNTIF('Raw Data'!$A$3:$A$2927,$A16)=0,0,SUMIF('Raw Data'!$A$3:$A$2927, $A16,'Raw Data'!H$3:H$2927) / COUNTIF('Raw Data'!$A$3:$A$2927,$A16))</f>
        <v>0</v>
      </c>
      <c r="L16">
        <f t="array" ref="L16">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 t="array" ref="Q16">MAX(IF('Raw Data'!$A$3:$A$927=$A16, 'Raw Data'!$Z$3:$Z$927))</f>
        <v>7</v>
      </c>
      <c r="R16">
        <f t="array" ref="R16">MAX(IF('Raw Data'!$A$3:$A$927=$A16, 'Raw Data'!$T$3:$T$927))</f>
        <v>4</v>
      </c>
      <c r="S16" s="118">
        <f>IF( COUNTIF('Raw Data'!$A$3:$A$2927,$A16)=0,0,SUMIF('Raw Data'!$A$3:$A$2927, $A16,'Raw Data'!P$3:P$2927) / COUNTIF('Raw Data'!$A$3:$A$2927,$A16))</f>
        <v>0.1111111111111111</v>
      </c>
      <c r="T16">
        <f>IF( COUNTIF('Raw Data'!$A$3:$A$2927,$A16)=0,0,SUMIF('Raw Data'!$A$3:$A$2927, $A16,'Raw Data'!Q$3:Q$2927) / COUNTIF('Raw Data'!$A$3:$A$2927,$A16))</f>
        <v>1.6666666666666667</v>
      </c>
      <c r="U16">
        <f>IF( COUNTIF('Raw Data'!$A$3:$A$2927,$A16)=0,0,SUMIF('Raw Data'!$A$3:$A$2927, $A16,'Raw Data'!R$3:R$2927) / COUNTIF('Raw Data'!$A$3:$A$2927,$A16))</f>
        <v>0.77777777777777779</v>
      </c>
      <c r="V16">
        <f>IF( COUNTIF('Raw Data'!$A$3:$A$2927,$A16)=0,0,SUMIF('Raw Data'!$A$3:$A$2927, $A16,'Raw Data'!S$3:S$2927) / COUNTIF('Raw Data'!$A$3:$A$2927,$A16))</f>
        <v>0.22222222222222221</v>
      </c>
      <c r="W16">
        <f t="array" ref="W16">MAX(IF('Raw Data'!$A$3:$A$927=$A16, 'Raw Data'!$Y$3:$Y$927))</f>
        <v>4</v>
      </c>
      <c r="X16">
        <f>IF( COUNTIF('Raw Data'!$A$3:$A$2927,$A16)=0,0,SUMIF('Raw Data'!$A$3:$A$2927, $A16,'Raw Data'!U$3:U$2927) / COUNTIF('Raw Data'!$A$3:$A$2927,$A16))</f>
        <v>0</v>
      </c>
      <c r="Y16">
        <f>IF( COUNTIF('Raw Data'!$A$3:$A$2927,$A16)=0,0,SUMIF('Raw Data'!$A$3:$A$2927, $A16,'Raw Data'!V$3:V$2927) / COUNTIF('Raw Data'!$A$3:$A$2927,$A16))</f>
        <v>1.4444444444444444</v>
      </c>
      <c r="Z16">
        <f>IF( COUNTIF('Raw Data'!$A$3:$A$2927,$A16)=0,0,SUMIF('Raw Data'!$A$3:$A$2927, $A16,'Raw Data'!W$3:W$2927) / COUNTIF('Raw Data'!$A$3:$A$2927,$A16))</f>
        <v>0.77777777777777779</v>
      </c>
      <c r="AA16">
        <f>IF( COUNTIF('Raw Data'!$A$3:$A$2927,$A16)=0,0,SUMIF('Raw Data'!$A$3:$A$2927, $A16,'Raw Data'!X$3:X$2927) / COUNTIF('Raw Data'!$A$3:$A$2927,$A16))</f>
        <v>0</v>
      </c>
      <c r="AB16">
        <f>IF( COUNTIF('Raw Data'!$A$3:$A$2927,$A16)=0,0,SUMIF('Raw Data'!$A$3:$A$2927, $A16,'Raw Data'!AA$3:AA$2927) / COUNTIF('Raw Data'!$A$3:$A$2927,$A16))</f>
        <v>0.33333333333333331</v>
      </c>
      <c r="AC16">
        <f>IF( COUNTIF('Raw Data'!$A$3:$A$2927,$A16)=0,0,SUMIF('Raw Data'!$A$3:$A$2927, $A16,'Raw Data'!AB$3:AB$2927) / COUNTIF('Raw Data'!$A$3:$A$2927,$A16))</f>
        <v>0</v>
      </c>
      <c r="AD16">
        <f>IF( COUNTIF('Raw Data'!$A$3:$A$2927,$A16)=0,0,SUMIF('Raw Data'!$A$3:$A$2927, $A16,'Raw Data'!AC$3:AC$2927) / COUNTIF('Raw Data'!$A$3:$A$2927,$A16))</f>
        <v>3</v>
      </c>
      <c r="AE16" s="117">
        <f>IF( COUNTIF('Raw Data'!$A$3:$A$2927,$A16)=0,0,SUMIF('Raw Data'!$A$3:$A$2927, $A16,'Raw Data'!AD$3:AD$2927) / COUNTIF('Raw Data'!$A$3:$A$2927,$A16))</f>
        <v>0</v>
      </c>
      <c r="AF16">
        <f>IF( COUNTIF('Raw Data'!$A$3:$A$2927,$A16)=0,0,SUMIF('Raw Data'!$A$3:$A$2927, $A16,'Raw Data'!AE$3:AE$2927) / COUNTIF('Raw Data'!$A$3:$A$2927,$A16))</f>
        <v>0</v>
      </c>
      <c r="AG16">
        <f>IF( COUNTIF('Raw Data'!$A$3:$A$2927,$A16)=0,0,SUMIF('Raw Data'!$A$3:$A$2927, $A16,'Raw Data'!AF$3:AF$2927) / COUNTIF('Raw Data'!$A$3:$A$2927,$A16))</f>
        <v>0</v>
      </c>
      <c r="AH16">
        <f>IF( COUNTIF('Raw Data'!$A$3:$A$2927,$A16)=0,0,SUMIF('Raw Data'!$A$3:$A$2927, $A16,'Raw Data'!AG$3:AG$2927) / COUNTIF('Raw Data'!$A$3:$A$2927,$A16))</f>
        <v>0</v>
      </c>
      <c r="AI16">
        <f>IF( COUNTIF('Raw Data'!$A$3:$A$2927,$A16)=0,0,SUMIF('Raw Data'!$A$3:$A$2927, $A16,'Raw Data'!AH$3:AH$2927) / COUNTIF('Raw Data'!$A$3:$A$2927,$A16))</f>
        <v>0.55555555555555558</v>
      </c>
      <c r="AJ16" s="116">
        <f>COUNTIF('Raw Data'!A$3:A$2927, $A16)</f>
        <v>9</v>
      </c>
      <c r="AK16">
        <f>IFERROR(SUM(IF($E16 &gt;autoThreshold, auto), hatch * SUM($H16:$K16), cargo * SUM($M16:$P16),hatch * SUM( $S16:$V16), cargo * SUM($X16:$AA16), rocket23 * SUM($J16:$K16, $O16:$P16, $U16:$V16, $Z16:$AA16), IF($AD16 &gt; climbThreshold, climb), IF($AC16 &gt; assistThreshold, $AC16 * assist), $AH16 * penalty, dropHatch * $AI16, tippedBroke * SUM($AE16:$AF16),  IF( $E16 &lt; noAutoThreshold, noAuto), IF($C16 &lt; doesNothingThreshold, doesNothing, IF($AD16 &gt;1.45, 2) )), "h")</f>
        <v>11.911111111111111</v>
      </c>
      <c r="AL16">
        <f>SUM(hHatch * SUM($H16:$K16), hHatch * SUM($S16:$V16), hRocket23 * SUM($J16:$K16), hRocket23 * SUM($U16:$V16), hSandstorm * SUM($H16:$K16), hPenalty * $AH16, hDropHatch * $AI16,hTippedBroke * SUM($AE16:$AF16), IF($E16 &lt; hNoAutoThreshold, hNoAuto), IF($AG16 &gt; hFloorHatchThreshold, hFloorHatch))</f>
        <v>3.5000000000000004</v>
      </c>
      <c r="AM16">
        <f>SUM(cCargo * SUM($M16:$P16), cCargo *SUM( $X16:$AA16), cRocket23 * SUM($O16:$P16, $Z16:$AA16),cSandstorm * SUM($M16:$P16), cPenalty * $AH16, cTippedBroke * SUM($AE16:$AF16), IF($E16 &lt; cNoAutoThreshold, cNoAuto, 0))</f>
        <v>2.6111111111111112</v>
      </c>
      <c r="AN16">
        <f t="shared" si="0"/>
        <v>11.522222222222222</v>
      </c>
      <c r="AP16" t="s">
        <v>253</v>
      </c>
      <c r="AQ16">
        <v>1</v>
      </c>
      <c r="AS16" t="s">
        <v>262</v>
      </c>
      <c r="AT16">
        <v>0.5</v>
      </c>
      <c r="AV16" t="s">
        <v>274</v>
      </c>
      <c r="AW16">
        <v>0.25</v>
      </c>
      <c r="AY16" t="s">
        <v>360</v>
      </c>
      <c r="AZ16">
        <v>1</v>
      </c>
    </row>
    <row r="17" spans="1:52" ht="15.75" thickBot="1">
      <c r="A17">
        <v>1325</v>
      </c>
      <c r="B17" t="s">
        <v>446</v>
      </c>
      <c r="C17">
        <f>PRODUCT($E17,3)+PRODUCT(SUM($H17:$K17),2)+PRODUCT(SUM($M17:$P17),3)+PRODUCT(SUM($S17:$V17),2)+PRODUCT(SUM($X17:$AA17), 3)+IF($AC17 &gt; 2, PRODUCT(SUM($AC17, -1),6), PRODUCT($AC17,3)) + IF($AD17 &gt; 2, PRODUCT(SUM($AD17, -1),6), PRODUCT($AD17,3)) + PRODUCT($AH17, -1)</f>
        <v>0</v>
      </c>
      <c r="D17">
        <f>PRODUCT(SUM($H17:$I17), 2) + PRODUCT(SUM($M17:$N17),3) + PRODUCT(SUM($S17:$T17), 2) + PRODUCT(SUM($X17:$Y17), 3)</f>
        <v>0</v>
      </c>
      <c r="E17">
        <f>IF( COUNTIF('Raw Data'!$A$3:$A$2927,$A17)=0,0,SUMIF('Raw Data'!$A$3:$A$2927, $A17,'Raw Data'!D$3:D$2927) / COUNTIF('Raw Data'!$A$3:$A$2927,$A17))</f>
        <v>0</v>
      </c>
      <c r="F17">
        <f t="array" ref="F17">MAX(IF('Raw Data'!$A$3:$A$927=$A17, 'Raw Data'!$O$3:$O$927))</f>
        <v>0</v>
      </c>
      <c r="G17">
        <f t="array" ref="G17">MAX(IF('Raw Data'!$A$3:$A$927=$A17, 'Raw Data'!$I$3:$I$927))</f>
        <v>0</v>
      </c>
      <c r="H17">
        <f>IF( COUNTIF('Raw Data'!$A$3:$A$2927,$A17)=0,0,SUMIF('Raw Data'!$A$3:$A$2927, $A17,'Raw Data'!E$3:E$2927) / COUNTIF('Raw Data'!$A$3:$A$2927,$A17))</f>
        <v>0</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 t="array" ref="L17">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 t="array" ref="Q17">MAX(IF('Raw Data'!$A$3:$A$927=$A17, 'Raw Data'!$Z$3:$Z$927))</f>
        <v>0</v>
      </c>
      <c r="R17">
        <f t="array" ref="R17">MAX(IF('Raw Data'!$A$3:$A$927=$A17, 'Raw Data'!$T$3:$T$927))</f>
        <v>0</v>
      </c>
      <c r="S17" s="118">
        <f>IF( COUNTIF('Raw Data'!$A$3:$A$2927,$A17)=0,0,SUMIF('Raw Data'!$A$3:$A$2927, $A17,'Raw Data'!P$3:P$2927) / COUNTIF('Raw Data'!$A$3:$A$2927,$A17))</f>
        <v>0</v>
      </c>
      <c r="T17">
        <f>IF( COUNTIF('Raw Data'!$A$3:$A$2927,$A17)=0,0,SUMIF('Raw Data'!$A$3:$A$2927, $A17,'Raw Data'!Q$3:Q$2927) / COUNTIF('Raw Data'!$A$3:$A$2927,$A17))</f>
        <v>0</v>
      </c>
      <c r="U17">
        <f>IF( COUNTIF('Raw Data'!$A$3:$A$2927,$A17)=0,0,SUMIF('Raw Data'!$A$3:$A$2927, $A17,'Raw Data'!R$3:R$2927) / COUNTIF('Raw Data'!$A$3:$A$2927,$A17))</f>
        <v>0</v>
      </c>
      <c r="V17">
        <f>IF( COUNTIF('Raw Data'!$A$3:$A$2927,$A17)=0,0,SUMIF('Raw Data'!$A$3:$A$2927, $A17,'Raw Data'!S$3:S$2927) / COUNTIF('Raw Data'!$A$3:$A$2927,$A17))</f>
        <v>0</v>
      </c>
      <c r="W17">
        <f t="array" ref="W17">MAX(IF('Raw Data'!$A$3:$A$927=$A17, 'Raw Data'!$Y$3:$Y$927))</f>
        <v>0</v>
      </c>
      <c r="X17">
        <f>IF( COUNTIF('Raw Data'!$A$3:$A$2927,$A17)=0,0,SUMIF('Raw Data'!$A$3:$A$2927, $A17,'Raw Data'!U$3:U$2927) / COUNTIF('Raw Data'!$A$3:$A$2927,$A17))</f>
        <v>0</v>
      </c>
      <c r="Y17">
        <f>IF( COUNTIF('Raw Data'!$A$3:$A$2927,$A17)=0,0,SUMIF('Raw Data'!$A$3:$A$2927, $A17,'Raw Data'!V$3:V$2927) / COUNTIF('Raw Data'!$A$3:$A$2927,$A17))</f>
        <v>0</v>
      </c>
      <c r="Z17">
        <f>IF( COUNTIF('Raw Data'!$A$3:$A$2927,$A17)=0,0,SUMIF('Raw Data'!$A$3:$A$2927, $A17,'Raw Data'!W$3:W$2927) / COUNTIF('Raw Data'!$A$3:$A$2927,$A17))</f>
        <v>0</v>
      </c>
      <c r="AA17">
        <f>IF( COUNTIF('Raw Data'!$A$3:$A$2927,$A17)=0,0,SUMIF('Raw Data'!$A$3:$A$2927, $A17,'Raw Data'!X$3:X$2927) / COUNTIF('Raw Data'!$A$3:$A$2927,$A17))</f>
        <v>0</v>
      </c>
      <c r="AB17">
        <f>IF( COUNTIF('Raw Data'!$A$3:$A$2927,$A17)=0,0,SUMIF('Raw Data'!$A$3:$A$2927, $A17,'Raw Data'!AA$3:AA$2927) / COUNTIF('Raw Data'!$A$3:$A$2927,$A17))</f>
        <v>0</v>
      </c>
      <c r="AC17">
        <f>IF( COUNTIF('Raw Data'!$A$3:$A$2927,$A17)=0,0,SUMIF('Raw Data'!$A$3:$A$2927, $A17,'Raw Data'!AB$3:AB$2927) / COUNTIF('Raw Data'!$A$3:$A$2927,$A17))</f>
        <v>0</v>
      </c>
      <c r="AD17">
        <f>IF( COUNTIF('Raw Data'!$A$3:$A$2927,$A17)=0,0,SUMIF('Raw Data'!$A$3:$A$2927, $A17,'Raw Data'!AC$3:AC$2927) / COUNTIF('Raw Data'!$A$3:$A$2927,$A17))</f>
        <v>0</v>
      </c>
      <c r="AE17" s="117">
        <f>IF( COUNTIF('Raw Data'!$A$3:$A$2927,$A17)=0,0,SUMIF('Raw Data'!$A$3:$A$2927, $A17,'Raw Data'!AD$3:AD$2927) / COUNTIF('Raw Data'!$A$3:$A$2927,$A17))</f>
        <v>0</v>
      </c>
      <c r="AF17">
        <f>IF( COUNTIF('Raw Data'!$A$3:$A$2927,$A17)=0,0,SUMIF('Raw Data'!$A$3:$A$2927, $A17,'Raw Data'!AE$3:AE$2927) / COUNTIF('Raw Data'!$A$3:$A$2927,$A17))</f>
        <v>0</v>
      </c>
      <c r="AG17">
        <f>IF( COUNTIF('Raw Data'!$A$3:$A$2927,$A17)=0,0,SUMIF('Raw Data'!$A$3:$A$2927, $A17,'Raw Data'!AF$3:AF$2927) / COUNTIF('Raw Data'!$A$3:$A$2927,$A17))</f>
        <v>0</v>
      </c>
      <c r="AH17">
        <f>IF( COUNTIF('Raw Data'!$A$3:$A$2927,$A17)=0,0,SUMIF('Raw Data'!$A$3:$A$2927, $A17,'Raw Data'!AG$3:AG$2927) / COUNTIF('Raw Data'!$A$3:$A$2927,$A17))</f>
        <v>0</v>
      </c>
      <c r="AI17">
        <f>IF( COUNTIF('Raw Data'!$A$3:$A$2927,$A17)=0,0,SUMIF('Raw Data'!$A$3:$A$2927, $A17,'Raw Data'!AH$3:AH$2927) / COUNTIF('Raw Data'!$A$3:$A$2927,$A17))</f>
        <v>0</v>
      </c>
      <c r="AJ17" s="116">
        <f>COUNTIF('Raw Data'!A$3:A$2927, $A17)</f>
        <v>0</v>
      </c>
      <c r="AK17">
        <f>IFERROR(SUM(IF($E17 &gt;autoThreshold, auto), hatch * SUM($H17:$K17), cargo * SUM($M17:$P17),hatch * SUM( $S17:$V17), cargo * SUM($X17:$AA17), rocket23 * SUM($J17:$K17, $O17:$P17, $U17:$V17, $Z17:$AA17), IF($AD17 &gt; climbThreshold, climb), IF($AC17 &gt; assistThreshold, $AC17 * assist), $AH17 * penalty, dropHatch * $AI17, tippedBroke * SUM($AE17:$AF17),  IF( $E17 &lt; noAutoThreshold, noAuto), IF($C17 &lt; doesNothingThreshold, doesNothing, IF($AD17 &gt;1.45, 2) )), "h")</f>
        <v>-21</v>
      </c>
      <c r="AL17">
        <f>SUM(hHatch * SUM($H17:$K17), hHatch * SUM($S17:$V17), hRocket23 * SUM($J17:$K17), hRocket23 * SUM($U17:$V17), hSandstorm * SUM($H17:$K17), hPenalty * $AH17, hDropHatch * $AI17,hTippedBroke * SUM($AE17:$AF17), IF($E17 &lt; hNoAutoThreshold, hNoAuto), IF($AG17 &gt; hFloorHatchThreshold, hFloorHatch))</f>
        <v>-1.5</v>
      </c>
      <c r="AM17">
        <f>SUM(cCargo * SUM($M17:$P17), cCargo *SUM( $X17:$AA17), cRocket23 * SUM($O17:$P17, $Z17:$AA17),cSandstorm * SUM($M17:$P17), cPenalty * $AH17, cTippedBroke * SUM($AE17:$AF17), IF($E17 &lt; cNoAutoThreshold, cNoAuto, 0))</f>
        <v>-1</v>
      </c>
      <c r="AN17">
        <f t="shared" si="0"/>
        <v>-21</v>
      </c>
      <c r="AP17" t="s">
        <v>254</v>
      </c>
      <c r="AQ17">
        <v>0.66</v>
      </c>
      <c r="AS17" t="s">
        <v>263</v>
      </c>
      <c r="AT17">
        <v>-0.5</v>
      </c>
      <c r="AV17" t="s">
        <v>275</v>
      </c>
      <c r="AW17">
        <v>-0.33</v>
      </c>
      <c r="AY17" t="s">
        <v>361</v>
      </c>
      <c r="AZ17">
        <v>0.66</v>
      </c>
    </row>
    <row r="18" spans="1:52" ht="15.75" thickBot="1">
      <c r="A18">
        <v>1334</v>
      </c>
      <c r="B18" t="s">
        <v>420</v>
      </c>
      <c r="C18">
        <f>PRODUCT($E18,3)+PRODUCT(SUM($H18:$K18),2)+PRODUCT(SUM($M18:$P18),3)+PRODUCT(SUM($S18:$V18),2)+PRODUCT(SUM($X18:$AA18), 3)+IF($AC18 &gt; 2, PRODUCT(SUM($AC18, -1),6), PRODUCT($AC18,3)) + IF($AD18 &gt; 2, PRODUCT(SUM($AD18, -1),6), PRODUCT($AD18,3)) + PRODUCT($AH18, -1)</f>
        <v>10.727272727272727</v>
      </c>
      <c r="D18">
        <f>PRODUCT(SUM($H18:$I18), 2) + PRODUCT(SUM($M18:$N18),3) + PRODUCT(SUM($S18:$T18), 2) + PRODUCT(SUM($X18:$Y18), 3)</f>
        <v>4.454545454545455</v>
      </c>
      <c r="E18">
        <f>IF( COUNTIF('Raw Data'!$A$3:$A$2927,$A18)=0,0,SUMIF('Raw Data'!$A$3:$A$2927, $A18,'Raw Data'!D$3:D$2927) / COUNTIF('Raw Data'!$A$3:$A$2927,$A18))</f>
        <v>1.0909090909090908</v>
      </c>
      <c r="F18">
        <f t="array" ref="F18">MAX(IF('Raw Data'!$A$3:$A$927=$A18, 'Raw Data'!$O$3:$O$927))</f>
        <v>0</v>
      </c>
      <c r="G18">
        <f t="array" ref="G18">MAX(IF('Raw Data'!$A$3:$A$927=$A18, 'Raw Data'!$I$3:$I$927))</f>
        <v>0</v>
      </c>
      <c r="H18">
        <f>IF( COUNTIF('Raw Data'!$A$3:$A$2927,$A18)=0,0,SUMIF('Raw Data'!$A$3:$A$2927, $A18,'Raw Data'!E$3:E$2927) / COUNTIF('Raw Data'!$A$3:$A$2927,$A18))</f>
        <v>0</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v>
      </c>
      <c r="L18">
        <f t="array" ref="L18">MAX(IF('Raw Data'!$A$3:$A$927=$A18, 'Raw Data'!$N$3:$N$927))</f>
        <v>0</v>
      </c>
      <c r="M18">
        <f>IF( COUNTIF('Raw Data'!$A$3:$A$2927,$A18)=0,0,SUMIF('Raw Data'!$A$3:$A$2927, $A18,'Raw Data'!J$3:J$2927) / COUNTIF('Raw Data'!$A$3:$A$2927,$A18))</f>
        <v>0</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 t="array" ref="Q18">MAX(IF('Raw Data'!$A$3:$A$927=$A18, 'Raw Data'!$Z$3:$Z$927))</f>
        <v>4</v>
      </c>
      <c r="R18">
        <f t="array" ref="R18">MAX(IF('Raw Data'!$A$3:$A$927=$A18, 'Raw Data'!$T$3:$T$927))</f>
        <v>2</v>
      </c>
      <c r="S18" s="118">
        <f>IF( COUNTIF('Raw Data'!$A$3:$A$2927,$A18)=0,0,SUMIF('Raw Data'!$A$3:$A$2927, $A18,'Raw Data'!P$3:P$2927) / COUNTIF('Raw Data'!$A$3:$A$2927,$A18))</f>
        <v>0.54545454545454541</v>
      </c>
      <c r="T18">
        <f>IF( COUNTIF('Raw Data'!$A$3:$A$2927,$A18)=0,0,SUMIF('Raw Data'!$A$3:$A$2927, $A18,'Raw Data'!Q$3:Q$2927) / COUNTIF('Raw Data'!$A$3:$A$2927,$A18))</f>
        <v>0.18181818181818182</v>
      </c>
      <c r="U18">
        <f>IF( COUNTIF('Raw Data'!$A$3:$A$2927,$A18)=0,0,SUMIF('Raw Data'!$A$3:$A$2927, $A18,'Raw Data'!R$3:R$2927) / COUNTIF('Raw Data'!$A$3:$A$2927,$A18))</f>
        <v>0</v>
      </c>
      <c r="V18">
        <f>IF( COUNTIF('Raw Data'!$A$3:$A$2927,$A18)=0,0,SUMIF('Raw Data'!$A$3:$A$2927, $A18,'Raw Data'!S$3:S$2927) / COUNTIF('Raw Data'!$A$3:$A$2927,$A18))</f>
        <v>0</v>
      </c>
      <c r="W18">
        <f t="array" ref="W18">MAX(IF('Raw Data'!$A$3:$A$927=$A18, 'Raw Data'!$Y$3:$Y$927))</f>
        <v>3</v>
      </c>
      <c r="X18">
        <f>IF( COUNTIF('Raw Data'!$A$3:$A$2927,$A18)=0,0,SUMIF('Raw Data'!$A$3:$A$2927, $A18,'Raw Data'!U$3:U$2927) / COUNTIF('Raw Data'!$A$3:$A$2927,$A18))</f>
        <v>1</v>
      </c>
      <c r="Y18">
        <f>IF( COUNTIF('Raw Data'!$A$3:$A$2927,$A18)=0,0,SUMIF('Raw Data'!$A$3:$A$2927, $A18,'Raw Data'!V$3:V$2927) / COUNTIF('Raw Data'!$A$3:$A$2927,$A18))</f>
        <v>0</v>
      </c>
      <c r="Z18">
        <f>IF( COUNTIF('Raw Data'!$A$3:$A$2927,$A18)=0,0,SUMIF('Raw Data'!$A$3:$A$2927, $A18,'Raw Data'!W$3:W$2927) / COUNTIF('Raw Data'!$A$3:$A$2927,$A18))</f>
        <v>0</v>
      </c>
      <c r="AA18">
        <f>IF( COUNTIF('Raw Data'!$A$3:$A$2927,$A18)=0,0,SUMIF('Raw Data'!$A$3:$A$2927, $A18,'Raw Data'!X$3:X$2927) / COUNTIF('Raw Data'!$A$3:$A$2927,$A18))</f>
        <v>0</v>
      </c>
      <c r="AB18">
        <f>IF( COUNTIF('Raw Data'!$A$3:$A$2927,$A18)=0,0,SUMIF('Raw Data'!$A$3:$A$2927, $A18,'Raw Data'!AA$3:AA$2927) / COUNTIF('Raw Data'!$A$3:$A$2927,$A18))</f>
        <v>7.7272727272727275</v>
      </c>
      <c r="AC18">
        <f>IF( COUNTIF('Raw Data'!$A$3:$A$2927,$A18)=0,0,SUMIF('Raw Data'!$A$3:$A$2927, $A18,'Raw Data'!AB$3:AB$2927) / COUNTIF('Raw Data'!$A$3:$A$2927,$A18))</f>
        <v>0</v>
      </c>
      <c r="AD18">
        <f>IF( COUNTIF('Raw Data'!$A$3:$A$2927,$A18)=0,0,SUMIF('Raw Data'!$A$3:$A$2927, $A18,'Raw Data'!AC$3:AC$2927) / COUNTIF('Raw Data'!$A$3:$A$2927,$A18))</f>
        <v>1</v>
      </c>
      <c r="AE18" s="117">
        <f>IF( COUNTIF('Raw Data'!$A$3:$A$2927,$A18)=0,0,SUMIF('Raw Data'!$A$3:$A$2927, $A18,'Raw Data'!AD$3:AD$2927) / COUNTIF('Raw Data'!$A$3:$A$2927,$A18))</f>
        <v>9.0909090909090912E-2</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v>
      </c>
      <c r="AI18">
        <f>IF( COUNTIF('Raw Data'!$A$3:$A$2927,$A18)=0,0,SUMIF('Raw Data'!$A$3:$A$2927, $A18,'Raw Data'!AH$3:AH$2927) / COUNTIF('Raw Data'!$A$3:$A$2927,$A18))</f>
        <v>9.0909090909090912E-2</v>
      </c>
      <c r="AJ18" s="116">
        <f>COUNTIF('Raw Data'!A$3:A$2927, $A18)</f>
        <v>11</v>
      </c>
      <c r="AK18">
        <f>IFERROR(SUM(IF($E18 &gt;autoThreshold, auto), hatch * SUM($H18:$K18), cargo * SUM($M18:$P18),hatch * SUM( $S18:$V18), cargo * SUM($X18:$AA18), rocket23 * SUM($J18:$K18, $O18:$P18, $U18:$V18, $Z18:$AA18), IF($AD18 &gt; climbThreshold, climb), IF($AC18 &gt; assistThreshold, $AC18 * assist), $AH18 * penalty, dropHatch * $AI18, tippedBroke * SUM($AE18:$AF18),  IF( $E18 &lt; noAutoThreshold, noAuto), IF($C18 &lt; doesNothingThreshold, doesNothing, IF($AD18 &gt;1.45, 2) )), "h")</f>
        <v>1.0236363636363635</v>
      </c>
      <c r="AL18">
        <f>SUM(hHatch * SUM($H18:$K18), hHatch * SUM($S18:$V18), hRocket23 * SUM($J18:$K18), hRocket23 * SUM($U18:$V18), hSandstorm * SUM($H18:$K18), hPenalty * $AH18, hDropHatch * $AI18,hTippedBroke * SUM($AE18:$AF18), IF($E18 &lt; hNoAutoThreshold, hNoAuto), IF($AG18 &gt; hFloorHatchThreshold, hFloorHatch))</f>
        <v>0.36363636363636359</v>
      </c>
      <c r="AM18">
        <f>SUM(cCargo * SUM($M18:$P18), cCargo *SUM( $X18:$AA18), cRocket23 * SUM($O18:$P18, $Z18:$AA18),cSandstorm * SUM($M18:$P18), cPenalty * $AH18, cTippedBroke * SUM($AE18:$AF18), IF($E18 &lt; cNoAutoThreshold, cNoAuto, 0))</f>
        <v>0.81818181818181812</v>
      </c>
      <c r="AN18">
        <f t="shared" si="0"/>
        <v>1.0236363636363635</v>
      </c>
      <c r="AP18" t="s">
        <v>286</v>
      </c>
      <c r="AQ18">
        <v>0.5</v>
      </c>
      <c r="AR18" t="s">
        <v>255</v>
      </c>
      <c r="AS18" t="s">
        <v>271</v>
      </c>
      <c r="AT18">
        <v>-2</v>
      </c>
      <c r="AV18" t="s">
        <v>288</v>
      </c>
      <c r="AW18">
        <v>-2</v>
      </c>
      <c r="AY18" t="s">
        <v>362</v>
      </c>
      <c r="AZ18" s="136">
        <v>0</v>
      </c>
    </row>
    <row r="19" spans="1:52" ht="15.75" thickBot="1">
      <c r="A19">
        <v>1360</v>
      </c>
      <c r="B19" t="s">
        <v>481</v>
      </c>
      <c r="C19">
        <f>PRODUCT($E19,3)+PRODUCT(SUM($H19:$K19),2)+PRODUCT(SUM($M19:$P19),3)+PRODUCT(SUM($S19:$V19),2)+PRODUCT(SUM($X19:$AA19), 3)+IF($AC19 &gt; 2, PRODUCT(SUM($AC19, -1),6), PRODUCT($AC19,3)) + IF($AD19 &gt; 2, PRODUCT(SUM($AD19, -1),6), PRODUCT($AD19,3)) + PRODUCT($AH19, -1)</f>
        <v>0</v>
      </c>
      <c r="D19">
        <f>PRODUCT(SUM($H19:$I19), 2) + PRODUCT(SUM($M19:$N19),3) + PRODUCT(SUM($S19:$T19), 2) + PRODUCT(SUM($X19:$Y19), 3)</f>
        <v>0</v>
      </c>
      <c r="E19">
        <f>IF( COUNTIF('Raw Data'!$A$3:$A$2927,$A19)=0,0,SUMIF('Raw Data'!$A$3:$A$2927, $A19,'Raw Data'!D$3:D$2927) / COUNTIF('Raw Data'!$A$3:$A$2927,$A19))</f>
        <v>0</v>
      </c>
      <c r="F19">
        <f t="array" ref="F19">MAX(IF('Raw Data'!$A$3:$A$927=$A19, 'Raw Data'!$O$3:$O$927))</f>
        <v>0</v>
      </c>
      <c r="G19">
        <f t="array" ref="G19">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 t="array" ref="L19">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 t="array" ref="Q19">MAX(IF('Raw Data'!$A$3:$A$927=$A19, 'Raw Data'!$Z$3:$Z$927))</f>
        <v>0</v>
      </c>
      <c r="R19">
        <f t="array" ref="R19">MAX(IF('Raw Data'!$A$3:$A$927=$A19, 'Raw Data'!$T$3:$T$927))</f>
        <v>0</v>
      </c>
      <c r="S19" s="118">
        <f>IF( COUNTIF('Raw Data'!$A$3:$A$2927,$A19)=0,0,SUMIF('Raw Data'!$A$3:$A$2927, $A19,'Raw Data'!P$3:P$2927) / COUNTIF('Raw Data'!$A$3:$A$2927,$A19))</f>
        <v>0</v>
      </c>
      <c r="T19">
        <f>IF( COUNTIF('Raw Data'!$A$3:$A$2927,$A19)=0,0,SUMIF('Raw Data'!$A$3:$A$2927, $A19,'Raw Data'!Q$3:Q$2927) / COUNTIF('Raw Data'!$A$3:$A$2927,$A19))</f>
        <v>0</v>
      </c>
      <c r="U19">
        <f>IF( COUNTIF('Raw Data'!$A$3:$A$2927,$A19)=0,0,SUMIF('Raw Data'!$A$3:$A$2927, $A19,'Raw Data'!R$3:R$2927) / COUNTIF('Raw Data'!$A$3:$A$2927,$A19))</f>
        <v>0</v>
      </c>
      <c r="V19">
        <f>IF( COUNTIF('Raw Data'!$A$3:$A$2927,$A19)=0,0,SUMIF('Raw Data'!$A$3:$A$2927, $A19,'Raw Data'!S$3:S$2927) / COUNTIF('Raw Data'!$A$3:$A$2927,$A19))</f>
        <v>0</v>
      </c>
      <c r="W19">
        <f t="array" ref="W19">MAX(IF('Raw Data'!$A$3:$A$927=$A19, 'Raw Data'!$Y$3:$Y$927))</f>
        <v>0</v>
      </c>
      <c r="X19">
        <f>IF( COUNTIF('Raw Data'!$A$3:$A$2927,$A19)=0,0,SUMIF('Raw Data'!$A$3:$A$2927, $A19,'Raw Data'!U$3:U$2927) / COUNTIF('Raw Data'!$A$3:$A$2927,$A19))</f>
        <v>0</v>
      </c>
      <c r="Y19">
        <f>IF( COUNTIF('Raw Data'!$A$3:$A$2927,$A19)=0,0,SUMIF('Raw Data'!$A$3:$A$2927, $A19,'Raw Data'!V$3:V$2927) / COUNTIF('Raw Data'!$A$3:$A$2927,$A19))</f>
        <v>0</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v>
      </c>
      <c r="AI19">
        <f>IF( COUNTIF('Raw Data'!$A$3:$A$2927,$A19)=0,0,SUMIF('Raw Data'!$A$3:$A$2927, $A19,'Raw Data'!AH$3:AH$2927) / COUNTIF('Raw Data'!$A$3:$A$2927,$A19))</f>
        <v>0</v>
      </c>
      <c r="AJ19" s="116">
        <f>COUNTIF('Raw Data'!A$3:A$2927, $A19)</f>
        <v>0</v>
      </c>
      <c r="AK19">
        <f>IFERROR(SUM(IF($E19 &gt;autoThreshold, auto), hatch * SUM($H19:$K19), cargo * SUM($M19:$P19),hatch * SUM( $S19:$V19), cargo * SUM($X19:$AA19), rocket23 * SUM($J19:$K19, $O19:$P19, $U19:$V19, $Z19:$AA19), IF($AD19 &gt; climbThreshold, climb), IF($AC19 &gt; assistThreshold, $AC19 * assist), $AH19 * penalty, dropHatch * $AI19, tippedBroke * SUM($AE19:$AF19),  IF( $E19 &lt; noAutoThreshold, noAuto), IF($C19 &lt; doesNothingThreshold, doesNothing, IF($AD19 &gt;1.45, 2) )), "h")</f>
        <v>-21</v>
      </c>
      <c r="AL19">
        <f>SUM(hHatch * SUM($H19:$K19), hHatch * SUM($S19:$V19), hRocket23 * SUM($J19:$K19), hRocket23 * SUM($U19:$V19), hSandstorm * SUM($H19:$K19), hPenalty * $AH19, hDropHatch * $AI19,hTippedBroke * SUM($AE19:$AF19), IF($E19 &lt; hNoAutoThreshold, hNoAuto), IF($AG19 &gt; hFloorHatchThreshold, hFloorHatch))</f>
        <v>-1.5</v>
      </c>
      <c r="AM19">
        <f>SUM(cCargo * SUM($M19:$P19), cCargo *SUM( $X19:$AA19), cRocket23 * SUM($O19:$P19, $Z19:$AA19),cSandstorm * SUM($M19:$P19), cPenalty * $AH19, cTippedBroke * SUM($AE19:$AF19), IF($E19 &lt; cNoAutoThreshold, cNoAuto, 0))</f>
        <v>-1</v>
      </c>
      <c r="AN19">
        <f t="shared" si="0"/>
        <v>-21</v>
      </c>
      <c r="AP19" t="s">
        <v>256</v>
      </c>
      <c r="AQ19">
        <v>5</v>
      </c>
      <c r="AS19" t="s">
        <v>284</v>
      </c>
      <c r="AT19">
        <v>-2</v>
      </c>
      <c r="AV19" t="s">
        <v>276</v>
      </c>
      <c r="AW19">
        <v>-1</v>
      </c>
      <c r="AY19" t="s">
        <v>363</v>
      </c>
      <c r="AZ19" s="136">
        <v>2.5</v>
      </c>
    </row>
    <row r="20" spans="1:52" ht="15.75" thickBot="1">
      <c r="A20">
        <v>2013</v>
      </c>
      <c r="B20" t="s">
        <v>447</v>
      </c>
      <c r="C20">
        <f>PRODUCT($E20,3)+PRODUCT(SUM($H20:$K20),2)+PRODUCT(SUM($M20:$P20),3)+PRODUCT(SUM($S20:$V20),2)+PRODUCT(SUM($X20:$AA20), 3)+IF($AC20 &gt; 2, PRODUCT(SUM($AC20, -1),6), PRODUCT($AC20,3)) + IF($AD20 &gt; 2, PRODUCT(SUM($AD20, -1),6), PRODUCT($AD20,3)) + PRODUCT($AH20, -1)</f>
        <v>0.75</v>
      </c>
      <c r="D20">
        <f>PRODUCT(SUM($H20:$I20), 2) + PRODUCT(SUM($M20:$N20),3) + PRODUCT(SUM($S20:$T20), 2) + PRODUCT(SUM($X20:$Y20), 3)</f>
        <v>0.75</v>
      </c>
      <c r="E20">
        <f>IF( COUNTIF('Raw Data'!$A$3:$A$2927,$A20)=0,0,SUMIF('Raw Data'!$A$3:$A$2927, $A20,'Raw Data'!D$3:D$2927) / COUNTIF('Raw Data'!$A$3:$A$2927,$A20))</f>
        <v>1.125</v>
      </c>
      <c r="F20">
        <f t="array" ref="F20">MAX(IF('Raw Data'!$A$3:$A$927=$A20, 'Raw Data'!$O$3:$O$927))</f>
        <v>0</v>
      </c>
      <c r="G20">
        <f t="array" ref="G20">MAX(IF('Raw Data'!$A$3:$A$927=$A20, 'Raw Data'!$I$3:$I$927))</f>
        <v>0</v>
      </c>
      <c r="H20">
        <f>IF( COUNTIF('Raw Data'!$A$3:$A$2927,$A20)=0,0,SUMIF('Raw Data'!$A$3:$A$2927, $A20,'Raw Data'!E$3:E$2927) / COUNTIF('Raw Data'!$A$3:$A$2927,$A20))</f>
        <v>0</v>
      </c>
      <c r="I20">
        <f>IF( COUNTIF('Raw Data'!$A$3:$A$2927,$A20)=0,0,SUMIF('Raw Data'!$A$3:$A$2927, $A20,'Raw Data'!F$3:F$2927) / COUNTIF('Raw Data'!$A$3:$A$2927,$A20))</f>
        <v>0</v>
      </c>
      <c r="J20">
        <f>IF( COUNTIF('Raw Data'!$A$3:$A$2927,$A20)=0,0,SUMIF('Raw Data'!$A$3:$A$2927, $A20,'Raw Data'!G$3:G$2927) / COUNTIF('Raw Data'!$A$3:$A$2927,$A20))</f>
        <v>0</v>
      </c>
      <c r="K20">
        <f>IF( COUNTIF('Raw Data'!$A$3:$A$2927,$A20)=0,0,SUMIF('Raw Data'!$A$3:$A$2927, $A20,'Raw Data'!H$3:H$2927) / COUNTIF('Raw Data'!$A$3:$A$2927,$A20))</f>
        <v>0</v>
      </c>
      <c r="L20">
        <f t="array" ref="L20">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 t="array" ref="Q20">MAX(IF('Raw Data'!$A$3:$A$927=$A20, 'Raw Data'!$Z$3:$Z$927))</f>
        <v>1</v>
      </c>
      <c r="R20">
        <f t="array" ref="R20">MAX(IF('Raw Data'!$A$3:$A$927=$A20, 'Raw Data'!$T$3:$T$927))</f>
        <v>0</v>
      </c>
      <c r="S20" s="118">
        <f>IF( COUNTIF('Raw Data'!$A$3:$A$2927,$A20)=0,0,SUMIF('Raw Data'!$A$3:$A$2927, $A20,'Raw Data'!P$3:P$2927) / COUNTIF('Raw Data'!$A$3:$A$2927,$A20))</f>
        <v>0</v>
      </c>
      <c r="T20">
        <f>IF( COUNTIF('Raw Data'!$A$3:$A$2927,$A20)=0,0,SUMIF('Raw Data'!$A$3:$A$2927, $A20,'Raw Data'!Q$3:Q$2927) / COUNTIF('Raw Data'!$A$3:$A$2927,$A20))</f>
        <v>0</v>
      </c>
      <c r="U20">
        <f>IF( COUNTIF('Raw Data'!$A$3:$A$2927,$A20)=0,0,SUMIF('Raw Data'!$A$3:$A$2927, $A20,'Raw Data'!R$3:R$2927) / COUNTIF('Raw Data'!$A$3:$A$2927,$A20))</f>
        <v>0</v>
      </c>
      <c r="V20">
        <f>IF( COUNTIF('Raw Data'!$A$3:$A$2927,$A20)=0,0,SUMIF('Raw Data'!$A$3:$A$2927, $A20,'Raw Data'!S$3:S$2927) / COUNTIF('Raw Data'!$A$3:$A$2927,$A20))</f>
        <v>0</v>
      </c>
      <c r="W20">
        <f t="array" ref="W20">MAX(IF('Raw Data'!$A$3:$A$927=$A20, 'Raw Data'!$Y$3:$Y$927))</f>
        <v>1</v>
      </c>
      <c r="X20">
        <f>IF( COUNTIF('Raw Data'!$A$3:$A$2927,$A20)=0,0,SUMIF('Raw Data'!$A$3:$A$2927, $A20,'Raw Data'!U$3:U$2927) / COUNTIF('Raw Data'!$A$3:$A$2927,$A20))</f>
        <v>0.25</v>
      </c>
      <c r="Y20">
        <f>IF( COUNTIF('Raw Data'!$A$3:$A$2927,$A20)=0,0,SUMIF('Raw Data'!$A$3:$A$2927, $A20,'Raw Data'!V$3:V$2927) / COUNTIF('Raw Data'!$A$3:$A$2927,$A20))</f>
        <v>0</v>
      </c>
      <c r="Z20">
        <f>IF( COUNTIF('Raw Data'!$A$3:$A$2927,$A20)=0,0,SUMIF('Raw Data'!$A$3:$A$2927, $A20,'Raw Data'!W$3:W$2927) / COUNTIF('Raw Data'!$A$3:$A$2927,$A20))</f>
        <v>0</v>
      </c>
      <c r="AA20">
        <f>IF( COUNTIF('Raw Data'!$A$3:$A$2927,$A20)=0,0,SUMIF('Raw Data'!$A$3:$A$2927, $A20,'Raw Data'!X$3:X$2927) / COUNTIF('Raw Data'!$A$3:$A$2927,$A20))</f>
        <v>0</v>
      </c>
      <c r="AB20">
        <f>IF( COUNTIF('Raw Data'!$A$3:$A$2927,$A20)=0,0,SUMIF('Raw Data'!$A$3:$A$2927, $A20,'Raw Data'!AA$3:AA$2927) / COUNTIF('Raw Data'!$A$3:$A$2927,$A20))</f>
        <v>36.625</v>
      </c>
      <c r="AC20">
        <f>IF( COUNTIF('Raw Data'!$A$3:$A$2927,$A20)=0,0,SUMIF('Raw Data'!$A$3:$A$2927, $A20,'Raw Data'!AB$3:AB$2927) / COUNTIF('Raw Data'!$A$3:$A$2927,$A20))</f>
        <v>0</v>
      </c>
      <c r="AD20">
        <f>IF( COUNTIF('Raw Data'!$A$3:$A$2927,$A20)=0,0,SUMIF('Raw Data'!$A$3:$A$2927, $A20,'Raw Data'!AC$3:AC$2927) / COUNTIF('Raw Data'!$A$3:$A$2927,$A20))</f>
        <v>0.75</v>
      </c>
      <c r="AE20" s="117">
        <f>IF( COUNTIF('Raw Data'!$A$3:$A$2927,$A20)=0,0,SUMIF('Raw Data'!$A$3:$A$2927, $A20,'Raw Data'!AD$3:AD$2927) / COUNTIF('Raw Data'!$A$3:$A$2927,$A20))</f>
        <v>0</v>
      </c>
      <c r="AF20">
        <f>IF( COUNTIF('Raw Data'!$A$3:$A$2927,$A20)=0,0,SUMIF('Raw Data'!$A$3:$A$2927, $A20,'Raw Data'!AE$3:AE$2927) / COUNTIF('Raw Data'!$A$3:$A$2927,$A20))</f>
        <v>0.125</v>
      </c>
      <c r="AG20">
        <f>IF( COUNTIF('Raw Data'!$A$3:$A$2927,$A20)=0,0,SUMIF('Raw Data'!$A$3:$A$2927, $A20,'Raw Data'!AF$3:AF$2927) / COUNTIF('Raw Data'!$A$3:$A$2927,$A20))</f>
        <v>0</v>
      </c>
      <c r="AH20">
        <f>IF( COUNTIF('Raw Data'!$A$3:$A$2927,$A20)=0,0,SUMIF('Raw Data'!$A$3:$A$2927, $A20,'Raw Data'!AG$3:AG$2927) / COUNTIF('Raw Data'!$A$3:$A$2927,$A20))</f>
        <v>5.625</v>
      </c>
      <c r="AI20">
        <f>IF( COUNTIF('Raw Data'!$A$3:$A$2927,$A20)=0,0,SUMIF('Raw Data'!$A$3:$A$2927, $A20,'Raw Data'!AH$3:AH$2927) / COUNTIF('Raw Data'!$A$3:$A$2927,$A20))</f>
        <v>0</v>
      </c>
      <c r="AJ20" s="116">
        <f>COUNTIF('Raw Data'!A$3:A$2927, $A20)</f>
        <v>8</v>
      </c>
      <c r="AK20">
        <f>IFERROR(SUM(IF($E20 &gt;autoThreshold, auto), hatch * SUM($H20:$K20), cargo * SUM($M20:$P20),hatch * SUM( $S20:$V20), cargo * SUM($X20:$AA20), rocket23 * SUM($J20:$K20, $O20:$P20, $U20:$V20, $Z20:$AA20), IF($AD20 &gt; climbThreshold, climb), IF($AC20 &gt; assistThreshold, $AC20 * assist), $AH20 * penalty, dropHatch * $AI20, tippedBroke * SUM($AE20:$AF20),  IF( $E20 &lt; noAutoThreshold, noAuto), IF($C20 &lt; doesNothingThreshold, doesNothing, IF($AD20 &gt;1.45, 2) )), "h")</f>
        <v>-22.897500000000001</v>
      </c>
      <c r="AL20">
        <f>SUM(hHatch * SUM($H20:$K20), hHatch * SUM($S20:$V20), hRocket23 * SUM($J20:$K20), hRocket23 * SUM($U20:$V20), hSandstorm * SUM($H20:$K20), hPenalty * $AH20, hDropHatch * $AI20,hTippedBroke * SUM($AE20:$AF20), IF($E20 &lt; hNoAutoThreshold, hNoAuto), IF($AG20 &gt; hFloorHatchThreshold, hFloorHatch))</f>
        <v>-3.0625</v>
      </c>
      <c r="AM20">
        <f>SUM(cCargo * SUM($M20:$P20), cCargo *SUM( $X20:$AA20), cRocket23 * SUM($O20:$P20, $Z20:$AA20),cSandstorm * SUM($M20:$P20), cPenalty * $AH20, cTippedBroke * SUM($AE20:$AF20), IF($E20 &lt; cNoAutoThreshold, cNoAuto, 0))</f>
        <v>-1.8562500000000002</v>
      </c>
      <c r="AN20">
        <f t="shared" si="0"/>
        <v>-22.897500000000001</v>
      </c>
      <c r="AP20" t="s">
        <v>279</v>
      </c>
      <c r="AQ20">
        <v>2.4500000000000002</v>
      </c>
      <c r="AS20" t="s">
        <v>272</v>
      </c>
      <c r="AT20">
        <v>-1.5</v>
      </c>
      <c r="AV20" t="s">
        <v>277</v>
      </c>
      <c r="AW20">
        <v>1</v>
      </c>
      <c r="AY20" t="s">
        <v>364</v>
      </c>
      <c r="AZ20" s="136">
        <v>1.45</v>
      </c>
    </row>
    <row r="21" spans="1:52" ht="15.75" thickBot="1">
      <c r="A21">
        <v>2200</v>
      </c>
      <c r="B21" t="s">
        <v>200</v>
      </c>
      <c r="C21">
        <f>PRODUCT($E21,3)+PRODUCT(SUM($H21:$K21),2)+PRODUCT(SUM($M21:$P21),3)+PRODUCT(SUM($S21:$V21),2)+PRODUCT(SUM($X21:$AA21), 3)+IF($AC21 &gt; 2, PRODUCT(SUM($AC21, -1),6), PRODUCT($AC21,3)) + IF($AD21 &gt; 2, PRODUCT(SUM($AD21, -1),6), PRODUCT($AD21,3)) + PRODUCT($AH21, -1)</f>
        <v>28.125</v>
      </c>
      <c r="D21">
        <f>PRODUCT(SUM($H21:$I21), 2) + PRODUCT(SUM($M21:$N21),3) + PRODUCT(SUM($S21:$T21), 2) + PRODUCT(SUM($X21:$Y21), 3)</f>
        <v>15</v>
      </c>
      <c r="E21">
        <f>IF( COUNTIF('Raw Data'!$A$3:$A$2927,$A21)=0,0,SUMIF('Raw Data'!$A$3:$A$2927, $A21,'Raw Data'!D$3:D$2927) / COUNTIF('Raw Data'!$A$3:$A$2927,$A21))</f>
        <v>0.875</v>
      </c>
      <c r="F21">
        <f t="array" ref="F21">MAX(IF('Raw Data'!$A$3:$A$927=$A21, 'Raw Data'!$O$3:$O$927))</f>
        <v>1</v>
      </c>
      <c r="G21">
        <f t="array" ref="G21">MAX(IF('Raw Data'!$A$3:$A$927=$A21, 'Raw Data'!$I$3:$I$927))</f>
        <v>1</v>
      </c>
      <c r="H21">
        <f>IF( COUNTIF('Raw Data'!$A$3:$A$2927,$A21)=0,0,SUMIF('Raw Data'!$A$3:$A$2927, $A21,'Raw Data'!E$3:E$2927) / COUNTIF('Raw Data'!$A$3:$A$2927,$A21))</f>
        <v>0.75</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 t="array" ref="L21">MAX(IF('Raw Data'!$A$3:$A$927=$A21, 'Raw Data'!$N$3:$N$927))</f>
        <v>0</v>
      </c>
      <c r="M21">
        <f>IF( COUNTIF('Raw Data'!$A$3:$A$2927,$A21)=0,0,SUMIF('Raw Data'!$A$3:$A$2927, $A21,'Raw Data'!J$3:J$2927) / COUNTIF('Raw Data'!$A$3:$A$2927,$A21))</f>
        <v>0</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 t="array" ref="Q21">MAX(IF('Raw Data'!$A$3:$A$927=$A21, 'Raw Data'!$Z$3:$Z$927))</f>
        <v>8</v>
      </c>
      <c r="R21">
        <f t="array" ref="R21">MAX(IF('Raw Data'!$A$3:$A$927=$A21, 'Raw Data'!$T$3:$T$927))</f>
        <v>4</v>
      </c>
      <c r="S21" s="118">
        <f>IF( COUNTIF('Raw Data'!$A$3:$A$2927,$A21)=0,0,SUMIF('Raw Data'!$A$3:$A$2927, $A21,'Raw Data'!P$3:P$2927) / COUNTIF('Raw Data'!$A$3:$A$2927,$A21))</f>
        <v>1</v>
      </c>
      <c r="T21">
        <f>IF( COUNTIF('Raw Data'!$A$3:$A$2927,$A21)=0,0,SUMIF('Raw Data'!$A$3:$A$2927, $A21,'Raw Data'!Q$3:Q$2927) / COUNTIF('Raw Data'!$A$3:$A$2927,$A21))</f>
        <v>0.875</v>
      </c>
      <c r="U21">
        <f>IF( COUNTIF('Raw Data'!$A$3:$A$2927,$A21)=0,0,SUMIF('Raw Data'!$A$3:$A$2927, $A21,'Raw Data'!R$3:R$2927) / COUNTIF('Raw Data'!$A$3:$A$2927,$A21))</f>
        <v>0.125</v>
      </c>
      <c r="V21">
        <f>IF( COUNTIF('Raw Data'!$A$3:$A$2927,$A21)=0,0,SUMIF('Raw Data'!$A$3:$A$2927, $A21,'Raw Data'!S$3:S$2927) / COUNTIF('Raw Data'!$A$3:$A$2927,$A21))</f>
        <v>0.25</v>
      </c>
      <c r="W21">
        <f t="array" ref="W21">MAX(IF('Raw Data'!$A$3:$A$927=$A21, 'Raw Data'!$Y$3:$Y$927))</f>
        <v>7</v>
      </c>
      <c r="X21">
        <f>IF( COUNTIF('Raw Data'!$A$3:$A$2927,$A21)=0,0,SUMIF('Raw Data'!$A$3:$A$2927, $A21,'Raw Data'!U$3:U$2927) / COUNTIF('Raw Data'!$A$3:$A$2927,$A21))</f>
        <v>3</v>
      </c>
      <c r="Y21">
        <f>IF( COUNTIF('Raw Data'!$A$3:$A$2927,$A21)=0,0,SUMIF('Raw Data'!$A$3:$A$2927, $A21,'Raw Data'!V$3:V$2927) / COUNTIF('Raw Data'!$A$3:$A$2927,$A21))</f>
        <v>0.25</v>
      </c>
      <c r="Z21">
        <f>IF( COUNTIF('Raw Data'!$A$3:$A$2927,$A21)=0,0,SUMIF('Raw Data'!$A$3:$A$2927, $A21,'Raw Data'!W$3:W$2927) / COUNTIF('Raw Data'!$A$3:$A$2927,$A21))</f>
        <v>0</v>
      </c>
      <c r="AA21">
        <f>IF( COUNTIF('Raw Data'!$A$3:$A$2927,$A21)=0,0,SUMIF('Raw Data'!$A$3:$A$2927, $A21,'Raw Data'!X$3:X$2927) / COUNTIF('Raw Data'!$A$3:$A$2927,$A21))</f>
        <v>0.25</v>
      </c>
      <c r="AB21">
        <f>IF( COUNTIF('Raw Data'!$A$3:$A$2927,$A21)=0,0,SUMIF('Raw Data'!$A$3:$A$2927, $A21,'Raw Data'!AA$3:AA$2927) / COUNTIF('Raw Data'!$A$3:$A$2927,$A21))</f>
        <v>0</v>
      </c>
      <c r="AC21">
        <f>IF( COUNTIF('Raw Data'!$A$3:$A$2927,$A21)=0,0,SUMIF('Raw Data'!$A$3:$A$2927, $A21,'Raw Data'!AB$3:AB$2927) / COUNTIF('Raw Data'!$A$3:$A$2927,$A21))</f>
        <v>0</v>
      </c>
      <c r="AD21">
        <f>IF( COUNTIF('Raw Data'!$A$3:$A$2927,$A21)=0,0,SUMIF('Raw Data'!$A$3:$A$2927, $A21,'Raw Data'!AC$3:AC$2927) / COUNTIF('Raw Data'!$A$3:$A$2927,$A21))</f>
        <v>2.625</v>
      </c>
      <c r="AE21" s="117">
        <f>IF( COUNTIF('Raw Data'!$A$3:$A$2927,$A21)=0,0,SUMIF('Raw Data'!$A$3:$A$2927, $A21,'Raw Data'!AD$3:AD$2927) / COUNTIF('Raw Data'!$A$3:$A$2927,$A21))</f>
        <v>0</v>
      </c>
      <c r="AF21">
        <f>IF( COUNTIF('Raw Data'!$A$3:$A$2927,$A21)=0,0,SUMIF('Raw Data'!$A$3:$A$2927, $A21,'Raw Data'!AE$3:AE$2927) / COUNTIF('Raw Data'!$A$3:$A$2927,$A21))</f>
        <v>0</v>
      </c>
      <c r="AG21">
        <f>IF( COUNTIF('Raw Data'!$A$3:$A$2927,$A21)=0,0,SUMIF('Raw Data'!$A$3:$A$2927, $A21,'Raw Data'!AF$3:AF$2927) / COUNTIF('Raw Data'!$A$3:$A$2927,$A21))</f>
        <v>0</v>
      </c>
      <c r="AH21">
        <f>IF( COUNTIF('Raw Data'!$A$3:$A$2927,$A21)=0,0,SUMIF('Raw Data'!$A$3:$A$2927, $A21,'Raw Data'!AG$3:AG$2927) / COUNTIF('Raw Data'!$A$3:$A$2927,$A21))</f>
        <v>0.75</v>
      </c>
      <c r="AI21">
        <f>IF( COUNTIF('Raw Data'!$A$3:$A$2927,$A21)=0,0,SUMIF('Raw Data'!$A$3:$A$2927, $A21,'Raw Data'!AH$3:AH$2927) / COUNTIF('Raw Data'!$A$3:$A$2927,$A21))</f>
        <v>0.125</v>
      </c>
      <c r="AJ21" s="116">
        <f>COUNTIF('Raw Data'!A$3:A$2927, $A21)</f>
        <v>8</v>
      </c>
      <c r="AK21">
        <f>IFERROR(SUM(IF($E21 &gt;autoThreshold, auto), hatch * SUM($H21:$K21), cargo * SUM($M21:$P21),hatch * SUM( $S21:$V21), cargo * SUM($X21:$AA21), rocket23 * SUM($J21:$K21, $O21:$P21, $U21:$V21, $Z21:$AA21), IF($AD21 &gt; climbThreshold, climb), IF($AC21 &gt; assistThreshold, $AC21 * assist), $AH21 * penalty, dropHatch * $AI21, tippedBroke * SUM($AE21:$AF21),  IF( $E21 &lt; noAutoThreshold, noAuto), IF($C21 &lt; doesNothingThreshold, doesNothing, IF($AD21 &gt;1.45, 2) )), "h")</f>
        <v>10.9975</v>
      </c>
      <c r="AL21">
        <f>SUM(hHatch * SUM($H21:$K21), hHatch * SUM($S21:$V21), hRocket23 * SUM($J21:$K21), hRocket23 * SUM($U21:$V21), hSandstorm * SUM($H21:$K21), hPenalty * $AH21, hDropHatch * $AI21,hTippedBroke * SUM($AE21:$AF21), IF($E21 &lt; hNoAutoThreshold, hNoAuto), IF($AG21 &gt; hFloorHatchThreshold, hFloorHatch))</f>
        <v>1.4375</v>
      </c>
      <c r="AM21">
        <f>SUM(cCargo * SUM($M21:$P21), cCargo *SUM( $X21:$AA21), cRocket23 * SUM($O21:$P21, $Z21:$AA21),cSandstorm * SUM($M21:$P21), cPenalty * $AH21, cTippedBroke * SUM($AE21:$AF21), IF($E21 &lt; cNoAutoThreshold, cNoAuto, 0))</f>
        <v>2.3774999999999999</v>
      </c>
      <c r="AN21">
        <f t="shared" si="0"/>
        <v>10.2475</v>
      </c>
      <c r="AP21" t="s">
        <v>257</v>
      </c>
      <c r="AQ21">
        <v>2</v>
      </c>
      <c r="AS21" t="s">
        <v>267</v>
      </c>
      <c r="AT21">
        <v>1</v>
      </c>
      <c r="AV21" t="s">
        <v>365</v>
      </c>
      <c r="AW21">
        <v>-20</v>
      </c>
      <c r="AY21" t="s">
        <v>366</v>
      </c>
      <c r="AZ21">
        <v>0</v>
      </c>
    </row>
    <row r="22" spans="1:52" ht="15.75" thickBot="1">
      <c r="A22">
        <v>2386</v>
      </c>
      <c r="B22" t="s">
        <v>201</v>
      </c>
      <c r="C22">
        <f>PRODUCT($E22,3)+PRODUCT(SUM($H22:$K22),2)+PRODUCT(SUM($M22:$P22),3)+PRODUCT(SUM($S22:$V22),2)+PRODUCT(SUM($X22:$AA22), 3)+IF($AC22 &gt; 2, PRODUCT(SUM($AC22, -1),6), PRODUCT($AC22,3)) + IF($AD22 &gt; 2, PRODUCT(SUM($AD22, -1),6), PRODUCT($AD22,3)) + PRODUCT($AH22, -1)</f>
        <v>28</v>
      </c>
      <c r="D22">
        <f>PRODUCT(SUM($H22:$I22), 2) + PRODUCT(SUM($M22:$N22),3) + PRODUCT(SUM($S22:$T22), 2) + PRODUCT(SUM($X22:$Y22), 3)</f>
        <v>9.1111111111111107</v>
      </c>
      <c r="E22">
        <f>IF( COUNTIF('Raw Data'!$A$3:$A$2927,$A22)=0,0,SUMIF('Raw Data'!$A$3:$A$2927, $A22,'Raw Data'!D$3:D$2927) / COUNTIF('Raw Data'!$A$3:$A$2927,$A22))</f>
        <v>1.8888888888888888</v>
      </c>
      <c r="F22">
        <f t="array" ref="F22">MAX(IF('Raw Data'!$A$3:$A$927=$A22, 'Raw Data'!$O$3:$O$927))</f>
        <v>1</v>
      </c>
      <c r="G22">
        <f t="array" ref="G22">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 t="array" ref="L22">MAX(IF('Raw Data'!$A$3:$A$927=$A22, 'Raw Data'!$N$3:$N$927))</f>
        <v>1</v>
      </c>
      <c r="M22">
        <f>IF( COUNTIF('Raw Data'!$A$3:$A$2927,$A22)=0,0,SUMIF('Raw Data'!$A$3:$A$2927, $A22,'Raw Data'!J$3:J$2927) / COUNTIF('Raw Data'!$A$3:$A$2927,$A22))</f>
        <v>0.55555555555555558</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 t="array" ref="Q22">MAX(IF('Raw Data'!$A$3:$A$927=$A22, 'Raw Data'!$Z$3:$Z$927))</f>
        <v>6</v>
      </c>
      <c r="R22">
        <f t="array" ref="R22">MAX(IF('Raw Data'!$A$3:$A$927=$A22, 'Raw Data'!$T$3:$T$927))</f>
        <v>2</v>
      </c>
      <c r="S22" s="118">
        <f>IF( COUNTIF('Raw Data'!$A$3:$A$2927,$A22)=0,0,SUMIF('Raw Data'!$A$3:$A$2927, $A22,'Raw Data'!P$3:P$2927) / COUNTIF('Raw Data'!$A$3:$A$2927,$A22))</f>
        <v>0.33333333333333331</v>
      </c>
      <c r="T22">
        <f>IF( COUNTIF('Raw Data'!$A$3:$A$2927,$A22)=0,0,SUMIF('Raw Data'!$A$3:$A$2927, $A22,'Raw Data'!Q$3:Q$2927) / COUNTIF('Raw Data'!$A$3:$A$2927,$A22))</f>
        <v>0.22222222222222221</v>
      </c>
      <c r="U22">
        <f>IF( COUNTIF('Raw Data'!$A$3:$A$2927,$A22)=0,0,SUMIF('Raw Data'!$A$3:$A$2927, $A22,'Raw Data'!R$3:R$2927) / COUNTIF('Raw Data'!$A$3:$A$2927,$A22))</f>
        <v>0</v>
      </c>
      <c r="V22">
        <f>IF( COUNTIF('Raw Data'!$A$3:$A$2927,$A22)=0,0,SUMIF('Raw Data'!$A$3:$A$2927, $A22,'Raw Data'!S$3:S$2927) / COUNTIF('Raw Data'!$A$3:$A$2927,$A22))</f>
        <v>0.44444444444444442</v>
      </c>
      <c r="W22">
        <f t="array" ref="W22">MAX(IF('Raw Data'!$A$3:$A$927=$A22, 'Raw Data'!$Y$3:$Y$927))</f>
        <v>5</v>
      </c>
      <c r="X22">
        <f>IF( COUNTIF('Raw Data'!$A$3:$A$2927,$A22)=0,0,SUMIF('Raw Data'!$A$3:$A$2927, $A22,'Raw Data'!U$3:U$2927) / COUNTIF('Raw Data'!$A$3:$A$2927,$A22))</f>
        <v>1.7777777777777777</v>
      </c>
      <c r="Y22">
        <f>IF( COUNTIF('Raw Data'!$A$3:$A$2927,$A22)=0,0,SUMIF('Raw Data'!$A$3:$A$2927, $A22,'Raw Data'!V$3:V$2927) / COUNTIF('Raw Data'!$A$3:$A$2927,$A22))</f>
        <v>0.33333333333333331</v>
      </c>
      <c r="Z22">
        <f>IF( COUNTIF('Raw Data'!$A$3:$A$2927,$A22)=0,0,SUMIF('Raw Data'!$A$3:$A$2927, $A22,'Raw Data'!W$3:W$2927) / COUNTIF('Raw Data'!$A$3:$A$2927,$A22))</f>
        <v>0</v>
      </c>
      <c r="AA22">
        <f>IF( COUNTIF('Raw Data'!$A$3:$A$2927,$A22)=0,0,SUMIF('Raw Data'!$A$3:$A$2927, $A22,'Raw Data'!X$3:X$2927) / COUNTIF('Raw Data'!$A$3:$A$2927,$A22))</f>
        <v>0.1111111111111111</v>
      </c>
      <c r="AB22">
        <f>IF( COUNTIF('Raw Data'!$A$3:$A$2927,$A22)=0,0,SUMIF('Raw Data'!$A$3:$A$2927, $A22,'Raw Data'!AA$3:AA$2927) / COUNTIF('Raw Data'!$A$3:$A$2927,$A22))</f>
        <v>0</v>
      </c>
      <c r="AC22">
        <f>IF( COUNTIF('Raw Data'!$A$3:$A$2927,$A22)=0,0,SUMIF('Raw Data'!$A$3:$A$2927, $A22,'Raw Data'!AB$3:AB$2927) / COUNTIF('Raw Data'!$A$3:$A$2927,$A22))</f>
        <v>0</v>
      </c>
      <c r="AD22">
        <f>IF( COUNTIF('Raw Data'!$A$3:$A$2927,$A22)=0,0,SUMIF('Raw Data'!$A$3:$A$2927, $A22,'Raw Data'!AC$3:AC$2927) / COUNTIF('Raw Data'!$A$3:$A$2927,$A22))</f>
        <v>3</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0</v>
      </c>
      <c r="AI22">
        <f>IF( COUNTIF('Raw Data'!$A$3:$A$2927,$A22)=0,0,SUMIF('Raw Data'!$A$3:$A$2927, $A22,'Raw Data'!AH$3:AH$2927) / COUNTIF('Raw Data'!$A$3:$A$2927,$A22))</f>
        <v>0.44444444444444442</v>
      </c>
      <c r="AJ22" s="116">
        <f>COUNTIF('Raw Data'!A$3:A$2927, $A22)</f>
        <v>9</v>
      </c>
      <c r="AK22">
        <f>IFERROR(SUM(IF($E22 &gt;autoThreshold, auto), hatch * SUM($H22:$K22), cargo * SUM($M22:$P22),hatch * SUM( $S22:$V22), cargo * SUM($X22:$AA22), rocket23 * SUM($J22:$K22, $O22:$P22, $U22:$V22, $Z22:$AA22), IF($AD22 &gt; climbThreshold, climb), IF($AC22 &gt; assistThreshold, $AC22 * assist), $AH22 * penalty, dropHatch * $AI22, tippedBroke * SUM($AE22:$AF22),  IF( $E22 &lt; noAutoThreshold, noAuto), IF($C22 &lt; doesNothingThreshold, doesNothing, IF($AD22 &gt;1.45, 2) )), "h")</f>
        <v>10.222222222222221</v>
      </c>
      <c r="AL22">
        <f>SUM(hHatch * SUM($H22:$K22), hHatch * SUM($S22:$V22), hRocket23 * SUM($J22:$K22), hRocket23 * SUM($U22:$V22), hSandstorm * SUM($H22:$K22), hPenalty * $AH22, hDropHatch * $AI22,hTippedBroke * SUM($AE22:$AF22), IF($E22 &lt; hNoAutoThreshold, hNoAuto), IF($AG22 &gt; hFloorHatchThreshold, hFloorHatch))</f>
        <v>0.33333333333333348</v>
      </c>
      <c r="AM22">
        <f>SUM(cCargo * SUM($M22:$P22), cCargo *SUM( $X22:$AA22), cRocket23 * SUM($O22:$P22, $Z22:$AA22),cSandstorm * SUM($M22:$P22), cPenalty * $AH22, cTippedBroke * SUM($AE22:$AF22), IF($E22 &lt; cNoAutoThreshold, cNoAuto, 0))</f>
        <v>2.9722222222222219</v>
      </c>
      <c r="AN22">
        <f t="shared" si="0"/>
        <v>10.444444444444445</v>
      </c>
      <c r="AP22" t="s">
        <v>280</v>
      </c>
      <c r="AQ22">
        <v>1</v>
      </c>
      <c r="AS22" t="s">
        <v>268</v>
      </c>
      <c r="AT22">
        <v>2</v>
      </c>
      <c r="AV22" t="s">
        <v>367</v>
      </c>
      <c r="AW22">
        <v>0</v>
      </c>
      <c r="AY22" t="s">
        <v>368</v>
      </c>
      <c r="AZ22">
        <v>1</v>
      </c>
    </row>
    <row r="23" spans="1:52" ht="15.75" thickBot="1">
      <c r="A23">
        <v>2634</v>
      </c>
      <c r="B23" t="s">
        <v>448</v>
      </c>
      <c r="C23">
        <f>PRODUCT($E23,3)+PRODUCT(SUM($H23:$K23),2)+PRODUCT(SUM($M23:$P23),3)+PRODUCT(SUM($S23:$V23),2)+PRODUCT(SUM($X23:$AA23), 3)+IF($AC23 &gt; 2, PRODUCT(SUM($AC23, -1),6), PRODUCT($AC23,3)) + IF($AD23 &gt; 2, PRODUCT(SUM($AD23, -1),6), PRODUCT($AD23,3)) + PRODUCT($AH23, -1)</f>
        <v>0</v>
      </c>
      <c r="D23">
        <f>PRODUCT(SUM($H23:$I23), 2) + PRODUCT(SUM($M23:$N23),3) + PRODUCT(SUM($S23:$T23), 2) + PRODUCT(SUM($X23:$Y23), 3)</f>
        <v>0</v>
      </c>
      <c r="E23">
        <f>IF( COUNTIF('Raw Data'!$A$3:$A$2927,$A23)=0,0,SUMIF('Raw Data'!$A$3:$A$2927, $A23,'Raw Data'!D$3:D$2927) / COUNTIF('Raw Data'!$A$3:$A$2927,$A23))</f>
        <v>0</v>
      </c>
      <c r="F23">
        <f t="array" ref="F23">MAX(IF('Raw Data'!$A$3:$A$927=$A23, 'Raw Data'!$O$3:$O$927))</f>
        <v>0</v>
      </c>
      <c r="G23">
        <f t="array" ref="G23">MAX(IF('Raw Data'!$A$3:$A$927=$A23, 'Raw Data'!$I$3:$I$927))</f>
        <v>0</v>
      </c>
      <c r="H23">
        <f>IF( COUNTIF('Raw Data'!$A$3:$A$2927,$A23)=0,0,SUMIF('Raw Data'!$A$3:$A$2927, $A23,'Raw Data'!E$3:E$2927) / COUNTIF('Raw Data'!$A$3:$A$2927,$A23))</f>
        <v>0</v>
      </c>
      <c r="I23">
        <f>IF( COUNTIF('Raw Data'!$A$3:$A$2927,$A23)=0,0,SUMIF('Raw Data'!$A$3:$A$2927, $A23,'Raw Data'!F$3:F$2927) / COUNTIF('Raw Data'!$A$3:$A$2927,$A23))</f>
        <v>0</v>
      </c>
      <c r="J23">
        <f>IF( COUNTIF('Raw Data'!$A$3:$A$2927,$A23)=0,0,SUMIF('Raw Data'!$A$3:$A$2927, $A23,'Raw Data'!G$3:G$2927) / COUNTIF('Raw Data'!$A$3:$A$2927,$A23))</f>
        <v>0</v>
      </c>
      <c r="K23">
        <f>IF( COUNTIF('Raw Data'!$A$3:$A$2927,$A23)=0,0,SUMIF('Raw Data'!$A$3:$A$2927, $A23,'Raw Data'!H$3:H$2927) / COUNTIF('Raw Data'!$A$3:$A$2927,$A23))</f>
        <v>0</v>
      </c>
      <c r="L23">
        <f t="array" ref="L23">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 t="array" ref="Q23">MAX(IF('Raw Data'!$A$3:$A$927=$A23, 'Raw Data'!$Z$3:$Z$927))</f>
        <v>0</v>
      </c>
      <c r="R23">
        <f t="array" ref="R23">MAX(IF('Raw Data'!$A$3:$A$927=$A23, 'Raw Data'!$T$3:$T$927))</f>
        <v>0</v>
      </c>
      <c r="S23" s="118">
        <f>IF( COUNTIF('Raw Data'!$A$3:$A$2927,$A23)=0,0,SUMIF('Raw Data'!$A$3:$A$2927, $A23,'Raw Data'!P$3:P$2927) / COUNTIF('Raw Data'!$A$3:$A$2927,$A23))</f>
        <v>0</v>
      </c>
      <c r="T23">
        <f>IF( COUNTIF('Raw Data'!$A$3:$A$2927,$A23)=0,0,SUMIF('Raw Data'!$A$3:$A$2927, $A23,'Raw Data'!Q$3:Q$2927) / COUNTIF('Raw Data'!$A$3:$A$2927,$A23))</f>
        <v>0</v>
      </c>
      <c r="U23">
        <f>IF( COUNTIF('Raw Data'!$A$3:$A$2927,$A23)=0,0,SUMIF('Raw Data'!$A$3:$A$2927, $A23,'Raw Data'!R$3:R$2927) / COUNTIF('Raw Data'!$A$3:$A$2927,$A23))</f>
        <v>0</v>
      </c>
      <c r="V23">
        <f>IF( COUNTIF('Raw Data'!$A$3:$A$2927,$A23)=0,0,SUMIF('Raw Data'!$A$3:$A$2927, $A23,'Raw Data'!S$3:S$2927) / COUNTIF('Raw Data'!$A$3:$A$2927,$A23))</f>
        <v>0</v>
      </c>
      <c r="W23">
        <f t="array" ref="W23">MAX(IF('Raw Data'!$A$3:$A$927=$A23, 'Raw Data'!$Y$3:$Y$927))</f>
        <v>0</v>
      </c>
      <c r="X23">
        <f>IF( COUNTIF('Raw Data'!$A$3:$A$2927,$A23)=0,0,SUMIF('Raw Data'!$A$3:$A$2927, $A23,'Raw Data'!U$3:U$2927) / COUNTIF('Raw Data'!$A$3:$A$2927,$A23))</f>
        <v>0</v>
      </c>
      <c r="Y23">
        <f>IF( COUNTIF('Raw Data'!$A$3:$A$2927,$A23)=0,0,SUMIF('Raw Data'!$A$3:$A$2927, $A23,'Raw Data'!V$3:V$2927) / COUNTIF('Raw Data'!$A$3:$A$2927,$A23))</f>
        <v>0</v>
      </c>
      <c r="Z23">
        <f>IF( COUNTIF('Raw Data'!$A$3:$A$2927,$A23)=0,0,SUMIF('Raw Data'!$A$3:$A$2927, $A23,'Raw Data'!W$3:W$2927) / COUNTIF('Raw Data'!$A$3:$A$2927,$A23))</f>
        <v>0</v>
      </c>
      <c r="AA23">
        <f>IF( COUNTIF('Raw Data'!$A$3:$A$2927,$A23)=0,0,SUMIF('Raw Data'!$A$3:$A$2927, $A23,'Raw Data'!X$3:X$2927) / COUNTIF('Raw Data'!$A$3:$A$2927,$A23))</f>
        <v>0</v>
      </c>
      <c r="AB23">
        <f>IF( COUNTIF('Raw Data'!$A$3:$A$2927,$A23)=0,0,SUMIF('Raw Data'!$A$3:$A$2927, $A23,'Raw Data'!AA$3:AA$2927) / COUNTIF('Raw Data'!$A$3:$A$2927,$A23))</f>
        <v>0</v>
      </c>
      <c r="AC23">
        <f>IF( COUNTIF('Raw Data'!$A$3:$A$2927,$A23)=0,0,SUMIF('Raw Data'!$A$3:$A$2927, $A23,'Raw Data'!AB$3:AB$2927) / COUNTIF('Raw Data'!$A$3:$A$2927,$A23))</f>
        <v>0</v>
      </c>
      <c r="AD23">
        <f>IF( COUNTIF('Raw Data'!$A$3:$A$2927,$A23)=0,0,SUMIF('Raw Data'!$A$3:$A$2927, $A23,'Raw Data'!AC$3:AC$2927) / COUNTIF('Raw Data'!$A$3:$A$2927,$A23))</f>
        <v>0</v>
      </c>
      <c r="AE23" s="117">
        <f>IF( COUNTIF('Raw Data'!$A$3:$A$2927,$A23)=0,0,SUMIF('Raw Data'!$A$3:$A$2927, $A23,'Raw Data'!AD$3:AD$2927) / COUNTIF('Raw Data'!$A$3:$A$2927,$A23))</f>
        <v>0</v>
      </c>
      <c r="AF23">
        <f>IF( COUNTIF('Raw Data'!$A$3:$A$2927,$A23)=0,0,SUMIF('Raw Data'!$A$3:$A$2927, $A23,'Raw Data'!AE$3:AE$2927) / COUNTIF('Raw Data'!$A$3:$A$2927,$A23))</f>
        <v>0</v>
      </c>
      <c r="AG23">
        <f>IF( COUNTIF('Raw Data'!$A$3:$A$2927,$A23)=0,0,SUMIF('Raw Data'!$A$3:$A$2927, $A23,'Raw Data'!AF$3:AF$2927) / COUNTIF('Raw Data'!$A$3:$A$2927,$A23))</f>
        <v>0</v>
      </c>
      <c r="AH23">
        <f>IF( COUNTIF('Raw Data'!$A$3:$A$2927,$A23)=0,0,SUMIF('Raw Data'!$A$3:$A$2927, $A23,'Raw Data'!AG$3:AG$2927) / COUNTIF('Raw Data'!$A$3:$A$2927,$A23))</f>
        <v>0</v>
      </c>
      <c r="AI23">
        <f>IF( COUNTIF('Raw Data'!$A$3:$A$2927,$A23)=0,0,SUMIF('Raw Data'!$A$3:$A$2927, $A23,'Raw Data'!AH$3:AH$2927) / COUNTIF('Raw Data'!$A$3:$A$2927,$A23))</f>
        <v>0</v>
      </c>
      <c r="AJ23" s="116">
        <f>COUNTIF('Raw Data'!A$3:A$2927, $A23)</f>
        <v>0</v>
      </c>
      <c r="AK23">
        <f>IFERROR(SUM(IF($E23 &gt;autoThreshold, auto), hatch * SUM($H23:$K23), cargo * SUM($M23:$P23),hatch * SUM( $S23:$V23), cargo * SUM($X23:$AA23), rocket23 * SUM($J23:$K23, $O23:$P23, $U23:$V23, $Z23:$AA23), IF($AD23 &gt; climbThreshold, climb), IF($AC23 &gt; assistThreshold, $AC23 * assist), $AH23 * penalty, dropHatch * $AI23, tippedBroke * SUM($AE23:$AF23),  IF( $E23 &lt; noAutoThreshold, noAuto), IF($C23 &lt; doesNothingThreshold, doesNothing, IF($AD23 &gt;1.45, 2) )), "h")</f>
        <v>-21</v>
      </c>
      <c r="AL23">
        <f>SUM(hHatch * SUM($H23:$K23), hHatch * SUM($S23:$V23), hRocket23 * SUM($J23:$K23), hRocket23 * SUM($U23:$V23), hSandstorm * SUM($H23:$K23), hPenalty * $AH23, hDropHatch * $AI23,hTippedBroke * SUM($AE23:$AF23), IF($E23 &lt; hNoAutoThreshold, hNoAuto), IF($AG23 &gt; hFloorHatchThreshold, hFloorHatch))</f>
        <v>-1.5</v>
      </c>
      <c r="AM23">
        <f>SUM(cCargo * SUM($M23:$P23), cCargo *SUM( $X23:$AA23), cRocket23 * SUM($O23:$P23, $Z23:$AA23),cSandstorm * SUM($M23:$P23), cPenalty * $AH23, cTippedBroke * SUM($AE23:$AF23), IF($E23 &lt; cNoAutoThreshold, cNoAuto, 0))</f>
        <v>-1</v>
      </c>
      <c r="AN23">
        <f t="shared" si="0"/>
        <v>-21</v>
      </c>
      <c r="AP23" t="s">
        <v>258</v>
      </c>
      <c r="AQ23">
        <v>-0.5</v>
      </c>
      <c r="AS23" t="s">
        <v>269</v>
      </c>
      <c r="AT23">
        <v>0.5</v>
      </c>
      <c r="AY23" t="s">
        <v>369</v>
      </c>
      <c r="AZ23">
        <v>-0.5</v>
      </c>
    </row>
    <row r="24" spans="1:52" ht="15.75" thickBot="1">
      <c r="A24">
        <v>2706</v>
      </c>
      <c r="B24" t="s">
        <v>421</v>
      </c>
      <c r="C24">
        <f>PRODUCT($E24,3)+PRODUCT(SUM($H24:$K24),2)+PRODUCT(SUM($M24:$P24),3)+PRODUCT(SUM($S24:$V24),2)+PRODUCT(SUM($X24:$AA24), 3)+IF($AC24 &gt; 2, PRODUCT(SUM($AC24, -1),6), PRODUCT($AC24,3)) + IF($AD24 &gt; 2, PRODUCT(SUM($AD24, -1),6), PRODUCT($AD24,3)) + PRODUCT($AH24, -1)</f>
        <v>13.363636363636363</v>
      </c>
      <c r="D24">
        <f>PRODUCT(SUM($H24:$I24), 2) + PRODUCT(SUM($M24:$N24),3) + PRODUCT(SUM($S24:$T24), 2) + PRODUCT(SUM($X24:$Y24), 3)</f>
        <v>6.7272727272727266</v>
      </c>
      <c r="E24">
        <f>IF( COUNTIF('Raw Data'!$A$3:$A$2927,$A24)=0,0,SUMIF('Raw Data'!$A$3:$A$2927, $A24,'Raw Data'!D$3:D$2927) / COUNTIF('Raw Data'!$A$3:$A$2927,$A24))</f>
        <v>1</v>
      </c>
      <c r="F24">
        <f t="array" ref="F24">MAX(IF('Raw Data'!$A$3:$A$927=$A24, 'Raw Data'!$O$3:$O$927))</f>
        <v>1</v>
      </c>
      <c r="G24">
        <f t="array" ref="G24">MAX(IF('Raw Data'!$A$3:$A$927=$A24, 'Raw Data'!$I$3:$I$927))</f>
        <v>1</v>
      </c>
      <c r="H24">
        <f>IF( COUNTIF('Raw Data'!$A$3:$A$2927,$A24)=0,0,SUMIF('Raw Data'!$A$3:$A$2927, $A24,'Raw Data'!E$3:E$2927) / COUNTIF('Raw Data'!$A$3:$A$2927,$A24))</f>
        <v>0.45454545454545453</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 t="array" ref="L24">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 t="array" ref="Q24">MAX(IF('Raw Data'!$A$3:$A$927=$A24, 'Raw Data'!$Z$3:$Z$927))</f>
        <v>6</v>
      </c>
      <c r="R24">
        <f t="array" ref="R24">MAX(IF('Raw Data'!$A$3:$A$927=$A24, 'Raw Data'!$T$3:$T$927))</f>
        <v>4</v>
      </c>
      <c r="S24" s="118">
        <f>IF( COUNTIF('Raw Data'!$A$3:$A$2927,$A24)=0,0,SUMIF('Raw Data'!$A$3:$A$2927, $A24,'Raw Data'!P$3:P$2927) / COUNTIF('Raw Data'!$A$3:$A$2927,$A24))</f>
        <v>0.27272727272727271</v>
      </c>
      <c r="T24">
        <f>IF( COUNTIF('Raw Data'!$A$3:$A$2927,$A24)=0,0,SUMIF('Raw Data'!$A$3:$A$2927, $A24,'Raw Data'!Q$3:Q$2927) / COUNTIF('Raw Data'!$A$3:$A$2927,$A24))</f>
        <v>0.45454545454545453</v>
      </c>
      <c r="U24">
        <f>IF( COUNTIF('Raw Data'!$A$3:$A$2927,$A24)=0,0,SUMIF('Raw Data'!$A$3:$A$2927, $A24,'Raw Data'!R$3:R$2927) / COUNTIF('Raw Data'!$A$3:$A$2927,$A24))</f>
        <v>0.18181818181818182</v>
      </c>
      <c r="V24">
        <f>IF( COUNTIF('Raw Data'!$A$3:$A$2927,$A24)=0,0,SUMIF('Raw Data'!$A$3:$A$2927, $A24,'Raw Data'!S$3:S$2927) / COUNTIF('Raw Data'!$A$3:$A$2927,$A24))</f>
        <v>0.54545454545454541</v>
      </c>
      <c r="W24">
        <f t="array" ref="W24">MAX(IF('Raw Data'!$A$3:$A$927=$A24, 'Raw Data'!$Y$3:$Y$927))</f>
        <v>5</v>
      </c>
      <c r="X24">
        <f>IF( COUNTIF('Raw Data'!$A$3:$A$2927,$A24)=0,0,SUMIF('Raw Data'!$A$3:$A$2927, $A24,'Raw Data'!U$3:U$2927) / COUNTIF('Raw Data'!$A$3:$A$2927,$A24))</f>
        <v>1.1818181818181819</v>
      </c>
      <c r="Y24">
        <f>IF( COUNTIF('Raw Data'!$A$3:$A$2927,$A24)=0,0,SUMIF('Raw Data'!$A$3:$A$2927, $A24,'Raw Data'!V$3:V$2927) / COUNTIF('Raw Data'!$A$3:$A$2927,$A24))</f>
        <v>0.27272727272727271</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7.7272727272727275</v>
      </c>
      <c r="AC24">
        <f>IF( COUNTIF('Raw Data'!$A$3:$A$2927,$A24)=0,0,SUMIF('Raw Data'!$A$3:$A$2927, $A24,'Raw Data'!AB$3:AB$2927) / COUNTIF('Raw Data'!$A$3:$A$2927,$A24))</f>
        <v>0</v>
      </c>
      <c r="AD24">
        <f>IF( COUNTIF('Raw Data'!$A$3:$A$2927,$A24)=0,0,SUMIF('Raw Data'!$A$3:$A$2927, $A24,'Raw Data'!AC$3:AC$2927) / COUNTIF('Raw Data'!$A$3:$A$2927,$A24))</f>
        <v>0.72727272727272729</v>
      </c>
      <c r="AE24" s="117">
        <f>IF( COUNTIF('Raw Data'!$A$3:$A$2927,$A24)=0,0,SUMIF('Raw Data'!$A$3:$A$2927, $A24,'Raw Data'!AD$3:AD$2927) / COUNTIF('Raw Data'!$A$3:$A$2927,$A24))</f>
        <v>0</v>
      </c>
      <c r="AF24">
        <f>IF( COUNTIF('Raw Data'!$A$3:$A$2927,$A24)=0,0,SUMIF('Raw Data'!$A$3:$A$2927, $A24,'Raw Data'!AE$3:AE$2927) / COUNTIF('Raw Data'!$A$3:$A$2927,$A24))</f>
        <v>9.0909090909090912E-2</v>
      </c>
      <c r="AG24">
        <f>IF( COUNTIF('Raw Data'!$A$3:$A$2927,$A24)=0,0,SUMIF('Raw Data'!$A$3:$A$2927, $A24,'Raw Data'!AF$3:AF$2927) / COUNTIF('Raw Data'!$A$3:$A$2927,$A24))</f>
        <v>0</v>
      </c>
      <c r="AH24">
        <f>IF( COUNTIF('Raw Data'!$A$3:$A$2927,$A24)=0,0,SUMIF('Raw Data'!$A$3:$A$2927, $A24,'Raw Data'!AG$3:AG$2927) / COUNTIF('Raw Data'!$A$3:$A$2927,$A24))</f>
        <v>0</v>
      </c>
      <c r="AI24">
        <f>IF( COUNTIF('Raw Data'!$A$3:$A$2927,$A24)=0,0,SUMIF('Raw Data'!$A$3:$A$2927, $A24,'Raw Data'!AH$3:AH$2927) / COUNTIF('Raw Data'!$A$3:$A$2927,$A24))</f>
        <v>0.18181818181818182</v>
      </c>
      <c r="AJ24" s="116">
        <f>COUNTIF('Raw Data'!A$3:A$2927, $A24)</f>
        <v>11</v>
      </c>
      <c r="AK24">
        <f>IFERROR(SUM(IF($E24 &gt;autoThreshold, auto), hatch * SUM($H24:$K24), cargo * SUM($M24:$P24),hatch * SUM( $S24:$V24), cargo * SUM($X24:$AA24), rocket23 * SUM($J24:$K24, $O24:$P24, $U24:$V24, $Z24:$AA24), IF($AD24 &gt; climbThreshold, climb), IF($AC24 &gt; assistThreshold, $AC24 * assist), $AH24 * penalty, dropHatch * $AI24, tippedBroke * SUM($AE24:$AF24),  IF( $E24 &lt; noAutoThreshold, noAuto), IF($C24 &lt; doesNothingThreshold, doesNothing, IF($AD24 &gt;1.45, 2) )), "h")</f>
        <v>2.6872727272727275</v>
      </c>
      <c r="AL24">
        <f>SUM(hHatch * SUM($H24:$K24), hHatch * SUM($S24:$V24), hRocket23 * SUM($J24:$K24), hRocket23 * SUM($U24:$V24), hSandstorm * SUM($H24:$K24), hPenalty * $AH24, hDropHatch * $AI24,hTippedBroke * SUM($AE24:$AF24), IF($E24 &lt; hNoAutoThreshold, hNoAuto), IF($AG24 &gt; hFloorHatchThreshold, hFloorHatch))</f>
        <v>1.9545454545454544</v>
      </c>
      <c r="AM24">
        <f>SUM(cCargo * SUM($M24:$P24), cCargo *SUM( $X24:$AA24), cRocket23 * SUM($O24:$P24, $Z24:$AA24),cSandstorm * SUM($M24:$P24), cPenalty * $AH24, cTippedBroke * SUM($AE24:$AF24), IF($E24 &lt; cNoAutoThreshold, cNoAuto, 0))</f>
        <v>1.2727272727272727</v>
      </c>
      <c r="AN24">
        <f t="shared" si="0"/>
        <v>2.3236363636363637</v>
      </c>
      <c r="AP24" t="s">
        <v>264</v>
      </c>
      <c r="AQ24">
        <v>-2</v>
      </c>
      <c r="AS24" t="s">
        <v>370</v>
      </c>
      <c r="AT24">
        <v>-20</v>
      </c>
      <c r="AY24" t="s">
        <v>371</v>
      </c>
      <c r="AZ24">
        <v>-2</v>
      </c>
    </row>
    <row r="25" spans="1:52" ht="15.75" thickBot="1">
      <c r="A25">
        <v>2708</v>
      </c>
      <c r="B25" t="s">
        <v>202</v>
      </c>
      <c r="C25">
        <f>PRODUCT($E25,3)+PRODUCT(SUM($H25:$K25),2)+PRODUCT(SUM($M25:$P25),3)+PRODUCT(SUM($S25:$V25),2)+PRODUCT(SUM($X25:$AA25), 3)+IF($AC25 &gt; 2, PRODUCT(SUM($AC25, -1),6), PRODUCT($AC25,3)) + IF($AD25 &gt; 2, PRODUCT(SUM($AD25, -1),6), PRODUCT($AD25,3)) + PRODUCT($AH25, -1)</f>
        <v>4.625</v>
      </c>
      <c r="D25">
        <f>PRODUCT(SUM($H25:$I25), 2) + PRODUCT(SUM($M25:$N25),3) + PRODUCT(SUM($S25:$T25), 2) + PRODUCT(SUM($X25:$Y25), 3)</f>
        <v>1.875</v>
      </c>
      <c r="E25">
        <f>IF( COUNTIF('Raw Data'!$A$3:$A$2927,$A25)=0,0,SUMIF('Raw Data'!$A$3:$A$2927, $A25,'Raw Data'!D$3:D$2927) / COUNTIF('Raw Data'!$A$3:$A$2927,$A25))</f>
        <v>1.25</v>
      </c>
      <c r="F25">
        <f t="array" ref="F25">MAX(IF('Raw Data'!$A$3:$A$927=$A25, 'Raw Data'!$O$3:$O$927))</f>
        <v>0</v>
      </c>
      <c r="G25">
        <f t="array" ref="G25">MAX(IF('Raw Data'!$A$3:$A$927=$A25, 'Raw Data'!$I$3:$I$927))</f>
        <v>0</v>
      </c>
      <c r="H25">
        <f>IF( COUNTIF('Raw Data'!$A$3:$A$2927,$A25)=0,0,SUMIF('Raw Data'!$A$3:$A$2927, $A25,'Raw Data'!E$3:E$2927) / COUNTIF('Raw Data'!$A$3:$A$2927,$A25))</f>
        <v>0</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 t="array" ref="L25">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 t="array" ref="Q25">MAX(IF('Raw Data'!$A$3:$A$927=$A25, 'Raw Data'!$Z$3:$Z$927))</f>
        <v>2</v>
      </c>
      <c r="R25">
        <f t="array" ref="R25">MAX(IF('Raw Data'!$A$3:$A$927=$A25, 'Raw Data'!$T$3:$T$927))</f>
        <v>1</v>
      </c>
      <c r="S25" s="118">
        <f>IF( COUNTIF('Raw Data'!$A$3:$A$2927,$A25)=0,0,SUMIF('Raw Data'!$A$3:$A$2927, $A25,'Raw Data'!P$3:P$2927) / COUNTIF('Raw Data'!$A$3:$A$2927,$A25))</f>
        <v>0</v>
      </c>
      <c r="T25">
        <f>IF( COUNTIF('Raw Data'!$A$3:$A$2927,$A25)=0,0,SUMIF('Raw Data'!$A$3:$A$2927, $A25,'Raw Data'!Q$3:Q$2927) / COUNTIF('Raw Data'!$A$3:$A$2927,$A25))</f>
        <v>0</v>
      </c>
      <c r="U25">
        <f>IF( COUNTIF('Raw Data'!$A$3:$A$2927,$A25)=0,0,SUMIF('Raw Data'!$A$3:$A$2927, $A25,'Raw Data'!R$3:R$2927) / COUNTIF('Raw Data'!$A$3:$A$2927,$A25))</f>
        <v>0</v>
      </c>
      <c r="V25">
        <f>IF( COUNTIF('Raw Data'!$A$3:$A$2927,$A25)=0,0,SUMIF('Raw Data'!$A$3:$A$2927, $A25,'Raw Data'!S$3:S$2927) / COUNTIF('Raw Data'!$A$3:$A$2927,$A25))</f>
        <v>0.125</v>
      </c>
      <c r="W25">
        <f t="array" ref="W25">MAX(IF('Raw Data'!$A$3:$A$927=$A25, 'Raw Data'!$Y$3:$Y$927))</f>
        <v>2</v>
      </c>
      <c r="X25">
        <f>IF( COUNTIF('Raw Data'!$A$3:$A$2927,$A25)=0,0,SUMIF('Raw Data'!$A$3:$A$2927, $A25,'Raw Data'!U$3:U$2927) / COUNTIF('Raw Data'!$A$3:$A$2927,$A25))</f>
        <v>0.5</v>
      </c>
      <c r="Y25">
        <f>IF( COUNTIF('Raw Data'!$A$3:$A$2927,$A25)=0,0,SUMIF('Raw Data'!$A$3:$A$2927, $A25,'Raw Data'!V$3:V$2927) / COUNTIF('Raw Data'!$A$3:$A$2927,$A25))</f>
        <v>0.125</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15</v>
      </c>
      <c r="AC25">
        <f>IF( COUNTIF('Raw Data'!$A$3:$A$2927,$A25)=0,0,SUMIF('Raw Data'!$A$3:$A$2927, $A25,'Raw Data'!AB$3:AB$2927) / COUNTIF('Raw Data'!$A$3:$A$2927,$A25))</f>
        <v>0</v>
      </c>
      <c r="AD25">
        <f>IF( COUNTIF('Raw Data'!$A$3:$A$2927,$A25)=0,0,SUMIF('Raw Data'!$A$3:$A$2927, $A25,'Raw Data'!AC$3:AC$2927) / COUNTIF('Raw Data'!$A$3:$A$2927,$A25))</f>
        <v>0.75</v>
      </c>
      <c r="AE25" s="117">
        <f>IF( COUNTIF('Raw Data'!$A$3:$A$2927,$A25)=0,0,SUMIF('Raw Data'!$A$3:$A$2927, $A25,'Raw Data'!AD$3:AD$2927) / COUNTIF('Raw Data'!$A$3:$A$2927,$A25))</f>
        <v>0</v>
      </c>
      <c r="AF25">
        <f>IF( COUNTIF('Raw Data'!$A$3:$A$2927,$A25)=0,0,SUMIF('Raw Data'!$A$3:$A$2927, $A25,'Raw Data'!AE$3:AE$2927) / COUNTIF('Raw Data'!$A$3:$A$2927,$A25))</f>
        <v>0.125</v>
      </c>
      <c r="AG25">
        <f>IF( COUNTIF('Raw Data'!$A$3:$A$2927,$A25)=0,0,SUMIF('Raw Data'!$A$3:$A$2927, $A25,'Raw Data'!AF$3:AF$2927) / COUNTIF('Raw Data'!$A$3:$A$2927,$A25))</f>
        <v>0</v>
      </c>
      <c r="AH25">
        <f>IF( COUNTIF('Raw Data'!$A$3:$A$2927,$A25)=0,0,SUMIF('Raw Data'!$A$3:$A$2927, $A25,'Raw Data'!AG$3:AG$2927) / COUNTIF('Raw Data'!$A$3:$A$2927,$A25))</f>
        <v>3.5</v>
      </c>
      <c r="AI25">
        <f>IF( COUNTIF('Raw Data'!$A$3:$A$2927,$A25)=0,0,SUMIF('Raw Data'!$A$3:$A$2927, $A25,'Raw Data'!AH$3:AH$2927) / COUNTIF('Raw Data'!$A$3:$A$2927,$A25))</f>
        <v>0.5</v>
      </c>
      <c r="AJ25" s="116">
        <f>COUNTIF('Raw Data'!A$3:A$2927, $A25)</f>
        <v>8</v>
      </c>
      <c r="AK25">
        <f>IFERROR(SUM(IF($E25 &gt;autoThreshold, auto), hatch * SUM($H25:$K25), cargo * SUM($M25:$P25),hatch * SUM( $S25:$V25), cargo * SUM($X25:$AA25), rocket23 * SUM($J25:$K25, $O25:$P25, $U25:$V25, $Z25:$AA25), IF($AD25 &gt; climbThreshold, climb), IF($AC25 &gt; assistThreshold, $AC25 * assist), $AH25 * penalty, dropHatch * $AI25, tippedBroke * SUM($AE25:$AF25),  IF( $E25 &lt; noAutoThreshold, noAuto), IF($C25 &lt; doesNothingThreshold, doesNothing, IF($AD25 &gt;1.45, 2) )), "h")</f>
        <v>-22.4</v>
      </c>
      <c r="AL25">
        <f>SUM(hHatch * SUM($H25:$K25), hHatch * SUM($S25:$V25), hRocket23 * SUM($J25:$K25), hRocket23 * SUM($U25:$V25), hSandstorm * SUM($H25:$K25), hPenalty * $AH25, hDropHatch * $AI25,hTippedBroke * SUM($AE25:$AF25), IF($E25 &lt; hNoAutoThreshold, hNoAuto), IF($AG25 &gt; hFloorHatchThreshold, hFloorHatch))</f>
        <v>-2.8125</v>
      </c>
      <c r="AM25">
        <f>SUM(cCargo * SUM($M25:$P25), cCargo *SUM( $X25:$AA25), cRocket23 * SUM($O25:$P25, $Z25:$AA25),cSandstorm * SUM($M25:$P25), cPenalty * $AH25, cTippedBroke * SUM($AE25:$AF25), IF($E25 &lt; cNoAutoThreshold, cNoAuto, 0))</f>
        <v>-0.78</v>
      </c>
      <c r="AN25">
        <f t="shared" si="0"/>
        <v>-22.462499999999999</v>
      </c>
      <c r="AP25" t="s">
        <v>283</v>
      </c>
      <c r="AQ25">
        <v>-2</v>
      </c>
      <c r="AS25" t="s">
        <v>372</v>
      </c>
      <c r="AT25">
        <v>0</v>
      </c>
      <c r="AY25" t="s">
        <v>373</v>
      </c>
      <c r="AZ25">
        <v>-2</v>
      </c>
    </row>
    <row r="26" spans="1:52" ht="15.75" thickBot="1">
      <c r="A26">
        <v>2771</v>
      </c>
      <c r="B26" t="s">
        <v>449</v>
      </c>
      <c r="C26">
        <f>PRODUCT($E26,3)+PRODUCT(SUM($H26:$K26),2)+PRODUCT(SUM($M26:$P26),3)+PRODUCT(SUM($S26:$V26),2)+PRODUCT(SUM($X26:$AA26), 3)+IF($AC26 &gt; 2, PRODUCT(SUM($AC26, -1),6), PRODUCT($AC26,3)) + IF($AD26 &gt; 2, PRODUCT(SUM($AD26, -1),6), PRODUCT($AD26,3)) + PRODUCT($AH26, -1)</f>
        <v>0</v>
      </c>
      <c r="D26">
        <f>PRODUCT(SUM($H26:$I26), 2) + PRODUCT(SUM($M26:$N26),3) + PRODUCT(SUM($S26:$T26), 2) + PRODUCT(SUM($X26:$Y26), 3)</f>
        <v>0</v>
      </c>
      <c r="E26">
        <f>IF( COUNTIF('Raw Data'!$A$3:$A$2927,$A26)=0,0,SUMIF('Raw Data'!$A$3:$A$2927, $A26,'Raw Data'!D$3:D$2927) / COUNTIF('Raw Data'!$A$3:$A$2927,$A26))</f>
        <v>0</v>
      </c>
      <c r="F26">
        <f t="array" ref="F26">MAX(IF('Raw Data'!$A$3:$A$927=$A26, 'Raw Data'!$O$3:$O$927))</f>
        <v>0</v>
      </c>
      <c r="G26">
        <f t="array" ref="G26">MAX(IF('Raw Data'!$A$3:$A$927=$A26, 'Raw Data'!$I$3:$I$927))</f>
        <v>0</v>
      </c>
      <c r="H26">
        <f>IF( COUNTIF('Raw Data'!$A$3:$A$2927,$A26)=0,0,SUMIF('Raw Data'!$A$3:$A$2927, $A26,'Raw Data'!E$3:E$2927) / COUNTIF('Raw Data'!$A$3:$A$2927,$A26))</f>
        <v>0</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 t="array" ref="L26">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 t="array" ref="Q26">MAX(IF('Raw Data'!$A$3:$A$927=$A26, 'Raw Data'!$Z$3:$Z$927))</f>
        <v>0</v>
      </c>
      <c r="R26">
        <f t="array" ref="R26">MAX(IF('Raw Data'!$A$3:$A$927=$A26, 'Raw Data'!$T$3:$T$927))</f>
        <v>0</v>
      </c>
      <c r="S26" s="118">
        <f>IF( COUNTIF('Raw Data'!$A$3:$A$2927,$A26)=0,0,SUMIF('Raw Data'!$A$3:$A$2927, $A26,'Raw Data'!P$3:P$2927) / COUNTIF('Raw Data'!$A$3:$A$2927,$A26))</f>
        <v>0</v>
      </c>
      <c r="T26">
        <f>IF( COUNTIF('Raw Data'!$A$3:$A$2927,$A26)=0,0,SUMIF('Raw Data'!$A$3:$A$2927, $A26,'Raw Data'!Q$3:Q$2927) / COUNTIF('Raw Data'!$A$3:$A$2927,$A26))</f>
        <v>0</v>
      </c>
      <c r="U26">
        <f>IF( COUNTIF('Raw Data'!$A$3:$A$2927,$A26)=0,0,SUMIF('Raw Data'!$A$3:$A$2927, $A26,'Raw Data'!R$3:R$2927) / COUNTIF('Raw Data'!$A$3:$A$2927,$A26))</f>
        <v>0</v>
      </c>
      <c r="V26">
        <f>IF( COUNTIF('Raw Data'!$A$3:$A$2927,$A26)=0,0,SUMIF('Raw Data'!$A$3:$A$2927, $A26,'Raw Data'!S$3:S$2927) / COUNTIF('Raw Data'!$A$3:$A$2927,$A26))</f>
        <v>0</v>
      </c>
      <c r="W26">
        <f t="array" ref="W26">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v>
      </c>
      <c r="AC26">
        <f>IF( COUNTIF('Raw Data'!$A$3:$A$2927,$A26)=0,0,SUMIF('Raw Data'!$A$3:$A$2927, $A26,'Raw Data'!AB$3:AB$2927) / COUNTIF('Raw Data'!$A$3:$A$2927,$A26))</f>
        <v>0</v>
      </c>
      <c r="AD26">
        <f>IF( COUNTIF('Raw Data'!$A$3:$A$2927,$A26)=0,0,SUMIF('Raw Data'!$A$3:$A$2927, $A26,'Raw Data'!AC$3:AC$2927) / COUNTIF('Raw Data'!$A$3:$A$2927,$A26))</f>
        <v>0</v>
      </c>
      <c r="AE26" s="117">
        <f>IF( COUNTIF('Raw Data'!$A$3:$A$2927,$A26)=0,0,SUMIF('Raw Data'!$A$3:$A$2927, $A26,'Raw Data'!AD$3:AD$2927) / COUNTIF('Raw Data'!$A$3:$A$2927,$A26))</f>
        <v>0</v>
      </c>
      <c r="AF26">
        <f>IF( COUNTIF('Raw Data'!$A$3:$A$2927,$A26)=0,0,SUMIF('Raw Data'!$A$3:$A$2927, $A26,'Raw Data'!AE$3:AE$2927) / COUNTIF('Raw Data'!$A$3:$A$2927,$A26))</f>
        <v>0</v>
      </c>
      <c r="AG26">
        <f>IF( COUNTIF('Raw Data'!$A$3:$A$2927,$A26)=0,0,SUMIF('Raw Data'!$A$3:$A$2927, $A26,'Raw Data'!AF$3:AF$2927) / COUNTIF('Raw Data'!$A$3:$A$2927,$A26))</f>
        <v>0</v>
      </c>
      <c r="AH26">
        <f>IF( COUNTIF('Raw Data'!$A$3:$A$2927,$A26)=0,0,SUMIF('Raw Data'!$A$3:$A$2927, $A26,'Raw Data'!AG$3:AG$2927) / COUNTIF('Raw Data'!$A$3:$A$2927,$A26))</f>
        <v>0</v>
      </c>
      <c r="AI26">
        <f>IF( COUNTIF('Raw Data'!$A$3:$A$2927,$A26)=0,0,SUMIF('Raw Data'!$A$3:$A$2927, $A26,'Raw Data'!AH$3:AH$2927) / COUNTIF('Raw Data'!$A$3:$A$2927,$A26))</f>
        <v>0</v>
      </c>
      <c r="AJ26" s="116">
        <f>COUNTIF('Raw Data'!A$3:A$2927, $A26)</f>
        <v>0</v>
      </c>
      <c r="AK26">
        <f>IFERROR(SUM(IF($E26 &gt;autoThreshold, auto), hatch * SUM($H26:$K26), cargo * SUM($M26:$P26),hatch * SUM( $S26:$V26), cargo * SUM($X26:$AA26), rocket23 * SUM($J26:$K26, $O26:$P26, $U26:$V26, $Z26:$AA26), IF($AD26 &gt; climbThreshold, climb), IF($AC26 &gt; assistThreshold, $AC26 * assist), $AH26 * penalty, dropHatch * $AI26, tippedBroke * SUM($AE26:$AF26),  IF( $E26 &lt; noAutoThreshold, noAuto), IF($C26 &lt; doesNothingThreshold, doesNothing, IF($AD26 &gt;1.45, 2) )), "h")</f>
        <v>-21</v>
      </c>
      <c r="AL26">
        <f>SUM(hHatch * SUM($H26:$K26), hHatch * SUM($S26:$V26), hRocket23 * SUM($J26:$K26), hRocket23 * SUM($U26:$V26), hSandstorm * SUM($H26:$K26), hPenalty * $AH26, hDropHatch * $AI26,hTippedBroke * SUM($AE26:$AF26), IF($E26 &lt; hNoAutoThreshold, hNoAuto), IF($AG26 &gt; hFloorHatchThreshold, hFloorHatch))</f>
        <v>-1.5</v>
      </c>
      <c r="AM26">
        <f>SUM(cCargo * SUM($M26:$P26), cCargo *SUM( $X26:$AA26), cRocket23 * SUM($O26:$P26, $Z26:$AA26),cSandstorm * SUM($M26:$P26), cPenalty * $AH26, cTippedBroke * SUM($AE26:$AF26), IF($E26 &lt; cNoAutoThreshold, cNoAuto, 0))</f>
        <v>-1</v>
      </c>
      <c r="AN26">
        <f t="shared" si="0"/>
        <v>-21</v>
      </c>
      <c r="AP26" t="s">
        <v>265</v>
      </c>
      <c r="AQ26">
        <v>-1</v>
      </c>
      <c r="AY26" t="s">
        <v>374</v>
      </c>
      <c r="AZ26">
        <v>-1</v>
      </c>
    </row>
    <row r="27" spans="1:52" ht="15.75" thickBot="1">
      <c r="A27">
        <v>2852</v>
      </c>
      <c r="B27" t="s">
        <v>203</v>
      </c>
      <c r="C27">
        <f>PRODUCT($E27,3)+PRODUCT(SUM($H27:$K27),2)+PRODUCT(SUM($M27:$P27),3)+PRODUCT(SUM($S27:$V27),2)+PRODUCT(SUM($X27:$AA27), 3)+IF($AC27 &gt; 2, PRODUCT(SUM($AC27, -1),6), PRODUCT($AC27,3)) + IF($AD27 &gt; 2, PRODUCT(SUM($AD27, -1),6), PRODUCT($AD27,3)) + PRODUCT($AH27, -1)</f>
        <v>9.2857142857142847</v>
      </c>
      <c r="D27">
        <f>PRODUCT(SUM($H27:$I27), 2) + PRODUCT(SUM($M27:$N27),3) + PRODUCT(SUM($S27:$T27), 2) + PRODUCT(SUM($X27:$Y27), 3)</f>
        <v>3.8571428571428568</v>
      </c>
      <c r="E27">
        <f>IF( COUNTIF('Raw Data'!$A$3:$A$2927,$A27)=0,0,SUMIF('Raw Data'!$A$3:$A$2927, $A27,'Raw Data'!D$3:D$2927) / COUNTIF('Raw Data'!$A$3:$A$2927,$A27))</f>
        <v>1.8571428571428572</v>
      </c>
      <c r="F27">
        <f t="array" ref="F27">MAX(IF('Raw Data'!$A$3:$A$927=$A27, 'Raw Data'!$O$3:$O$927))</f>
        <v>1</v>
      </c>
      <c r="G27">
        <f t="array" ref="G27">MAX(IF('Raw Data'!$A$3:$A$927=$A27, 'Raw Data'!$I$3:$I$927))</f>
        <v>1</v>
      </c>
      <c r="H27">
        <f>IF( COUNTIF('Raw Data'!$A$3:$A$2927,$A27)=0,0,SUMIF('Raw Data'!$A$3:$A$2927, $A27,'Raw Data'!E$3:E$2927) / COUNTIF('Raw Data'!$A$3:$A$2927,$A27))</f>
        <v>0</v>
      </c>
      <c r="I27">
        <f>IF( COUNTIF('Raw Data'!$A$3:$A$2927,$A27)=0,0,SUMIF('Raw Data'!$A$3:$A$2927, $A27,'Raw Data'!F$3:F$2927) / COUNTIF('Raw Data'!$A$3:$A$2927,$A27))</f>
        <v>0.14285714285714285</v>
      </c>
      <c r="J27">
        <f>IF( COUNTIF('Raw Data'!$A$3:$A$2927,$A27)=0,0,SUMIF('Raw Data'!$A$3:$A$2927, $A27,'Raw Data'!G$3:G$2927) / COUNTIF('Raw Data'!$A$3:$A$2927,$A27))</f>
        <v>0</v>
      </c>
      <c r="K27">
        <f>IF( COUNTIF('Raw Data'!$A$3:$A$2927,$A27)=0,0,SUMIF('Raw Data'!$A$3:$A$2927, $A27,'Raw Data'!H$3:H$2927) / COUNTIF('Raw Data'!$A$3:$A$2927,$A27))</f>
        <v>0</v>
      </c>
      <c r="L27">
        <f t="array" ref="L27">MAX(IF('Raw Data'!$A$3:$A$927=$A27, 'Raw Data'!$N$3:$N$927))</f>
        <v>0</v>
      </c>
      <c r="M27">
        <f>IF( COUNTIF('Raw Data'!$A$3:$A$2927,$A27)=0,0,SUMIF('Raw Data'!$A$3:$A$2927, $A27,'Raw Data'!J$3:J$2927) / COUNTIF('Raw Data'!$A$3:$A$2927,$A27))</f>
        <v>0</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 t="array" ref="Q27">MAX(IF('Raw Data'!$A$3:$A$927=$A27, 'Raw Data'!$Z$3:$Z$927))</f>
        <v>6</v>
      </c>
      <c r="R27">
        <f t="array" ref="R27">MAX(IF('Raw Data'!$A$3:$A$927=$A27, 'Raw Data'!$T$3:$T$927))</f>
        <v>6</v>
      </c>
      <c r="S27" s="118">
        <f>IF( COUNTIF('Raw Data'!$A$3:$A$2927,$A27)=0,0,SUMIF('Raw Data'!$A$3:$A$2927, $A27,'Raw Data'!P$3:P$2927) / COUNTIF('Raw Data'!$A$3:$A$2927,$A27))</f>
        <v>0.5714285714285714</v>
      </c>
      <c r="T27">
        <f>IF( COUNTIF('Raw Data'!$A$3:$A$2927,$A27)=0,0,SUMIF('Raw Data'!$A$3:$A$2927, $A27,'Raw Data'!Q$3:Q$2927) / COUNTIF('Raw Data'!$A$3:$A$2927,$A27))</f>
        <v>1</v>
      </c>
      <c r="U27">
        <f>IF( COUNTIF('Raw Data'!$A$3:$A$2927,$A27)=0,0,SUMIF('Raw Data'!$A$3:$A$2927, $A27,'Raw Data'!R$3:R$2927) / COUNTIF('Raw Data'!$A$3:$A$2927,$A27))</f>
        <v>0.7142857142857143</v>
      </c>
      <c r="V27">
        <f>IF( COUNTIF('Raw Data'!$A$3:$A$2927,$A27)=0,0,SUMIF('Raw Data'!$A$3:$A$2927, $A27,'Raw Data'!S$3:S$2927) / COUNTIF('Raw Data'!$A$3:$A$2927,$A27))</f>
        <v>0.14285714285714285</v>
      </c>
      <c r="W27">
        <f t="array" ref="W27">MAX(IF('Raw Data'!$A$3:$A$927=$A27, 'Raw Data'!$Y$3:$Y$927))</f>
        <v>1</v>
      </c>
      <c r="X27">
        <f>IF( COUNTIF('Raw Data'!$A$3:$A$2927,$A27)=0,0,SUMIF('Raw Data'!$A$3:$A$2927, $A27,'Raw Data'!U$3:U$2927) / COUNTIF('Raw Data'!$A$3:$A$2927,$A27))</f>
        <v>0.14285714285714285</v>
      </c>
      <c r="Y27">
        <f>IF( COUNTIF('Raw Data'!$A$3:$A$2927,$A27)=0,0,SUMIF('Raw Data'!$A$3:$A$2927, $A27,'Raw Data'!V$3:V$2927) / COUNTIF('Raw Data'!$A$3:$A$2927,$A27))</f>
        <v>0</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5.7142857142857144</v>
      </c>
      <c r="AC27">
        <f>IF( COUNTIF('Raw Data'!$A$3:$A$2927,$A27)=0,0,SUMIF('Raw Data'!$A$3:$A$2927, $A27,'Raw Data'!AB$3:AB$2927) / COUNTIF('Raw Data'!$A$3:$A$2927,$A27))</f>
        <v>0</v>
      </c>
      <c r="AD27">
        <f>IF( COUNTIF('Raw Data'!$A$3:$A$2927,$A27)=0,0,SUMIF('Raw Data'!$A$3:$A$2927, $A27,'Raw Data'!AC$3:AC$2927) / COUNTIF('Raw Data'!$A$3:$A$2927,$A27))</f>
        <v>0.7142857142857143</v>
      </c>
      <c r="AE27" s="117">
        <f>IF( COUNTIF('Raw Data'!$A$3:$A$2927,$A27)=0,0,SUMIF('Raw Data'!$A$3:$A$2927, $A27,'Raw Data'!AD$3:AD$2927) / COUNTIF('Raw Data'!$A$3:$A$2927,$A27))</f>
        <v>0</v>
      </c>
      <c r="AF27">
        <f>IF( COUNTIF('Raw Data'!$A$3:$A$2927,$A27)=0,0,SUMIF('Raw Data'!$A$3:$A$2927, $A27,'Raw Data'!AE$3:AE$2927) / COUNTIF('Raw Data'!$A$3:$A$2927,$A27))</f>
        <v>0</v>
      </c>
      <c r="AG27">
        <f>IF( COUNTIF('Raw Data'!$A$3:$A$2927,$A27)=0,0,SUMIF('Raw Data'!$A$3:$A$2927, $A27,'Raw Data'!AF$3:AF$2927) / COUNTIF('Raw Data'!$A$3:$A$2927,$A27))</f>
        <v>0</v>
      </c>
      <c r="AH27">
        <f>IF( COUNTIF('Raw Data'!$A$3:$A$2927,$A27)=0,0,SUMIF('Raw Data'!$A$3:$A$2927, $A27,'Raw Data'!AG$3:AG$2927) / COUNTIF('Raw Data'!$A$3:$A$2927,$A27))</f>
        <v>4</v>
      </c>
      <c r="AI27">
        <f>IF( COUNTIF('Raw Data'!$A$3:$A$2927,$A27)=0,0,SUMIF('Raw Data'!$A$3:$A$2927, $A27,'Raw Data'!AH$3:AH$2927) / COUNTIF('Raw Data'!$A$3:$A$2927,$A27))</f>
        <v>0.5714285714285714</v>
      </c>
      <c r="AJ27" s="116">
        <f>COUNTIF('Raw Data'!A$3:A$2927, $A27)</f>
        <v>7</v>
      </c>
      <c r="AK27">
        <f>IFERROR(SUM(IF($E27 &gt;autoThreshold, auto), hatch * SUM($H27:$K27), cargo * SUM($M27:$P27),hatch * SUM( $S27:$V27), cargo * SUM($X27:$AA27), rocket23 * SUM($J27:$K27, $O27:$P27, $U27:$V27, $Z27:$AA27), IF($AD27 &gt; climbThreshold, climb), IF($AC27 &gt; assistThreshold, $AC27 * assist), $AH27 * penalty, dropHatch * $AI27, tippedBroke * SUM($AE27:$AF27),  IF( $E27 &lt; noAutoThreshold, noAuto), IF($C27 &lt; doesNothingThreshold, doesNothing, IF($AD27 &gt;1.45, 2) )), "h")</f>
        <v>0.95142857142857151</v>
      </c>
      <c r="AL27">
        <f>SUM(hHatch * SUM($H27:$K27), hHatch * SUM($S27:$V27), hRocket23 * SUM($J27:$K27), hRocket23 * SUM($U27:$V27), hSandstorm * SUM($H27:$K27), hPenalty * $AH27, hDropHatch * $AI27,hTippedBroke * SUM($AE27:$AF27), IF($E27 &lt; hNoAutoThreshold, hNoAuto), IF($AG27 &gt; hFloorHatchThreshold, hFloorHatch))</f>
        <v>-7.1428571428571175E-2</v>
      </c>
      <c r="AM27">
        <f>SUM(cCargo * SUM($M27:$P27), cCargo *SUM( $X27:$AA27), cRocket23 * SUM($O27:$P27, $Z27:$AA27),cSandstorm * SUM($M27:$P27), cPenalty * $AH27, cTippedBroke * SUM($AE27:$AF27), IF($E27 &lt; cNoAutoThreshold, cNoAuto, 0))</f>
        <v>-1.1771428571428573</v>
      </c>
      <c r="AN27">
        <f t="shared" si="0"/>
        <v>0.52285714285714269</v>
      </c>
      <c r="AP27" t="s">
        <v>266</v>
      </c>
      <c r="AQ27">
        <v>1</v>
      </c>
      <c r="AY27" t="s">
        <v>375</v>
      </c>
      <c r="AZ27">
        <v>1</v>
      </c>
    </row>
    <row r="28" spans="1:52" ht="15.75" thickBot="1">
      <c r="A28" s="132">
        <v>2994</v>
      </c>
      <c r="B28" s="132" t="s">
        <v>204</v>
      </c>
      <c r="C28">
        <f>PRODUCT($E28,3)+PRODUCT(SUM($H28:$K28),2)+PRODUCT(SUM($M28:$P28),3)+PRODUCT(SUM($S28:$V28),2)+PRODUCT(SUM($X28:$AA28), 3)+IF($AC28 &gt; 2, PRODUCT(SUM($AC28, -1),6), PRODUCT($AC28,3)) + IF($AD28 &gt; 2, PRODUCT(SUM($AD28, -1),6), PRODUCT($AD28,3)) + PRODUCT($AH28, -1)</f>
        <v>13.799999999999999</v>
      </c>
      <c r="D28">
        <f>PRODUCT(SUM($H28:$I28), 2) + PRODUCT(SUM($M28:$N28),3) + PRODUCT(SUM($S28:$T28), 2) + PRODUCT(SUM($X28:$Y28), 3)</f>
        <v>4.1999999999999993</v>
      </c>
      <c r="E28">
        <f>IF( COUNTIF('Raw Data'!$A$3:$A$2927,$A28)=0,0,SUMIF('Raw Data'!$A$3:$A$2927, $A28,'Raw Data'!D$3:D$2927) / COUNTIF('Raw Data'!$A$3:$A$2927,$A28))</f>
        <v>1.7</v>
      </c>
      <c r="F28">
        <f t="array" ref="F28">MAX(IF('Raw Data'!$A$3:$A$927=$A28, 'Raw Data'!$O$3:$O$927))</f>
        <v>0</v>
      </c>
      <c r="G28">
        <f t="array" ref="G28">MAX(IF('Raw Data'!$A$3:$A$927=$A28, 'Raw Data'!$I$3:$I$927))</f>
        <v>0</v>
      </c>
      <c r="H28">
        <f>IF( COUNTIF('Raw Data'!$A$3:$A$2927,$A28)=0,0,SUMIF('Raw Data'!$A$3:$A$2927, $A28,'Raw Data'!E$3:E$2927) / COUNTIF('Raw Data'!$A$3:$A$2927,$A28))</f>
        <v>0</v>
      </c>
      <c r="I28">
        <f>IF( COUNTIF('Raw Data'!$A$3:$A$2927,$A28)=0,0,SUMIF('Raw Data'!$A$3:$A$2927, $A28,'Raw Data'!F$3:F$2927) / COUNTIF('Raw Data'!$A$3:$A$2927,$A28))</f>
        <v>0</v>
      </c>
      <c r="J28">
        <f>IF( COUNTIF('Raw Data'!$A$3:$A$2927,$A28)=0,0,SUMIF('Raw Data'!$A$3:$A$2927, $A28,'Raw Data'!G$3:G$2927) / COUNTIF('Raw Data'!$A$3:$A$2927,$A28))</f>
        <v>0</v>
      </c>
      <c r="K28">
        <f>IF( COUNTIF('Raw Data'!$A$3:$A$2927,$A28)=0,0,SUMIF('Raw Data'!$A$3:$A$2927, $A28,'Raw Data'!H$3:H$2927) / COUNTIF('Raw Data'!$A$3:$A$2927,$A28))</f>
        <v>0</v>
      </c>
      <c r="L28">
        <f t="array" ref="L28">MAX(IF('Raw Data'!$A$3:$A$927=$A28, 'Raw Data'!$N$3:$N$927))</f>
        <v>0</v>
      </c>
      <c r="M28">
        <f>IF( COUNTIF('Raw Data'!$A$3:$A$2927,$A28)=0,0,SUMIF('Raw Data'!$A$3:$A$2927, $A28,'Raw Data'!J$3:J$2927) / COUNTIF('Raw Data'!$A$3:$A$2927,$A28))</f>
        <v>0</v>
      </c>
      <c r="N28">
        <f>IF( COUNTIF('Raw Data'!$A$3:$A$2927,$A28)=0,0,SUMIF('Raw Data'!$A$3:$A$2927, $A28,'Raw Data'!K$3:K$2927) / COUNTIF('Raw Data'!$A$3:$A$2927,$A28))</f>
        <v>0</v>
      </c>
      <c r="O28">
        <f>IF( COUNTIF('Raw Data'!$A$3:$A$2927,$A28)=0,0,SUMIF('Raw Data'!$A$3:$A$2927, $A28,'Raw Data'!L$3:L$2927) / COUNTIF('Raw Data'!$A$3:$A$2927,$A28))</f>
        <v>0</v>
      </c>
      <c r="P28" s="58">
        <f>IF( COUNTIF('Raw Data'!$A$3:$A$2927,$A28)=0,0,SUMIF('Raw Data'!$A$3:$A$2927, $A28,'Raw Data'!M$3:M$2927) / COUNTIF('Raw Data'!$A$3:$A$2927,$A28))</f>
        <v>0</v>
      </c>
      <c r="Q28">
        <f t="array" ref="Q28">MAX(IF('Raw Data'!$A$3:$A$927=$A28, 'Raw Data'!$Z$3:$Z$927))</f>
        <v>4</v>
      </c>
      <c r="R28">
        <f t="array" ref="R28">MAX(IF('Raw Data'!$A$3:$A$927=$A28, 'Raw Data'!$T$3:$T$927))</f>
        <v>1</v>
      </c>
      <c r="S28" s="118">
        <f>IF( COUNTIF('Raw Data'!$A$3:$A$2927,$A28)=0,0,SUMIF('Raw Data'!$A$3:$A$2927, $A28,'Raw Data'!P$3:P$2927) / COUNTIF('Raw Data'!$A$3:$A$2927,$A28))</f>
        <v>0.3</v>
      </c>
      <c r="T28">
        <f>IF( COUNTIF('Raw Data'!$A$3:$A$2927,$A28)=0,0,SUMIF('Raw Data'!$A$3:$A$2927, $A28,'Raw Data'!Q$3:Q$2927) / COUNTIF('Raw Data'!$A$3:$A$2927,$A28))</f>
        <v>0</v>
      </c>
      <c r="U28">
        <f>IF( COUNTIF('Raw Data'!$A$3:$A$2927,$A28)=0,0,SUMIF('Raw Data'!$A$3:$A$2927, $A28,'Raw Data'!R$3:R$2927) / COUNTIF('Raw Data'!$A$3:$A$2927,$A28))</f>
        <v>0</v>
      </c>
      <c r="V28">
        <f>IF( COUNTIF('Raw Data'!$A$3:$A$2927,$A28)=0,0,SUMIF('Raw Data'!$A$3:$A$2927, $A28,'Raw Data'!S$3:S$2927) / COUNTIF('Raw Data'!$A$3:$A$2927,$A28))</f>
        <v>0</v>
      </c>
      <c r="W28">
        <f t="array" ref="W28">MAX(IF('Raw Data'!$A$3:$A$927=$A28, 'Raw Data'!$Y$3:$Y$927))</f>
        <v>4</v>
      </c>
      <c r="X28">
        <f>IF( COUNTIF('Raw Data'!$A$3:$A$2927,$A28)=0,0,SUMIF('Raw Data'!$A$3:$A$2927, $A28,'Raw Data'!U$3:U$2927) / COUNTIF('Raw Data'!$A$3:$A$2927,$A28))</f>
        <v>1.2</v>
      </c>
      <c r="Y28">
        <f>IF( COUNTIF('Raw Data'!$A$3:$A$2927,$A28)=0,0,SUMIF('Raw Data'!$A$3:$A$2927, $A28,'Raw Data'!V$3:V$2927) / COUNTIF('Raw Data'!$A$3:$A$2927,$A28))</f>
        <v>0</v>
      </c>
      <c r="Z28">
        <f>IF( COUNTIF('Raw Data'!$A$3:$A$2927,$A28)=0,0,SUMIF('Raw Data'!$A$3:$A$2927, $A28,'Raw Data'!W$3:W$2927) / COUNTIF('Raw Data'!$A$3:$A$2927,$A28))</f>
        <v>0</v>
      </c>
      <c r="AA28">
        <f>IF( COUNTIF('Raw Data'!$A$3:$A$2927,$A28)=0,0,SUMIF('Raw Data'!$A$3:$A$2927, $A28,'Raw Data'!X$3:X$2927) / COUNTIF('Raw Data'!$A$3:$A$2927,$A28))</f>
        <v>0</v>
      </c>
      <c r="AB28">
        <f>IF( COUNTIF('Raw Data'!$A$3:$A$2927,$A28)=0,0,SUMIF('Raw Data'!$A$3:$A$2927, $A28,'Raw Data'!AA$3:AA$2927) / COUNTIF('Raw Data'!$A$3:$A$2927,$A28))</f>
        <v>0</v>
      </c>
      <c r="AC28">
        <f>IF( COUNTIF('Raw Data'!$A$3:$A$2927,$A28)=0,0,SUMIF('Raw Data'!$A$3:$A$2927, $A28,'Raw Data'!AB$3:AB$2927) / COUNTIF('Raw Data'!$A$3:$A$2927,$A28))</f>
        <v>0</v>
      </c>
      <c r="AD28">
        <f>IF( COUNTIF('Raw Data'!$A$3:$A$2927,$A28)=0,0,SUMIF('Raw Data'!$A$3:$A$2927, $A28,'Raw Data'!AC$3:AC$2927) / COUNTIF('Raw Data'!$A$3:$A$2927,$A28))</f>
        <v>1.6</v>
      </c>
      <c r="AE28" s="117">
        <f>IF( COUNTIF('Raw Data'!$A$3:$A$2927,$A28)=0,0,SUMIF('Raw Data'!$A$3:$A$2927, $A28,'Raw Data'!AD$3:AD$2927) / COUNTIF('Raw Data'!$A$3:$A$2927,$A28))</f>
        <v>0.1</v>
      </c>
      <c r="AF28">
        <f>IF( COUNTIF('Raw Data'!$A$3:$A$2927,$A28)=0,0,SUMIF('Raw Data'!$A$3:$A$2927, $A28,'Raw Data'!AE$3:AE$2927) / COUNTIF('Raw Data'!$A$3:$A$2927,$A28))</f>
        <v>0.1</v>
      </c>
      <c r="AG28">
        <f>IF( COUNTIF('Raw Data'!$A$3:$A$2927,$A28)=0,0,SUMIF('Raw Data'!$A$3:$A$2927, $A28,'Raw Data'!AF$3:AF$2927) / COUNTIF('Raw Data'!$A$3:$A$2927,$A28))</f>
        <v>0</v>
      </c>
      <c r="AH28">
        <f>IF( COUNTIF('Raw Data'!$A$3:$A$2927,$A28)=0,0,SUMIF('Raw Data'!$A$3:$A$2927, $A28,'Raw Data'!AG$3:AG$2927) / COUNTIF('Raw Data'!$A$3:$A$2927,$A28))</f>
        <v>0.3</v>
      </c>
      <c r="AI28">
        <f>IF( COUNTIF('Raw Data'!$A$3:$A$2927,$A28)=0,0,SUMIF('Raw Data'!$A$3:$A$2927, $A28,'Raw Data'!AH$3:AH$2927) / COUNTIF('Raw Data'!$A$3:$A$2927,$A28))</f>
        <v>0.8</v>
      </c>
      <c r="AJ28" s="116">
        <f>COUNTIF('Raw Data'!A$3:A$2927, $A28)</f>
        <v>10</v>
      </c>
      <c r="AK28">
        <f>IFERROR(SUM(IF($E28 &gt;autoThreshold, auto), hatch * SUM($H28:$K28), cargo * SUM($M28:$P28),hatch * SUM( $S28:$V28), cargo * SUM($X28:$AA28), rocket23 * SUM($J28:$K28, $O28:$P28, $U28:$V28, $Z28:$AA28), IF($AD28 &gt; climbThreshold, climb), IF($AC28 &gt; assistThreshold, $AC28 * assist), $AH28 * penalty, dropHatch * $AI28, tippedBroke * SUM($AE28:$AF28),  IF( $E28 &lt; noAutoThreshold, noAuto), IF($C28 &lt; doesNothingThreshold, doesNothing, IF($AD28 &gt;1.45, 2) )), "h")</f>
        <v>1.9420000000000002</v>
      </c>
      <c r="AL28">
        <f>SUM(hHatch * SUM($H28:$K28), hHatch * SUM($S28:$V28), hRocket23 * SUM($J28:$K28), hRocket23 * SUM($U28:$V28), hSandstorm * SUM($H28:$K28), hPenalty * $AH28, hDropHatch * $AI28,hTippedBroke * SUM($AE28:$AF28), IF($E28 &lt; hNoAutoThreshold, hNoAuto), IF($AG28 &gt; hFloorHatchThreshold, hFloorHatch))</f>
        <v>-1.85</v>
      </c>
      <c r="AM28">
        <f>SUM(cCargo * SUM($M28:$P28), cCargo *SUM( $X28:$AA28), cRocket23 * SUM($O28:$P28, $Z28:$AA28),cSandstorm * SUM($M28:$P28), cPenalty * $AH28, cTippedBroke * SUM($AE28:$AF28), IF($E28 &lt; cNoAutoThreshold, cNoAuto, 0))</f>
        <v>0.70099999999999996</v>
      </c>
      <c r="AN28">
        <f t="shared" si="0"/>
        <v>3.9420000000000006</v>
      </c>
      <c r="AP28" t="s">
        <v>281</v>
      </c>
      <c r="AQ28">
        <v>-20</v>
      </c>
      <c r="AY28" t="s">
        <v>376</v>
      </c>
      <c r="AZ28">
        <v>-20</v>
      </c>
    </row>
    <row r="29" spans="1:52" ht="15.75" thickBot="1">
      <c r="A29">
        <v>3571</v>
      </c>
      <c r="B29" t="s">
        <v>205</v>
      </c>
      <c r="C29">
        <f>PRODUCT($E29,3)+PRODUCT(SUM($H29:$K29),2)+PRODUCT(SUM($M29:$P29),3)+PRODUCT(SUM($S29:$V29),2)+PRODUCT(SUM($X29:$AA29), 3)+IF($AC29 &gt; 2, PRODUCT(SUM($AC29, -1),6), PRODUCT($AC29,3)) + IF($AD29 &gt; 2, PRODUCT(SUM($AD29, -1),6), PRODUCT($AD29,3)) + PRODUCT($AH29, -1)</f>
        <v>5.25</v>
      </c>
      <c r="D29">
        <f>PRODUCT(SUM($H29:$I29), 2) + PRODUCT(SUM($M29:$N29),3) + PRODUCT(SUM($S29:$T29), 2) + PRODUCT(SUM($X29:$Y29), 3)</f>
        <v>0</v>
      </c>
      <c r="E29">
        <f>IF( COUNTIF('Raw Data'!$A$3:$A$2927,$A29)=0,0,SUMIF('Raw Data'!$A$3:$A$2927, $A29,'Raw Data'!D$3:D$2927) / COUNTIF('Raw Data'!$A$3:$A$2927,$A29))</f>
        <v>1.375</v>
      </c>
      <c r="F29">
        <f t="array" ref="F29">MAX(IF('Raw Data'!$A$3:$A$927=$A29, 'Raw Data'!$O$3:$O$927))</f>
        <v>0</v>
      </c>
      <c r="G29">
        <f t="array" ref="G29">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 t="array" ref="L29">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 t="array" ref="Q29">MAX(IF('Raw Data'!$A$3:$A$927=$A29, 'Raw Data'!$Z$3:$Z$927))</f>
        <v>0</v>
      </c>
      <c r="R29">
        <f t="array" ref="R29">MAX(IF('Raw Data'!$A$3:$A$927=$A29, 'Raw Data'!$T$3:$T$927))</f>
        <v>0</v>
      </c>
      <c r="S29" s="118">
        <f>IF( COUNTIF('Raw Data'!$A$3:$A$2927,$A29)=0,0,SUMIF('Raw Data'!$A$3:$A$2927, $A29,'Raw Data'!P$3:P$2927) / COUNTIF('Raw Data'!$A$3:$A$2927,$A29))</f>
        <v>0</v>
      </c>
      <c r="T29">
        <f>IF( COUNTIF('Raw Data'!$A$3:$A$2927,$A29)=0,0,SUMIF('Raw Data'!$A$3:$A$2927, $A29,'Raw Data'!Q$3:Q$2927) / COUNTIF('Raw Data'!$A$3:$A$2927,$A29))</f>
        <v>0</v>
      </c>
      <c r="U29">
        <f>IF( COUNTIF('Raw Data'!$A$3:$A$2927,$A29)=0,0,SUMIF('Raw Data'!$A$3:$A$2927, $A29,'Raw Data'!R$3:R$2927) / COUNTIF('Raw Data'!$A$3:$A$2927,$A29))</f>
        <v>0</v>
      </c>
      <c r="V29">
        <f>IF( COUNTIF('Raw Data'!$A$3:$A$2927,$A29)=0,0,SUMIF('Raw Data'!$A$3:$A$2927, $A29,'Raw Data'!S$3:S$2927) / COUNTIF('Raw Data'!$A$3:$A$2927,$A29))</f>
        <v>0</v>
      </c>
      <c r="W29">
        <f t="array" ref="W29">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7.5</v>
      </c>
      <c r="AC29">
        <f>IF( COUNTIF('Raw Data'!$A$3:$A$2927,$A29)=0,0,SUMIF('Raw Data'!$A$3:$A$2927, $A29,'Raw Data'!AB$3:AB$2927) / COUNTIF('Raw Data'!$A$3:$A$2927,$A29))</f>
        <v>0</v>
      </c>
      <c r="AD29">
        <f>IF( COUNTIF('Raw Data'!$A$3:$A$2927,$A29)=0,0,SUMIF('Raw Data'!$A$3:$A$2927, $A29,'Raw Data'!AC$3:AC$2927) / COUNTIF('Raw Data'!$A$3:$A$2927,$A29))</f>
        <v>0.5</v>
      </c>
      <c r="AE29" s="117">
        <f>IF( COUNTIF('Raw Data'!$A$3:$A$2927,$A29)=0,0,SUMIF('Raw Data'!$A$3:$A$2927, $A29,'Raw Data'!AD$3:AD$2927) / COUNTIF('Raw Data'!$A$3:$A$2927,$A29))</f>
        <v>0</v>
      </c>
      <c r="AF29">
        <f>IF( COUNTIF('Raw Data'!$A$3:$A$2927,$A29)=0,0,SUMIF('Raw Data'!$A$3:$A$2927, $A29,'Raw Data'!AE$3:AE$2927) / COUNTIF('Raw Data'!$A$3:$A$2927,$A29))</f>
        <v>0.5</v>
      </c>
      <c r="AG29">
        <f>IF( COUNTIF('Raw Data'!$A$3:$A$2927,$A29)=0,0,SUMIF('Raw Data'!$A$3:$A$2927, $A29,'Raw Data'!AF$3:AF$2927) / COUNTIF('Raw Data'!$A$3:$A$2927,$A29))</f>
        <v>0</v>
      </c>
      <c r="AH29">
        <f>IF( COUNTIF('Raw Data'!$A$3:$A$2927,$A29)=0,0,SUMIF('Raw Data'!$A$3:$A$2927, $A29,'Raw Data'!AG$3:AG$2927) / COUNTIF('Raw Data'!$A$3:$A$2927,$A29))</f>
        <v>0.375</v>
      </c>
      <c r="AI29">
        <f>IF( COUNTIF('Raw Data'!$A$3:$A$2927,$A29)=0,0,SUMIF('Raw Data'!$A$3:$A$2927, $A29,'Raw Data'!AH$3:AH$2927) / COUNTIF('Raw Data'!$A$3:$A$2927,$A29))</f>
        <v>0</v>
      </c>
      <c r="AJ29" s="116">
        <f>COUNTIF('Raw Data'!A$3:A$2927, $A29)</f>
        <v>8</v>
      </c>
      <c r="AK29">
        <f>IFERROR(SUM(IF($E29 &gt;autoThreshold, auto), hatch * SUM($H29:$K29), cargo * SUM($M29:$P29),hatch * SUM( $S29:$V29), cargo * SUM($X29:$AA29), rocket23 * SUM($J29:$K29, $O29:$P29, $U29:$V29, $Z29:$AA29), IF($AD29 &gt; climbThreshold, climb), IF($AC29 &gt; assistThreshold, $AC29 * assist), $AH29 * penalty, dropHatch * $AI29, tippedBroke * SUM($AE29:$AF29),  IF( $E29 &lt; noAutoThreshold, noAuto), IF($C29 &lt; doesNothingThreshold, doesNothing, IF($AD29 &gt;1.45, 2) )), "h")</f>
        <v>-1.1875</v>
      </c>
      <c r="AL29">
        <f>SUM(hHatch * SUM($H29:$K29), hHatch * SUM($S29:$V29), hRocket23 * SUM($J29:$K29), hRocket23 * SUM($U29:$V29), hSandstorm * SUM($H29:$K29), hPenalty * $AH29, hDropHatch * $AI29,hTippedBroke * SUM($AE29:$AF29), IF($E29 &lt; hNoAutoThreshold, hNoAuto), IF($AG29 &gt; hFloorHatchThreshold, hFloorHatch))</f>
        <v>-1.1875</v>
      </c>
      <c r="AM29">
        <f>SUM(cCargo * SUM($M29:$P29), cCargo *SUM( $X29:$AA29), cRocket23 * SUM($O29:$P29, $Z29:$AA29),cSandstorm * SUM($M29:$P29), cPenalty * $AH29, cTippedBroke * SUM($AE29:$AF29), IF($E29 &lt; cNoAutoThreshold, cNoAuto, 0))</f>
        <v>-1.12375</v>
      </c>
      <c r="AN29">
        <f t="shared" si="0"/>
        <v>-1.1875</v>
      </c>
      <c r="AP29" t="s">
        <v>282</v>
      </c>
      <c r="AQ29">
        <v>5</v>
      </c>
      <c r="AY29" t="s">
        <v>377</v>
      </c>
      <c r="AZ29">
        <v>5</v>
      </c>
    </row>
    <row r="30" spans="1:52" ht="15.75" thickBot="1">
      <c r="A30">
        <v>3655</v>
      </c>
      <c r="B30" t="s">
        <v>450</v>
      </c>
      <c r="C30">
        <f>PRODUCT($E30,3)+PRODUCT(SUM($H30:$K30),2)+PRODUCT(SUM($M30:$P30),3)+PRODUCT(SUM($S30:$V30),2)+PRODUCT(SUM($X30:$AA30), 3)+IF($AC30 &gt; 2, PRODUCT(SUM($AC30, -1),6), PRODUCT($AC30,3)) + IF($AD30 &gt; 2, PRODUCT(SUM($AD30, -1),6), PRODUCT($AD30,3)) + PRODUCT($AH30, -1)</f>
        <v>0</v>
      </c>
      <c r="D30">
        <f>PRODUCT(SUM($H30:$I30), 2) + PRODUCT(SUM($M30:$N30),3) + PRODUCT(SUM($S30:$T30), 2) + PRODUCT(SUM($X30:$Y30), 3)</f>
        <v>0</v>
      </c>
      <c r="E30">
        <f>IF( COUNTIF('Raw Data'!$A$3:$A$2927,$A30)=0,0,SUMIF('Raw Data'!$A$3:$A$2927, $A30,'Raw Data'!D$3:D$2927) / COUNTIF('Raw Data'!$A$3:$A$2927,$A30))</f>
        <v>0</v>
      </c>
      <c r="F30">
        <f t="array" ref="F30">MAX(IF('Raw Data'!$A$3:$A$927=$A30, 'Raw Data'!$O$3:$O$927))</f>
        <v>0</v>
      </c>
      <c r="G30">
        <f t="array" ref="G30">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 t="array" ref="L30">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 t="array" ref="Q30">MAX(IF('Raw Data'!$A$3:$A$927=$A30, 'Raw Data'!$Z$3:$Z$927))</f>
        <v>0</v>
      </c>
      <c r="R30">
        <f t="array" ref="R30">MAX(IF('Raw Data'!$A$3:$A$927=$A30, 'Raw Data'!$T$3:$T$927))</f>
        <v>0</v>
      </c>
      <c r="S30" s="118">
        <f>IF( COUNTIF('Raw Data'!$A$3:$A$2927,$A30)=0,0,SUMIF('Raw Data'!$A$3:$A$2927, $A30,'Raw Data'!P$3:P$2927) / COUNTIF('Raw Data'!$A$3:$A$2927,$A30))</f>
        <v>0</v>
      </c>
      <c r="T30">
        <f>IF( COUNTIF('Raw Data'!$A$3:$A$2927,$A30)=0,0,SUMIF('Raw Data'!$A$3:$A$2927, $A30,'Raw Data'!Q$3:Q$2927) / COUNTIF('Raw Data'!$A$3:$A$2927,$A30))</f>
        <v>0</v>
      </c>
      <c r="U30">
        <f>IF( COUNTIF('Raw Data'!$A$3:$A$2927,$A30)=0,0,SUMIF('Raw Data'!$A$3:$A$2927, $A30,'Raw Data'!R$3:R$2927) / COUNTIF('Raw Data'!$A$3:$A$2927,$A30))</f>
        <v>0</v>
      </c>
      <c r="V30">
        <f>IF( COUNTIF('Raw Data'!$A$3:$A$2927,$A30)=0,0,SUMIF('Raw Data'!$A$3:$A$2927, $A30,'Raw Data'!S$3:S$2927) / COUNTIF('Raw Data'!$A$3:$A$2927,$A30))</f>
        <v>0</v>
      </c>
      <c r="W30">
        <f t="array" ref="W30">MAX(IF('Raw Data'!$A$3:$A$927=$A30, 'Raw Data'!$Y$3:$Y$927))</f>
        <v>0</v>
      </c>
      <c r="X30">
        <f>IF( COUNTIF('Raw Data'!$A$3:$A$2927,$A30)=0,0,SUMIF('Raw Data'!$A$3:$A$2927, $A30,'Raw Data'!U$3:U$2927) / COUNTIF('Raw Data'!$A$3:$A$2927,$A30))</f>
        <v>0</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v>
      </c>
      <c r="AC30">
        <f>IF( COUNTIF('Raw Data'!$A$3:$A$2927,$A30)=0,0,SUMIF('Raw Data'!$A$3:$A$2927, $A30,'Raw Data'!AB$3:AB$2927) / COUNTIF('Raw Data'!$A$3:$A$2927,$A30))</f>
        <v>0</v>
      </c>
      <c r="AD30">
        <f>IF( COUNTIF('Raw Data'!$A$3:$A$2927,$A30)=0,0,SUMIF('Raw Data'!$A$3:$A$2927, $A30,'Raw Data'!AC$3:AC$2927) / COUNTIF('Raw Data'!$A$3:$A$2927,$A30))</f>
        <v>0</v>
      </c>
      <c r="AE30" s="117">
        <f>IF( COUNTIF('Raw Data'!$A$3:$A$2927,$A30)=0,0,SUMIF('Raw Data'!$A$3:$A$2927, $A30,'Raw Data'!AD$3:AD$2927) / COUNTIF('Raw Data'!$A$3:$A$2927,$A30))</f>
        <v>0</v>
      </c>
      <c r="AF30">
        <f>IF( COUNTIF('Raw Data'!$A$3:$A$2927,$A30)=0,0,SUMIF('Raw Data'!$A$3:$A$2927, $A30,'Raw Data'!AE$3:AE$2927) / COUNTIF('Raw Data'!$A$3:$A$2927,$A30))</f>
        <v>0</v>
      </c>
      <c r="AG30">
        <f>IF( COUNTIF('Raw Data'!$A$3:$A$2927,$A30)=0,0,SUMIF('Raw Data'!$A$3:$A$2927, $A30,'Raw Data'!AF$3:AF$2927) / COUNTIF('Raw Data'!$A$3:$A$2927,$A30))</f>
        <v>0</v>
      </c>
      <c r="AH30">
        <f>IF( COUNTIF('Raw Data'!$A$3:$A$2927,$A30)=0,0,SUMIF('Raw Data'!$A$3:$A$2927, $A30,'Raw Data'!AG$3:AG$2927) / COUNTIF('Raw Data'!$A$3:$A$2927,$A30))</f>
        <v>0</v>
      </c>
      <c r="AI30">
        <f>IF( COUNTIF('Raw Data'!$A$3:$A$2927,$A30)=0,0,SUMIF('Raw Data'!$A$3:$A$2927, $A30,'Raw Data'!AH$3:AH$2927) / COUNTIF('Raw Data'!$A$3:$A$2927,$A30))</f>
        <v>0</v>
      </c>
      <c r="AJ30" s="116">
        <f>COUNTIF('Raw Data'!A$3:A$2927, $A30)</f>
        <v>0</v>
      </c>
      <c r="AK30">
        <f>IFERROR(SUM(IF($E30 &gt;autoThreshold, auto), hatch * SUM($H30:$K30), cargo * SUM($M30:$P30),hatch * SUM( $S30:$V30), cargo * SUM($X30:$AA30), rocket23 * SUM($J30:$K30, $O30:$P30, $U30:$V30, $Z30:$AA30), IF($AD30 &gt; climbThreshold, climb), IF($AC30 &gt; assistThreshold, $AC30 * assist), $AH30 * penalty, dropHatch * $AI30, tippedBroke * SUM($AE30:$AF30),  IF( $E30 &lt; noAutoThreshold, noAuto), IF($C30 &lt; doesNothingThreshold, doesNothing, IF($AD30 &gt;1.45, 2) )), "h")</f>
        <v>-21</v>
      </c>
      <c r="AL30">
        <f>SUM(hHatch * SUM($H30:$K30), hHatch * SUM($S30:$V30), hRocket23 * SUM($J30:$K30), hRocket23 * SUM($U30:$V30), hSandstorm * SUM($H30:$K30), hPenalty * $AH30, hDropHatch * $AI30,hTippedBroke * SUM($AE30:$AF30), IF($E30 &lt; hNoAutoThreshold, hNoAuto), IF($AG30 &gt; hFloorHatchThreshold, hFloorHatch))</f>
        <v>-1.5</v>
      </c>
      <c r="AM30">
        <f>SUM(cCargo * SUM($M30:$P30), cCargo *SUM( $X30:$AA30), cRocket23 * SUM($O30:$P30, $Z30:$AA30),cSandstorm * SUM($M30:$P30), cPenalty * $AH30, cTippedBroke * SUM($AE30:$AF30), IF($E30 &lt; cNoAutoThreshold, cNoAuto, 0))</f>
        <v>-1</v>
      </c>
      <c r="AN30">
        <f t="shared" si="0"/>
        <v>-21</v>
      </c>
      <c r="AU30" t="s">
        <v>245</v>
      </c>
      <c r="AX30" t="s">
        <v>246</v>
      </c>
    </row>
    <row r="31" spans="1:52" ht="15.75" thickBot="1">
      <c r="A31">
        <v>4015</v>
      </c>
      <c r="B31" t="s">
        <v>206</v>
      </c>
      <c r="C31">
        <f>PRODUCT($E31,3)+PRODUCT(SUM($H31:$K31),2)+PRODUCT(SUM($M31:$P31),3)+PRODUCT(SUM($S31:$V31),2)+PRODUCT(SUM($X31:$AA31), 3)+IF($AC31 &gt; 2, PRODUCT(SUM($AC31, -1),6), PRODUCT($AC31,3)) + IF($AD31 &gt; 2, PRODUCT(SUM($AD31, -1),6), PRODUCT($AD31,3)) + PRODUCT($AH31, -1)</f>
        <v>9.3000000000000007</v>
      </c>
      <c r="D31">
        <f>PRODUCT(SUM($H31:$I31), 2) + PRODUCT(SUM($M31:$N31),3) + PRODUCT(SUM($S31:$T31), 2) + PRODUCT(SUM($X31:$Y31), 3)</f>
        <v>5.5000000000000009</v>
      </c>
      <c r="E31">
        <f>IF( COUNTIF('Raw Data'!$A$3:$A$2927,$A31)=0,0,SUMIF('Raw Data'!$A$3:$A$2927, $A31,'Raw Data'!D$3:D$2927) / COUNTIF('Raw Data'!$A$3:$A$2927,$A31))</f>
        <v>0.9</v>
      </c>
      <c r="F31">
        <f t="array" ref="F31">MAX(IF('Raw Data'!$A$3:$A$927=$A31, 'Raw Data'!$O$3:$O$927))</f>
        <v>1</v>
      </c>
      <c r="G31">
        <f t="array" ref="G31">MAX(IF('Raw Data'!$A$3:$A$927=$A31, 'Raw Data'!$I$3:$I$927))</f>
        <v>0</v>
      </c>
      <c r="H31">
        <f>IF( COUNTIF('Raw Data'!$A$3:$A$2927,$A31)=0,0,SUMIF('Raw Data'!$A$3:$A$2927, $A31,'Raw Data'!E$3:E$2927) / COUNTIF('Raw Data'!$A$3:$A$2927,$A31))</f>
        <v>0</v>
      </c>
      <c r="I31">
        <f>IF( COUNTIF('Raw Data'!$A$3:$A$2927,$A31)=0,0,SUMIF('Raw Data'!$A$3:$A$2927, $A31,'Raw Data'!F$3:F$2927) / COUNTIF('Raw Data'!$A$3:$A$2927,$A31))</f>
        <v>0</v>
      </c>
      <c r="J31">
        <f>IF( COUNTIF('Raw Data'!$A$3:$A$2927,$A31)=0,0,SUMIF('Raw Data'!$A$3:$A$2927, $A31,'Raw Data'!G$3:G$2927) / COUNTIF('Raw Data'!$A$3:$A$2927,$A31))</f>
        <v>0</v>
      </c>
      <c r="K31">
        <f>IF( COUNTIF('Raw Data'!$A$3:$A$2927,$A31)=0,0,SUMIF('Raw Data'!$A$3:$A$2927, $A31,'Raw Data'!H$3:H$2927) / COUNTIF('Raw Data'!$A$3:$A$2927,$A31))</f>
        <v>0</v>
      </c>
      <c r="L31">
        <f t="array" ref="L31">MAX(IF('Raw Data'!$A$3:$A$927=$A31, 'Raw Data'!$N$3:$N$927))</f>
        <v>1</v>
      </c>
      <c r="M31">
        <f>IF( COUNTIF('Raw Data'!$A$3:$A$2927,$A31)=0,0,SUMIF('Raw Data'!$A$3:$A$2927, $A31,'Raw Data'!J$3:J$2927) / COUNTIF('Raw Data'!$A$3:$A$2927,$A31))</f>
        <v>0.1</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 t="array" ref="Q31">MAX(IF('Raw Data'!$A$3:$A$927=$A31, 'Raw Data'!$Z$3:$Z$927))</f>
        <v>5</v>
      </c>
      <c r="R31">
        <f t="array" ref="R31">MAX(IF('Raw Data'!$A$3:$A$927=$A31, 'Raw Data'!$T$3:$T$927))</f>
        <v>2</v>
      </c>
      <c r="S31" s="118">
        <f>IF( COUNTIF('Raw Data'!$A$3:$A$2927,$A31)=0,0,SUMIF('Raw Data'!$A$3:$A$2927, $A31,'Raw Data'!P$3:P$2927) / COUNTIF('Raw Data'!$A$3:$A$2927,$A31))</f>
        <v>0</v>
      </c>
      <c r="T31">
        <f>IF( COUNTIF('Raw Data'!$A$3:$A$2927,$A31)=0,0,SUMIF('Raw Data'!$A$3:$A$2927, $A31,'Raw Data'!Q$3:Q$2927) / COUNTIF('Raw Data'!$A$3:$A$2927,$A31))</f>
        <v>0.2</v>
      </c>
      <c r="U31">
        <f>IF( COUNTIF('Raw Data'!$A$3:$A$2927,$A31)=0,0,SUMIF('Raw Data'!$A$3:$A$2927, $A31,'Raw Data'!R$3:R$2927) / COUNTIF('Raw Data'!$A$3:$A$2927,$A31))</f>
        <v>0.1</v>
      </c>
      <c r="V31">
        <f>IF( COUNTIF('Raw Data'!$A$3:$A$2927,$A31)=0,0,SUMIF('Raw Data'!$A$3:$A$2927, $A31,'Raw Data'!S$3:S$2927) / COUNTIF('Raw Data'!$A$3:$A$2927,$A31))</f>
        <v>0</v>
      </c>
      <c r="W31">
        <f t="array" ref="W31">MAX(IF('Raw Data'!$A$3:$A$927=$A31, 'Raw Data'!$Y$3:$Y$927))</f>
        <v>3</v>
      </c>
      <c r="X31">
        <f>IF( COUNTIF('Raw Data'!$A$3:$A$2927,$A31)=0,0,SUMIF('Raw Data'!$A$3:$A$2927, $A31,'Raw Data'!U$3:U$2927) / COUNTIF('Raw Data'!$A$3:$A$2927,$A31))</f>
        <v>1.3</v>
      </c>
      <c r="Y31">
        <f>IF( COUNTIF('Raw Data'!$A$3:$A$2927,$A31)=0,0,SUMIF('Raw Data'!$A$3:$A$2927, $A31,'Raw Data'!V$3:V$2927) / COUNTIF('Raw Data'!$A$3:$A$2927,$A31))</f>
        <v>0.3</v>
      </c>
      <c r="Z31">
        <f>IF( COUNTIF('Raw Data'!$A$3:$A$2927,$A31)=0,0,SUMIF('Raw Data'!$A$3:$A$2927, $A31,'Raw Data'!W$3:W$2927) / COUNTIF('Raw Data'!$A$3:$A$2927,$A31))</f>
        <v>0</v>
      </c>
      <c r="AA31">
        <f>IF( COUNTIF('Raw Data'!$A$3:$A$2927,$A31)=0,0,SUMIF('Raw Data'!$A$3:$A$2927, $A31,'Raw Data'!X$3:X$2927) / COUNTIF('Raw Data'!$A$3:$A$2927,$A31))</f>
        <v>0</v>
      </c>
      <c r="AB31">
        <f>IF( COUNTIF('Raw Data'!$A$3:$A$2927,$A31)=0,0,SUMIF('Raw Data'!$A$3:$A$2927, $A31,'Raw Data'!AA$3:AA$2927) / COUNTIF('Raw Data'!$A$3:$A$2927,$A31))</f>
        <v>3.8</v>
      </c>
      <c r="AC31">
        <f>IF( COUNTIF('Raw Data'!$A$3:$A$2927,$A31)=0,0,SUMIF('Raw Data'!$A$3:$A$2927, $A31,'Raw Data'!AB$3:AB$2927) / COUNTIF('Raw Data'!$A$3:$A$2927,$A31))</f>
        <v>0</v>
      </c>
      <c r="AD31">
        <f>IF( COUNTIF('Raw Data'!$A$3:$A$2927,$A31)=0,0,SUMIF('Raw Data'!$A$3:$A$2927, $A31,'Raw Data'!AC$3:AC$2927) / COUNTIF('Raw Data'!$A$3:$A$2927,$A31))</f>
        <v>0.5</v>
      </c>
      <c r="AE31" s="117">
        <f>IF( COUNTIF('Raw Data'!$A$3:$A$2927,$A31)=0,0,SUMIF('Raw Data'!$A$3:$A$2927, $A31,'Raw Data'!AD$3:AD$2927) / COUNTIF('Raw Data'!$A$3:$A$2927,$A31))</f>
        <v>0</v>
      </c>
      <c r="AF31">
        <f>IF( COUNTIF('Raw Data'!$A$3:$A$2927,$A31)=0,0,SUMIF('Raw Data'!$A$3:$A$2927, $A31,'Raw Data'!AE$3:AE$2927) / COUNTIF('Raw Data'!$A$3:$A$2927,$A31))</f>
        <v>0.3</v>
      </c>
      <c r="AG31">
        <f>IF( COUNTIF('Raw Data'!$A$3:$A$2927,$A31)=0,0,SUMIF('Raw Data'!$A$3:$A$2927, $A31,'Raw Data'!AF$3:AF$2927) / COUNTIF('Raw Data'!$A$3:$A$2927,$A31))</f>
        <v>0</v>
      </c>
      <c r="AH31">
        <f>IF( COUNTIF('Raw Data'!$A$3:$A$2927,$A31)=0,0,SUMIF('Raw Data'!$A$3:$A$2927, $A31,'Raw Data'!AG$3:AG$2927) / COUNTIF('Raw Data'!$A$3:$A$2927,$A31))</f>
        <v>0.6</v>
      </c>
      <c r="AI31">
        <f>IF( COUNTIF('Raw Data'!$A$3:$A$2927,$A31)=0,0,SUMIF('Raw Data'!$A$3:$A$2927, $A31,'Raw Data'!AH$3:AH$2927) / COUNTIF('Raw Data'!$A$3:$A$2927,$A31))</f>
        <v>0.2</v>
      </c>
      <c r="AJ31" s="116">
        <f>COUNTIF('Raw Data'!A$3:A$2927, $A31)</f>
        <v>10</v>
      </c>
      <c r="AK31">
        <f>IFERROR(SUM(IF($E31 &gt;autoThreshold, auto), hatch * SUM($H31:$K31), cargo * SUM($M31:$P31),hatch * SUM( $S31:$V31), cargo * SUM($X31:$AA31), rocket23 * SUM($J31:$K31, $O31:$P31, $U31:$V31, $Z31:$AA31), IF($AD31 &gt; climbThreshold, climb), IF($AC31 &gt; assistThreshold, $AC31 * assist), $AH31 * penalty, dropHatch * $AI31, tippedBroke * SUM($AE31:$AF31),  IF( $E31 &lt; noAutoThreshold, noAuto), IF($C31 &lt; doesNothingThreshold, doesNothing, IF($AD31 &gt;1.45, 2) )), "h")</f>
        <v>-0.82799999999999985</v>
      </c>
      <c r="AL31">
        <f>SUM(hHatch * SUM($H31:$K31), hHatch * SUM($S31:$V31), hRocket23 * SUM($J31:$K31), hRocket23 * SUM($U31:$V31), hSandstorm * SUM($H31:$K31), hPenalty * $AH31, hDropHatch * $AI31,hTippedBroke * SUM($AE31:$AF31), IF($E31 &lt; hNoAutoThreshold, hNoAuto), IF($AG31 &gt; hFloorHatchThreshold, hFloorHatch))</f>
        <v>-2.4500000000000002</v>
      </c>
      <c r="AM31">
        <f>SUM(cCargo * SUM($M31:$P31), cCargo *SUM( $X31:$AA31), cRocket23 * SUM($O31:$P31, $Z31:$AA31),cSandstorm * SUM($M31:$P31), cPenalty * $AH31, cTippedBroke * SUM($AE31:$AF31), IF($E31 &lt; cNoAutoThreshold, cNoAuto, 0))</f>
        <v>-7.2999999999999843E-2</v>
      </c>
      <c r="AN31">
        <f t="shared" si="0"/>
        <v>-0.87799999999999989</v>
      </c>
      <c r="AU31" t="s">
        <v>247</v>
      </c>
      <c r="AV31" t="s">
        <v>248</v>
      </c>
      <c r="AX31" t="s">
        <v>247</v>
      </c>
      <c r="AY31" t="s">
        <v>248</v>
      </c>
    </row>
    <row r="32" spans="1:52" ht="15.75" thickBot="1">
      <c r="A32">
        <v>4152</v>
      </c>
      <c r="B32" t="s">
        <v>207</v>
      </c>
      <c r="C32">
        <f>PRODUCT($E32,3)+PRODUCT(SUM($H32:$K32),2)+PRODUCT(SUM($M32:$P32),3)+PRODUCT(SUM($S32:$V32),2)+PRODUCT(SUM($X32:$AA32), 3)+IF($AC32 &gt; 2, PRODUCT(SUM($AC32, -1),6), PRODUCT($AC32,3)) + IF($AD32 &gt; 2, PRODUCT(SUM($AD32, -1),6), PRODUCT($AD32,3)) + PRODUCT($AH32, -1)</f>
        <v>19.8</v>
      </c>
      <c r="D32">
        <f>PRODUCT(SUM($H32:$I32), 2) + PRODUCT(SUM($M32:$N32),3) + PRODUCT(SUM($S32:$T32), 2) + PRODUCT(SUM($X32:$Y32), 3)</f>
        <v>9</v>
      </c>
      <c r="E32">
        <f>IF( COUNTIF('Raw Data'!$A$3:$A$2927,$A32)=0,0,SUMIF('Raw Data'!$A$3:$A$2927, $A32,'Raw Data'!D$3:D$2927) / COUNTIF('Raw Data'!$A$3:$A$2927,$A32))</f>
        <v>1.7</v>
      </c>
      <c r="F32">
        <f t="array" ref="F32">MAX(IF('Raw Data'!$A$3:$A$927=$A32, 'Raw Data'!$O$3:$O$927))</f>
        <v>1</v>
      </c>
      <c r="G32">
        <f t="array" ref="G32">MAX(IF('Raw Data'!$A$3:$A$927=$A32, 'Raw Data'!$I$3:$I$927))</f>
        <v>1</v>
      </c>
      <c r="H32">
        <f>IF( COUNTIF('Raw Data'!$A$3:$A$2927,$A32)=0,0,SUMIF('Raw Data'!$A$3:$A$2927, $A32,'Raw Data'!E$3:E$2927) / COUNTIF('Raw Data'!$A$3:$A$2927,$A32))</f>
        <v>0.5</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 t="array" ref="L32">MAX(IF('Raw Data'!$A$3:$A$927=$A32, 'Raw Data'!$N$3:$N$927))</f>
        <v>1</v>
      </c>
      <c r="M32">
        <f>IF( COUNTIF('Raw Data'!$A$3:$A$2927,$A32)=0,0,SUMIF('Raw Data'!$A$3:$A$2927, $A32,'Raw Data'!J$3:J$2927) / COUNTIF('Raw Data'!$A$3:$A$2927,$A32))</f>
        <v>0.1</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 t="array" ref="Q32">MAX(IF('Raw Data'!$A$3:$A$927=$A32, 'Raw Data'!$Z$3:$Z$927))</f>
        <v>6</v>
      </c>
      <c r="R32">
        <f t="array" ref="R32">MAX(IF('Raw Data'!$A$3:$A$927=$A32, 'Raw Data'!$T$3:$T$927))</f>
        <v>6</v>
      </c>
      <c r="S32" s="118">
        <f>IF( COUNTIF('Raw Data'!$A$3:$A$2927,$A32)=0,0,SUMIF('Raw Data'!$A$3:$A$2927, $A32,'Raw Data'!P$3:P$2927) / COUNTIF('Raw Data'!$A$3:$A$2927,$A32))</f>
        <v>1.5</v>
      </c>
      <c r="T32">
        <f>IF( COUNTIF('Raw Data'!$A$3:$A$2927,$A32)=0,0,SUMIF('Raw Data'!$A$3:$A$2927, $A32,'Raw Data'!Q$3:Q$2927) / COUNTIF('Raw Data'!$A$3:$A$2927,$A32))</f>
        <v>0.7</v>
      </c>
      <c r="U32">
        <f>IF( COUNTIF('Raw Data'!$A$3:$A$2927,$A32)=0,0,SUMIF('Raw Data'!$A$3:$A$2927, $A32,'Raw Data'!R$3:R$2927) / COUNTIF('Raw Data'!$A$3:$A$2927,$A32))</f>
        <v>0.4</v>
      </c>
      <c r="V32">
        <f>IF( COUNTIF('Raw Data'!$A$3:$A$2927,$A32)=0,0,SUMIF('Raw Data'!$A$3:$A$2927, $A32,'Raw Data'!S$3:S$2927) / COUNTIF('Raw Data'!$A$3:$A$2927,$A32))</f>
        <v>0.2</v>
      </c>
      <c r="W32">
        <f t="array" ref="W32">MAX(IF('Raw Data'!$A$3:$A$927=$A32, 'Raw Data'!$Y$3:$Y$927))</f>
        <v>2</v>
      </c>
      <c r="X32">
        <f>IF( COUNTIF('Raw Data'!$A$3:$A$2927,$A32)=0,0,SUMIF('Raw Data'!$A$3:$A$2927, $A32,'Raw Data'!U$3:U$2927) / COUNTIF('Raw Data'!$A$3:$A$2927,$A32))</f>
        <v>0.7</v>
      </c>
      <c r="Y32">
        <f>IF( COUNTIF('Raw Data'!$A$3:$A$2927,$A32)=0,0,SUMIF('Raw Data'!$A$3:$A$2927, $A32,'Raw Data'!V$3:V$2927) / COUNTIF('Raw Data'!$A$3:$A$2927,$A32))</f>
        <v>0.4</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0</v>
      </c>
      <c r="AC32">
        <f>IF( COUNTIF('Raw Data'!$A$3:$A$2927,$A32)=0,0,SUMIF('Raw Data'!$A$3:$A$2927, $A32,'Raw Data'!AB$3:AB$2927) / COUNTIF('Raw Data'!$A$3:$A$2927,$A32))</f>
        <v>0</v>
      </c>
      <c r="AD32">
        <f>IF( COUNTIF('Raw Data'!$A$3:$A$2927,$A32)=0,0,SUMIF('Raw Data'!$A$3:$A$2927, $A32,'Raw Data'!AC$3:AC$2927) / COUNTIF('Raw Data'!$A$3:$A$2927,$A32))</f>
        <v>1.6</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0.3</v>
      </c>
      <c r="AI32">
        <f>IF( COUNTIF('Raw Data'!$A$3:$A$2927,$A32)=0,0,SUMIF('Raw Data'!$A$3:$A$2927, $A32,'Raw Data'!AH$3:AH$2927) / COUNTIF('Raw Data'!$A$3:$A$2927,$A32))</f>
        <v>0.1</v>
      </c>
      <c r="AJ32" s="116">
        <f>COUNTIF('Raw Data'!A$3:A$2927, $A32)</f>
        <v>10</v>
      </c>
      <c r="AK32">
        <f>IFERROR(SUM(IF($E32 &gt;autoThreshold, auto), hatch * SUM($H32:$K32), cargo * SUM($M32:$P32),hatch * SUM( $S32:$V32), cargo * SUM($X32:$AA32), rocket23 * SUM($J32:$K32, $O32:$P32, $U32:$V32, $Z32:$AA32), IF($AD32 &gt; climbThreshold, climb), IF($AC32 &gt; assistThreshold, $AC32 * assist), $AH32 * penalty, dropHatch * $AI32, tippedBroke * SUM($AE32:$AF32),  IF( $E32 &lt; noAutoThreshold, noAuto), IF($C32 &lt; doesNothingThreshold, doesNothing, IF($AD32 &gt;1.45, 2) )), "h")</f>
        <v>7.0419999999999998</v>
      </c>
      <c r="AL32">
        <f>SUM(hHatch * SUM($H32:$K32), hHatch * SUM($S32:$V32), hRocket23 * SUM($J32:$K32), hRocket23 * SUM($U32:$V32), hSandstorm * SUM($H32:$K32), hPenalty * $AH32, hDropHatch * $AI32,hTippedBroke * SUM($AE32:$AF32), IF($E32 &lt; hNoAutoThreshold, hNoAuto), IF($AG32 &gt; hFloorHatchThreshold, hFloorHatch))</f>
        <v>3.5000000000000004</v>
      </c>
      <c r="AM32">
        <f>SUM(cCargo * SUM($M32:$P32), cCargo *SUM( $X32:$AA32), cRocket23 * SUM($O32:$P32, $Z32:$AA32),cSandstorm * SUM($M32:$P32), cPenalty * $AH32, cTippedBroke * SUM($AE32:$AF32), IF($E32 &lt; cNoAutoThreshold, cNoAuto, 0))</f>
        <v>1.1260000000000001</v>
      </c>
      <c r="AN32">
        <f t="shared" si="0"/>
        <v>8.7420000000000009</v>
      </c>
      <c r="AU32">
        <v>610</v>
      </c>
      <c r="AV32">
        <v>8</v>
      </c>
      <c r="AX32">
        <v>5426</v>
      </c>
      <c r="AY32">
        <v>34</v>
      </c>
    </row>
    <row r="33" spans="1:51" ht="15.75" thickBot="1">
      <c r="A33">
        <v>4252</v>
      </c>
      <c r="B33" t="s">
        <v>422</v>
      </c>
      <c r="C33">
        <f>PRODUCT($E33,3)+PRODUCT(SUM($H33:$K33),2)+PRODUCT(SUM($M33:$P33),3)+PRODUCT(SUM($S33:$V33),2)+PRODUCT(SUM($X33:$AA33), 3)+IF($AC33 &gt; 2, PRODUCT(SUM($AC33, -1),6), PRODUCT($AC33,3)) + IF($AD33 &gt; 2, PRODUCT(SUM($AD33, -1),6), PRODUCT($AD33,3)) + PRODUCT($AH33, -1)</f>
        <v>0</v>
      </c>
      <c r="D33">
        <f>PRODUCT(SUM($H33:$I33), 2) + PRODUCT(SUM($M33:$N33),3) + PRODUCT(SUM($S33:$T33), 2) + PRODUCT(SUM($X33:$Y33), 3)</f>
        <v>0</v>
      </c>
      <c r="E33">
        <f>IF( COUNTIF('Raw Data'!$A$3:$A$2927,$A33)=0,0,SUMIF('Raw Data'!$A$3:$A$2927, $A33,'Raw Data'!D$3:D$2927) / COUNTIF('Raw Data'!$A$3:$A$2927,$A33))</f>
        <v>0</v>
      </c>
      <c r="F33">
        <f t="array" ref="F33">MAX(IF('Raw Data'!$A$3:$A$927=$A33, 'Raw Data'!$O$3:$O$927))</f>
        <v>0</v>
      </c>
      <c r="G33">
        <f t="array" ref="G33">MAX(IF('Raw Data'!$A$3:$A$927=$A33, 'Raw Data'!$I$3:$I$927))</f>
        <v>0</v>
      </c>
      <c r="H33">
        <f>IF( COUNTIF('Raw Data'!$A$3:$A$2927,$A33)=0,0,SUMIF('Raw Data'!$A$3:$A$2927, $A33,'Raw Data'!E$3:E$2927) / COUNTIF('Raw Data'!$A$3:$A$2927,$A33))</f>
        <v>0</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 t="array" ref="L33">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 t="array" ref="Q33">MAX(IF('Raw Data'!$A$3:$A$927=$A33, 'Raw Data'!$Z$3:$Z$927))</f>
        <v>0</v>
      </c>
      <c r="R33">
        <f t="array" ref="R33">MAX(IF('Raw Data'!$A$3:$A$927=$A33, 'Raw Data'!$T$3:$T$927))</f>
        <v>0</v>
      </c>
      <c r="S33" s="118">
        <f>IF( COUNTIF('Raw Data'!$A$3:$A$2927,$A33)=0,0,SUMIF('Raw Data'!$A$3:$A$2927, $A33,'Raw Data'!P$3:P$2927) / COUNTIF('Raw Data'!$A$3:$A$2927,$A33))</f>
        <v>0</v>
      </c>
      <c r="T33">
        <f>IF( COUNTIF('Raw Data'!$A$3:$A$2927,$A33)=0,0,SUMIF('Raw Data'!$A$3:$A$2927, $A33,'Raw Data'!Q$3:Q$2927) / COUNTIF('Raw Data'!$A$3:$A$2927,$A33))</f>
        <v>0</v>
      </c>
      <c r="U33">
        <f>IF( COUNTIF('Raw Data'!$A$3:$A$2927,$A33)=0,0,SUMIF('Raw Data'!$A$3:$A$2927, $A33,'Raw Data'!R$3:R$2927) / COUNTIF('Raw Data'!$A$3:$A$2927,$A33))</f>
        <v>0</v>
      </c>
      <c r="V33">
        <f>IF( COUNTIF('Raw Data'!$A$3:$A$2927,$A33)=0,0,SUMIF('Raw Data'!$A$3:$A$2927, $A33,'Raw Data'!S$3:S$2927) / COUNTIF('Raw Data'!$A$3:$A$2927,$A33))</f>
        <v>0</v>
      </c>
      <c r="W33">
        <f t="array" ref="W33">MAX(IF('Raw Data'!$A$3:$A$927=$A33, 'Raw Data'!$Y$3:$Y$927))</f>
        <v>0</v>
      </c>
      <c r="X33">
        <f>IF( COUNTIF('Raw Data'!$A$3:$A$2927,$A33)=0,0,SUMIF('Raw Data'!$A$3:$A$2927, $A33,'Raw Data'!U$3:U$2927) / COUNTIF('Raw Data'!$A$3:$A$2927,$A33))</f>
        <v>0</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0</v>
      </c>
      <c r="AC33">
        <f>IF( COUNTIF('Raw Data'!$A$3:$A$2927,$A33)=0,0,SUMIF('Raw Data'!$A$3:$A$2927, $A33,'Raw Data'!AB$3:AB$2927) / COUNTIF('Raw Data'!$A$3:$A$2927,$A33))</f>
        <v>0</v>
      </c>
      <c r="AD33">
        <f>IF( COUNTIF('Raw Data'!$A$3:$A$2927,$A33)=0,0,SUMIF('Raw Data'!$A$3:$A$2927, $A33,'Raw Data'!AC$3:AC$2927) / COUNTIF('Raw Data'!$A$3:$A$2927,$A33))</f>
        <v>0</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0</v>
      </c>
      <c r="AI33">
        <f>IF( COUNTIF('Raw Data'!$A$3:$A$2927,$A33)=0,0,SUMIF('Raw Data'!$A$3:$A$2927, $A33,'Raw Data'!AH$3:AH$2927) / COUNTIF('Raw Data'!$A$3:$A$2927,$A33))</f>
        <v>0</v>
      </c>
      <c r="AJ33" s="116">
        <f>COUNTIF('Raw Data'!A$3:A$2927, $A33)</f>
        <v>0</v>
      </c>
      <c r="AK33">
        <f>IFERROR(SUM(IF($E33 &gt;autoThreshold, auto), hatch * SUM($H33:$K33), cargo * SUM($M33:$P33),hatch * SUM( $S33:$V33), cargo * SUM($X33:$AA33), rocket23 * SUM($J33:$K33, $O33:$P33, $U33:$V33, $Z33:$AA33), IF($AD33 &gt; climbThreshold, climb), IF($AC33 &gt; assistThreshold, $AC33 * assist), $AH33 * penalty, dropHatch * $AI33, tippedBroke * SUM($AE33:$AF33),  IF( $E33 &lt; noAutoThreshold, noAuto), IF($C33 &lt; doesNothingThreshold, doesNothing, IF($AD33 &gt;1.45, 2) )), "h")</f>
        <v>-21</v>
      </c>
      <c r="AL33">
        <f>SUM(hHatch * SUM($H33:$K33), hHatch * SUM($S33:$V33), hRocket23 * SUM($J33:$K33), hRocket23 * SUM($U33:$V33), hSandstorm * SUM($H33:$K33), hPenalty * $AH33, hDropHatch * $AI33,hTippedBroke * SUM($AE33:$AF33), IF($E33 &lt; hNoAutoThreshold, hNoAuto), IF($AG33 &gt; hFloorHatchThreshold, hFloorHatch))</f>
        <v>-1.5</v>
      </c>
      <c r="AM33">
        <f>SUM(cCargo * SUM($M33:$P33), cCargo *SUM( $X33:$AA33), cRocket23 * SUM($O33:$P33, $Z33:$AA33),cSandstorm * SUM($M33:$P33), cPenalty * $AH33, cTippedBroke * SUM($AE33:$AF33), IF($E33 &lt; cNoAutoThreshold, cNoAuto, 0))</f>
        <v>-1</v>
      </c>
      <c r="AN33">
        <f t="shared" si="0"/>
        <v>-21</v>
      </c>
      <c r="AU33">
        <v>2708</v>
      </c>
      <c r="AV33">
        <v>11</v>
      </c>
      <c r="AX33">
        <v>4525</v>
      </c>
      <c r="AY33">
        <v>37</v>
      </c>
    </row>
    <row r="34" spans="1:51" ht="15.75" thickBot="1">
      <c r="A34">
        <v>4308</v>
      </c>
      <c r="B34" t="s">
        <v>423</v>
      </c>
      <c r="C34">
        <f>PRODUCT($E34,3)+PRODUCT(SUM($H34:$K34),2)+PRODUCT(SUM($M34:$P34),3)+PRODUCT(SUM($S34:$V34),2)+PRODUCT(SUM($X34:$AA34), 3)+IF($AC34 &gt; 2, PRODUCT(SUM($AC34, -1),6), PRODUCT($AC34,3)) + IF($AD34 &gt; 2, PRODUCT(SUM($AD34, -1),6), PRODUCT($AD34,3)) + PRODUCT($AH34, -1)</f>
        <v>0</v>
      </c>
      <c r="D34">
        <f>PRODUCT(SUM($H34:$I34), 2) + PRODUCT(SUM($M34:$N34),3) + PRODUCT(SUM($S34:$T34), 2) + PRODUCT(SUM($X34:$Y34), 3)</f>
        <v>0</v>
      </c>
      <c r="E34">
        <f>IF( COUNTIF('Raw Data'!$A$3:$A$2927,$A34)=0,0,SUMIF('Raw Data'!$A$3:$A$2927, $A34,'Raw Data'!D$3:D$2927) / COUNTIF('Raw Data'!$A$3:$A$2927,$A34))</f>
        <v>0</v>
      </c>
      <c r="F34">
        <f t="array" ref="F34">MAX(IF('Raw Data'!$A$3:$A$927=$A34, 'Raw Data'!$O$3:$O$927))</f>
        <v>0</v>
      </c>
      <c r="G34">
        <f t="array" ref="G34">MAX(IF('Raw Data'!$A$3:$A$927=$A34, 'Raw Data'!$I$3:$I$927))</f>
        <v>0</v>
      </c>
      <c r="H34">
        <f>IF( COUNTIF('Raw Data'!$A$3:$A$2927,$A34)=0,0,SUMIF('Raw Data'!$A$3:$A$2927, $A34,'Raw Data'!E$3:E$2927) / COUNTIF('Raw Data'!$A$3:$A$2927,$A34))</f>
        <v>0</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 t="array" ref="L34">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 t="array" ref="Q34">MAX(IF('Raw Data'!$A$3:$A$927=$A34, 'Raw Data'!$Z$3:$Z$927))</f>
        <v>0</v>
      </c>
      <c r="R34">
        <f t="array" ref="R34">MAX(IF('Raw Data'!$A$3:$A$927=$A34, 'Raw Data'!$T$3:$T$927))</f>
        <v>0</v>
      </c>
      <c r="S34" s="118">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 t="array" ref="W34">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0</v>
      </c>
      <c r="AC34">
        <f>IF( COUNTIF('Raw Data'!$A$3:$A$2927,$A34)=0,0,SUMIF('Raw Data'!$A$3:$A$2927, $A34,'Raw Data'!AB$3:AB$2927) / COUNTIF('Raw Data'!$A$3:$A$2927,$A34))</f>
        <v>0</v>
      </c>
      <c r="AD34">
        <f>IF( COUNTIF('Raw Data'!$A$3:$A$2927,$A34)=0,0,SUMIF('Raw Data'!$A$3:$A$2927, $A34,'Raw Data'!AC$3:AC$2927) / COUNTIF('Raw Data'!$A$3:$A$2927,$A34))</f>
        <v>0</v>
      </c>
      <c r="AE34" s="117">
        <f>IF( COUNTIF('Raw Data'!$A$3:$A$2927,$A34)=0,0,SUMIF('Raw Data'!$A$3:$A$2927, $A34,'Raw Data'!AD$3:AD$2927) / COUNTIF('Raw Data'!$A$3:$A$2927,$A34))</f>
        <v>0</v>
      </c>
      <c r="AF34">
        <f>IF( COUNTIF('Raw Data'!$A$3:$A$2927,$A34)=0,0,SUMIF('Raw Data'!$A$3:$A$2927, $A34,'Raw Data'!AE$3:AE$2927) / COUNTIF('Raw Data'!$A$3:$A$2927,$A34))</f>
        <v>0</v>
      </c>
      <c r="AG34">
        <f>IF( COUNTIF('Raw Data'!$A$3:$A$2927,$A34)=0,0,SUMIF('Raw Data'!$A$3:$A$2927, $A34,'Raw Data'!AF$3:AF$2927) / COUNTIF('Raw Data'!$A$3:$A$2927,$A34))</f>
        <v>0</v>
      </c>
      <c r="AH34">
        <f>IF( COUNTIF('Raw Data'!$A$3:$A$2927,$A34)=0,0,SUMIF('Raw Data'!$A$3:$A$2927, $A34,'Raw Data'!AG$3:AG$2927) / COUNTIF('Raw Data'!$A$3:$A$2927,$A34))</f>
        <v>0</v>
      </c>
      <c r="AI34">
        <f>IF( COUNTIF('Raw Data'!$A$3:$A$2927,$A34)=0,0,SUMIF('Raw Data'!$A$3:$A$2927, $A34,'Raw Data'!AH$3:AH$2927) / COUNTIF('Raw Data'!$A$3:$A$2927,$A34))</f>
        <v>0</v>
      </c>
      <c r="AJ34" s="116">
        <f>COUNTIF('Raw Data'!A$3:A$2927, $A34)</f>
        <v>0</v>
      </c>
      <c r="AK34">
        <f>IFERROR(SUM(IF($E34 &gt;autoThreshold, auto), hatch * SUM($H34:$K34), cargo * SUM($M34:$P34),hatch * SUM( $S34:$V34), cargo * SUM($X34:$AA34), rocket23 * SUM($J34:$K34, $O34:$P34, $U34:$V34, $Z34:$AA34), IF($AD34 &gt; climbThreshold, climb), IF($AC34 &gt; assistThreshold, $AC34 * assist), $AH34 * penalty, dropHatch * $AI34, tippedBroke * SUM($AE34:$AF34),  IF( $E34 &lt; noAutoThreshold, noAuto), IF($C34 &lt; doesNothingThreshold, doesNothing, IF($AD34 &gt;1.45, 2) )), "h")</f>
        <v>-21</v>
      </c>
      <c r="AL34">
        <f>SUM(hHatch * SUM($H34:$K34), hHatch * SUM($S34:$V34), hRocket23 * SUM($J34:$K34), hRocket23 * SUM($U34:$V34), hSandstorm * SUM($H34:$K34), hPenalty * $AH34, hDropHatch * $AI34,hTippedBroke * SUM($AE34:$AF34), IF($E34 &lt; hNoAutoThreshold, hNoAuto), IF($AG34 &gt; hFloorHatchThreshold, hFloorHatch))</f>
        <v>-1.5</v>
      </c>
      <c r="AM34">
        <f>SUM(cCargo * SUM($M34:$P34), cCargo *SUM( $X34:$AA34), cRocket23 * SUM($O34:$P34, $Z34:$AA34),cSandstorm * SUM($M34:$P34), cPenalty * $AH34, cTippedBroke * SUM($AE34:$AF34), IF($E34 &lt; cNoAutoThreshold, cNoAuto, 0))</f>
        <v>-1</v>
      </c>
      <c r="AN34">
        <f t="shared" si="0"/>
        <v>-21</v>
      </c>
      <c r="AU34">
        <v>2200</v>
      </c>
      <c r="AV34">
        <v>12</v>
      </c>
      <c r="AX34">
        <v>2852</v>
      </c>
      <c r="AY34">
        <v>38</v>
      </c>
    </row>
    <row r="35" spans="1:51" ht="15.75" thickBot="1">
      <c r="A35">
        <v>4343</v>
      </c>
      <c r="B35" t="s">
        <v>482</v>
      </c>
      <c r="C35">
        <f>PRODUCT($E35,3)+PRODUCT(SUM($H35:$K35),2)+PRODUCT(SUM($M35:$P35),3)+PRODUCT(SUM($S35:$V35),2)+PRODUCT(SUM($X35:$AA35), 3)+IF($AC35 &gt; 2, PRODUCT(SUM($AC35, -1),6), PRODUCT($AC35,3)) + IF($AD35 &gt; 2, PRODUCT(SUM($AD35, -1),6), PRODUCT($AD35,3)) + PRODUCT($AH35, -1)</f>
        <v>0</v>
      </c>
      <c r="D35">
        <f>PRODUCT(SUM($H35:$I35), 2) + PRODUCT(SUM($M35:$N35),3) + PRODUCT(SUM($S35:$T35), 2) + PRODUCT(SUM($X35:$Y35), 3)</f>
        <v>0</v>
      </c>
      <c r="E35">
        <f>IF( COUNTIF('Raw Data'!$A$3:$A$2927,$A35)=0,0,SUMIF('Raw Data'!$A$3:$A$2927, $A35,'Raw Data'!D$3:D$2927) / COUNTIF('Raw Data'!$A$3:$A$2927,$A35))</f>
        <v>0</v>
      </c>
      <c r="F35">
        <f t="array" ref="F35">MAX(IF('Raw Data'!$A$3:$A$927=$A35, 'Raw Data'!$O$3:$O$927))</f>
        <v>0</v>
      </c>
      <c r="G35">
        <f t="array" ref="G35">MAX(IF('Raw Data'!$A$3:$A$927=$A35, 'Raw Data'!$I$3:$I$927))</f>
        <v>0</v>
      </c>
      <c r="H35">
        <f>IF( COUNTIF('Raw Data'!$A$3:$A$2927,$A35)=0,0,SUMIF('Raw Data'!$A$3:$A$2927, $A35,'Raw Data'!E$3:E$2927) / COUNTIF('Raw Data'!$A$3:$A$2927,$A35))</f>
        <v>0</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 t="array" ref="L35">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 t="array" ref="Q35">MAX(IF('Raw Data'!$A$3:$A$927=$A35, 'Raw Data'!$Z$3:$Z$927))</f>
        <v>0</v>
      </c>
      <c r="R35">
        <f t="array" ref="R35">MAX(IF('Raw Data'!$A$3:$A$927=$A35, 'Raw Data'!$T$3:$T$927))</f>
        <v>0</v>
      </c>
      <c r="S35" s="118">
        <f>IF( COUNTIF('Raw Data'!$A$3:$A$2927,$A35)=0,0,SUMIF('Raw Data'!$A$3:$A$2927, $A35,'Raw Data'!P$3:P$2927) / COUNTIF('Raw Data'!$A$3:$A$2927,$A35))</f>
        <v>0</v>
      </c>
      <c r="T35">
        <f>IF( COUNTIF('Raw Data'!$A$3:$A$2927,$A35)=0,0,SUMIF('Raw Data'!$A$3:$A$2927, $A35,'Raw Data'!Q$3:Q$2927) / COUNTIF('Raw Data'!$A$3:$A$2927,$A35))</f>
        <v>0</v>
      </c>
      <c r="U35">
        <f>IF( COUNTIF('Raw Data'!$A$3:$A$2927,$A35)=0,0,SUMIF('Raw Data'!$A$3:$A$2927, $A35,'Raw Data'!R$3:R$2927) / COUNTIF('Raw Data'!$A$3:$A$2927,$A35))</f>
        <v>0</v>
      </c>
      <c r="V35">
        <f>IF( COUNTIF('Raw Data'!$A$3:$A$2927,$A35)=0,0,SUMIF('Raw Data'!$A$3:$A$2927, $A35,'Raw Data'!S$3:S$2927) / COUNTIF('Raw Data'!$A$3:$A$2927,$A35))</f>
        <v>0</v>
      </c>
      <c r="W35">
        <f t="array" ref="W35">MAX(IF('Raw Data'!$A$3:$A$927=$A35, 'Raw Data'!$Y$3:$Y$927))</f>
        <v>0</v>
      </c>
      <c r="X35">
        <f>IF( COUNTIF('Raw Data'!$A$3:$A$2927,$A35)=0,0,SUMIF('Raw Data'!$A$3:$A$2927, $A35,'Raw Data'!U$3:U$2927) / COUNTIF('Raw Data'!$A$3:$A$2927,$A35))</f>
        <v>0</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v>
      </c>
      <c r="AB35">
        <f>IF( COUNTIF('Raw Data'!$A$3:$A$2927,$A35)=0,0,SUMIF('Raw Data'!$A$3:$A$2927, $A35,'Raw Data'!AA$3:AA$2927) / COUNTIF('Raw Data'!$A$3:$A$2927,$A35))</f>
        <v>0</v>
      </c>
      <c r="AC35">
        <f>IF( COUNTIF('Raw Data'!$A$3:$A$2927,$A35)=0,0,SUMIF('Raw Data'!$A$3:$A$2927, $A35,'Raw Data'!AB$3:AB$2927) / COUNTIF('Raw Data'!$A$3:$A$2927,$A35))</f>
        <v>0</v>
      </c>
      <c r="AD35">
        <f>IF( COUNTIF('Raw Data'!$A$3:$A$2927,$A35)=0,0,SUMIF('Raw Data'!$A$3:$A$2927, $A35,'Raw Data'!AC$3:AC$2927) / COUNTIF('Raw Data'!$A$3:$A$2927,$A35))</f>
        <v>0</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0</v>
      </c>
      <c r="AI35">
        <f>IF( COUNTIF('Raw Data'!$A$3:$A$2927,$A35)=0,0,SUMIF('Raw Data'!$A$3:$A$2927, $A35,'Raw Data'!AH$3:AH$2927) / COUNTIF('Raw Data'!$A$3:$A$2927,$A35))</f>
        <v>0</v>
      </c>
      <c r="AJ35" s="116">
        <f>COUNTIF('Raw Data'!A$3:A$2927, $A35)</f>
        <v>0</v>
      </c>
      <c r="AK35">
        <f>IFERROR(SUM(IF($E35 &gt;autoThreshold, auto), hatch * SUM($H35:$K35), cargo * SUM($M35:$P35),hatch * SUM( $S35:$V35), cargo * SUM($X35:$AA35), rocket23 * SUM($J35:$K35, $O35:$P35, $U35:$V35, $Z35:$AA35), IF($AD35 &gt; climbThreshold, climb), IF($AC35 &gt; assistThreshold, $AC35 * assist), $AH35 * penalty, dropHatch * $AI35, tippedBroke * SUM($AE35:$AF35),  IF( $E35 &lt; noAutoThreshold, noAuto), IF($C35 &lt; doesNothingThreshold, doesNothing, IF($AD35 &gt;1.45, 2) )), "h")</f>
        <v>-21</v>
      </c>
      <c r="AL35">
        <f>SUM(hHatch * SUM($H35:$K35), hHatch * SUM($S35:$V35), hRocket23 * SUM($J35:$K35), hRocket23 * SUM($U35:$V35), hSandstorm * SUM($H35:$K35), hPenalty * $AH35, hDropHatch * $AI35,hTippedBroke * SUM($AE35:$AF35), IF($E35 &lt; hNoAutoThreshold, hNoAuto), IF($AG35 &gt; hFloorHatchThreshold, hFloorHatch))</f>
        <v>-1.5</v>
      </c>
      <c r="AM35">
        <f>SUM(cCargo * SUM($M35:$P35), cCargo *SUM( $X35:$AA35), cRocket23 * SUM($O35:$P35, $Z35:$AA35),cSandstorm * SUM($M35:$P35), cPenalty * $AH35, cTippedBroke * SUM($AE35:$AF35), IF($E35 &lt; cNoAutoThreshold, cNoAuto, 0))</f>
        <v>-1</v>
      </c>
      <c r="AN35">
        <f t="shared" si="0"/>
        <v>-21</v>
      </c>
      <c r="AU35">
        <v>4476</v>
      </c>
      <c r="AV35">
        <v>18</v>
      </c>
      <c r="AX35">
        <v>7267</v>
      </c>
      <c r="AY35">
        <v>42</v>
      </c>
    </row>
    <row r="36" spans="1:51" ht="15.75" thickBot="1">
      <c r="A36">
        <v>4476</v>
      </c>
      <c r="B36" t="s">
        <v>208</v>
      </c>
      <c r="C36">
        <f>PRODUCT($E36,3)+PRODUCT(SUM($H36:$K36),2)+PRODUCT(SUM($M36:$P36),3)+PRODUCT(SUM($S36:$V36),2)+PRODUCT(SUM($X36:$AA36), 3)+IF($AC36 &gt; 2, PRODUCT(SUM($AC36, -1),6), PRODUCT($AC36,3)) + IF($AD36 &gt; 2, PRODUCT(SUM($AD36, -1),6), PRODUCT($AD36,3)) + PRODUCT($AH36, -1)</f>
        <v>18.36363636363636</v>
      </c>
      <c r="D36">
        <f>PRODUCT(SUM($H36:$I36), 2) + PRODUCT(SUM($M36:$N36),3) + PRODUCT(SUM($S36:$T36), 2) + PRODUCT(SUM($X36:$Y36), 3)</f>
        <v>13.18181818181818</v>
      </c>
      <c r="E36">
        <f>IF( COUNTIF('Raw Data'!$A$3:$A$2927,$A36)=0,0,SUMIF('Raw Data'!$A$3:$A$2927, $A36,'Raw Data'!D$3:D$2927) / COUNTIF('Raw Data'!$A$3:$A$2927,$A36))</f>
        <v>1.7272727272727273</v>
      </c>
      <c r="F36">
        <f t="array" ref="F36">MAX(IF('Raw Data'!$A$3:$A$927=$A36, 'Raw Data'!$O$3:$O$927))</f>
        <v>1</v>
      </c>
      <c r="G36">
        <f t="array" ref="G36">MAX(IF('Raw Data'!$A$3:$A$927=$A36, 'Raw Data'!$I$3:$I$927))</f>
        <v>1</v>
      </c>
      <c r="H36">
        <f>IF( COUNTIF('Raw Data'!$A$3:$A$2927,$A36)=0,0,SUMIF('Raw Data'!$A$3:$A$2927, $A36,'Raw Data'!E$3:E$2927) / COUNTIF('Raw Data'!$A$3:$A$2927,$A36))</f>
        <v>0.54545454545454541</v>
      </c>
      <c r="I36">
        <f>IF( COUNTIF('Raw Data'!$A$3:$A$2927,$A36)=0,0,SUMIF('Raw Data'!$A$3:$A$2927, $A36,'Raw Data'!F$3:F$2927) / COUNTIF('Raw Data'!$A$3:$A$2927,$A36))</f>
        <v>9.0909090909090912E-2</v>
      </c>
      <c r="J36">
        <f>IF( COUNTIF('Raw Data'!$A$3:$A$2927,$A36)=0,0,SUMIF('Raw Data'!$A$3:$A$2927, $A36,'Raw Data'!G$3:G$2927) / COUNTIF('Raw Data'!$A$3:$A$2927,$A36))</f>
        <v>0</v>
      </c>
      <c r="K36">
        <f>IF( COUNTIF('Raw Data'!$A$3:$A$2927,$A36)=0,0,SUMIF('Raw Data'!$A$3:$A$2927, $A36,'Raw Data'!H$3:H$2927) / COUNTIF('Raw Data'!$A$3:$A$2927,$A36))</f>
        <v>0</v>
      </c>
      <c r="L36">
        <f t="array" ref="L36">MAX(IF('Raw Data'!$A$3:$A$927=$A36, 'Raw Data'!$N$3:$N$927))</f>
        <v>1</v>
      </c>
      <c r="M36">
        <f>IF( COUNTIF('Raw Data'!$A$3:$A$2927,$A36)=0,0,SUMIF('Raw Data'!$A$3:$A$2927, $A36,'Raw Data'!J$3:J$2927) / COUNTIF('Raw Data'!$A$3:$A$2927,$A36))</f>
        <v>9.0909090909090912E-2</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 t="array" ref="Q36">MAX(IF('Raw Data'!$A$3:$A$927=$A36, 'Raw Data'!$Z$3:$Z$927))</f>
        <v>7</v>
      </c>
      <c r="R36">
        <f t="array" ref="R36">MAX(IF('Raw Data'!$A$3:$A$927=$A36, 'Raw Data'!$T$3:$T$927))</f>
        <v>2</v>
      </c>
      <c r="S36" s="118">
        <f>IF( COUNTIF('Raw Data'!$A$3:$A$2927,$A36)=0,0,SUMIF('Raw Data'!$A$3:$A$2927, $A36,'Raw Data'!P$3:P$2927) / COUNTIF('Raw Data'!$A$3:$A$2927,$A36))</f>
        <v>0.54545454545454541</v>
      </c>
      <c r="T36">
        <f>IF( COUNTIF('Raw Data'!$A$3:$A$2927,$A36)=0,0,SUMIF('Raw Data'!$A$3:$A$2927, $A36,'Raw Data'!Q$3:Q$2927) / COUNTIF('Raw Data'!$A$3:$A$2927,$A36))</f>
        <v>0.36363636363636365</v>
      </c>
      <c r="U36">
        <f>IF( COUNTIF('Raw Data'!$A$3:$A$2927,$A36)=0,0,SUMIF('Raw Data'!$A$3:$A$2927, $A36,'Raw Data'!R$3:R$2927) / COUNTIF('Raw Data'!$A$3:$A$2927,$A36))</f>
        <v>0</v>
      </c>
      <c r="V36">
        <f>IF( COUNTIF('Raw Data'!$A$3:$A$2927,$A36)=0,0,SUMIF('Raw Data'!$A$3:$A$2927, $A36,'Raw Data'!S$3:S$2927) / COUNTIF('Raw Data'!$A$3:$A$2927,$A36))</f>
        <v>0</v>
      </c>
      <c r="W36">
        <f t="array" ref="W36">MAX(IF('Raw Data'!$A$3:$A$927=$A36, 'Raw Data'!$Y$3:$Y$927))</f>
        <v>5</v>
      </c>
      <c r="X36">
        <f>IF( COUNTIF('Raw Data'!$A$3:$A$2927,$A36)=0,0,SUMIF('Raw Data'!$A$3:$A$2927, $A36,'Raw Data'!U$3:U$2927) / COUNTIF('Raw Data'!$A$3:$A$2927,$A36))</f>
        <v>2.7272727272727271</v>
      </c>
      <c r="Y36">
        <f>IF( COUNTIF('Raw Data'!$A$3:$A$2927,$A36)=0,0,SUMIF('Raw Data'!$A$3:$A$2927, $A36,'Raw Data'!V$3:V$2927) / COUNTIF('Raw Data'!$A$3:$A$2927,$A36))</f>
        <v>0.54545454545454541</v>
      </c>
      <c r="Z36">
        <f>IF( COUNTIF('Raw Data'!$A$3:$A$2927,$A36)=0,0,SUMIF('Raw Data'!$A$3:$A$2927, $A36,'Raw Data'!W$3:W$2927) / COUNTIF('Raw Data'!$A$3:$A$2927,$A36))</f>
        <v>9.0909090909090912E-2</v>
      </c>
      <c r="AA36">
        <f>IF( COUNTIF('Raw Data'!$A$3:$A$2927,$A36)=0,0,SUMIF('Raw Data'!$A$3:$A$2927, $A36,'Raw Data'!X$3:X$2927) / COUNTIF('Raw Data'!$A$3:$A$2927,$A36))</f>
        <v>0</v>
      </c>
      <c r="AB36">
        <f>IF( COUNTIF('Raw Data'!$A$3:$A$2927,$A36)=0,0,SUMIF('Raw Data'!$A$3:$A$2927, $A36,'Raw Data'!AA$3:AA$2927) / COUNTIF('Raw Data'!$A$3:$A$2927,$A36))</f>
        <v>2.2727272727272729</v>
      </c>
      <c r="AC36">
        <f>IF( COUNTIF('Raw Data'!$A$3:$A$2927,$A36)=0,0,SUMIF('Raw Data'!$A$3:$A$2927, $A36,'Raw Data'!AB$3:AB$2927) / COUNTIF('Raw Data'!$A$3:$A$2927,$A36))</f>
        <v>0</v>
      </c>
      <c r="AD36">
        <f>IF( COUNTIF('Raw Data'!$A$3:$A$2927,$A36)=0,0,SUMIF('Raw Data'!$A$3:$A$2927, $A36,'Raw Data'!AC$3:AC$2927) / COUNTIF('Raw Data'!$A$3:$A$2927,$A36))</f>
        <v>0.54545454545454541</v>
      </c>
      <c r="AE36" s="117">
        <f>IF( COUNTIF('Raw Data'!$A$3:$A$2927,$A36)=0,0,SUMIF('Raw Data'!$A$3:$A$2927, $A36,'Raw Data'!AD$3:AD$2927) / COUNTIF('Raw Data'!$A$3:$A$2927,$A36))</f>
        <v>0</v>
      </c>
      <c r="AF36">
        <f>IF( COUNTIF('Raw Data'!$A$3:$A$2927,$A36)=0,0,SUMIF('Raw Data'!$A$3:$A$2927, $A36,'Raw Data'!AE$3:AE$2927) / COUNTIF('Raw Data'!$A$3:$A$2927,$A36))</f>
        <v>0</v>
      </c>
      <c r="AG36">
        <f>IF( COUNTIF('Raw Data'!$A$3:$A$2927,$A36)=0,0,SUMIF('Raw Data'!$A$3:$A$2927, $A36,'Raw Data'!AF$3:AF$2927) / COUNTIF('Raw Data'!$A$3:$A$2927,$A36))</f>
        <v>9.0909090909090912E-2</v>
      </c>
      <c r="AH36">
        <f>IF( COUNTIF('Raw Data'!$A$3:$A$2927,$A36)=0,0,SUMIF('Raw Data'!$A$3:$A$2927, $A36,'Raw Data'!AG$3:AG$2927) / COUNTIF('Raw Data'!$A$3:$A$2927,$A36))</f>
        <v>1.9090909090909092</v>
      </c>
      <c r="AI36">
        <f>IF( COUNTIF('Raw Data'!$A$3:$A$2927,$A36)=0,0,SUMIF('Raw Data'!$A$3:$A$2927, $A36,'Raw Data'!AH$3:AH$2927) / COUNTIF('Raw Data'!$A$3:$A$2927,$A36))</f>
        <v>9.0909090909090912E-2</v>
      </c>
      <c r="AJ36" s="116">
        <f>COUNTIF('Raw Data'!A$3:A$2927, $A36)</f>
        <v>11</v>
      </c>
      <c r="AK36">
        <f>IFERROR(SUM(IF($E36 &gt;autoThreshold, auto), hatch * SUM($H36:$K36), cargo * SUM($M36:$P36),hatch * SUM( $S36:$V36), cargo * SUM($X36:$AA36), rocket23 * SUM($J36:$K36, $O36:$P36, $U36:$V36, $Z36:$AA36), IF($AD36 &gt; climbThreshold, climb), IF($AC36 &gt; assistThreshold, $AC36 * assist), $AH36 * penalty, dropHatch * $AI36, tippedBroke * SUM($AE36:$AF36),  IF( $E36 &lt; noAutoThreshold, noAuto), IF($C36 &lt; doesNothingThreshold, doesNothing, IF($AD36 &gt;1.45, 2) )), "h")</f>
        <v>3.7345454545454548</v>
      </c>
      <c r="AL36">
        <f>SUM(hHatch * SUM($H36:$K36), hHatch * SUM($S36:$V36), hRocket23 * SUM($J36:$K36), hRocket23 * SUM($U36:$V36), hSandstorm * SUM($H36:$K36), hPenalty * $AH36, hDropHatch * $AI36,hTippedBroke * SUM($AE36:$AF36), IF($E36 &lt; hNoAutoThreshold, hNoAuto), IF($AG36 &gt; hFloorHatchThreshold, hFloorHatch))</f>
        <v>0.72727272727272707</v>
      </c>
      <c r="AM36">
        <f>SUM(cCargo * SUM($M36:$P36), cCargo *SUM( $X36:$AA36), cRocket23 * SUM($O36:$P36, $Z36:$AA36),cSandstorm * SUM($M36:$P36), cPenalty * $AH36, cTippedBroke * SUM($AE36:$AF36), IF($E36 &lt; cNoAutoThreshold, cNoAuto, 0))</f>
        <v>2.8927272727272726</v>
      </c>
      <c r="AN36">
        <f t="shared" si="0"/>
        <v>3.689090909090909</v>
      </c>
      <c r="AU36">
        <v>4946</v>
      </c>
      <c r="AV36">
        <v>23</v>
      </c>
      <c r="AX36">
        <v>6070</v>
      </c>
      <c r="AY36">
        <v>43</v>
      </c>
    </row>
    <row r="37" spans="1:51" ht="15.75" thickBot="1">
      <c r="A37">
        <v>4519</v>
      </c>
      <c r="B37" t="s">
        <v>209</v>
      </c>
      <c r="C37">
        <f>PRODUCT($E37,3)+PRODUCT(SUM($H37:$K37),2)+PRODUCT(SUM($M37:$P37),3)+PRODUCT(SUM($S37:$V37),2)+PRODUCT(SUM($X37:$AA37), 3)+IF($AC37 &gt; 2, PRODUCT(SUM($AC37, -1),6), PRODUCT($AC37,3)) + IF($AD37 &gt; 2, PRODUCT(SUM($AD37, -1),6), PRODUCT($AD37,3)) + PRODUCT($AH37, -1)</f>
        <v>12.444444444444446</v>
      </c>
      <c r="D37">
        <f>PRODUCT(SUM($H37:$I37), 2) + PRODUCT(SUM($M37:$N37),3) + PRODUCT(SUM($S37:$T37), 2) + PRODUCT(SUM($X37:$Y37), 3)</f>
        <v>5.5555555555555554</v>
      </c>
      <c r="E37">
        <f>IF( COUNTIF('Raw Data'!$A$3:$A$2927,$A37)=0,0,SUMIF('Raw Data'!$A$3:$A$2927, $A37,'Raw Data'!D$3:D$2927) / COUNTIF('Raw Data'!$A$3:$A$2927,$A37))</f>
        <v>1.6666666666666667</v>
      </c>
      <c r="F37">
        <f t="array" ref="F37">MAX(IF('Raw Data'!$A$3:$A$927=$A37, 'Raw Data'!$O$3:$O$927))</f>
        <v>1</v>
      </c>
      <c r="G37">
        <f t="array" ref="G37">MAX(IF('Raw Data'!$A$3:$A$927=$A37, 'Raw Data'!$I$3:$I$927))</f>
        <v>1</v>
      </c>
      <c r="H37">
        <f>IF( COUNTIF('Raw Data'!$A$3:$A$2927,$A37)=0,0,SUMIF('Raw Data'!$A$3:$A$2927, $A37,'Raw Data'!E$3:E$2927) / COUNTIF('Raw Data'!$A$3:$A$2927,$A37))</f>
        <v>0.22222222222222221</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 t="array" ref="L37">MAX(IF('Raw Data'!$A$3:$A$927=$A37, 'Raw Data'!$N$3:$N$927))</f>
        <v>1</v>
      </c>
      <c r="M37">
        <f>IF( COUNTIF('Raw Data'!$A$3:$A$2927,$A37)=0,0,SUMIF('Raw Data'!$A$3:$A$2927, $A37,'Raw Data'!J$3:J$2927) / COUNTIF('Raw Data'!$A$3:$A$2927,$A37))</f>
        <v>0.1111111111111111</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 t="array" ref="Q37">MAX(IF('Raw Data'!$A$3:$A$927=$A37, 'Raw Data'!$Z$3:$Z$927))</f>
        <v>5</v>
      </c>
      <c r="R37">
        <f t="array" ref="R37">MAX(IF('Raw Data'!$A$3:$A$927=$A37, 'Raw Data'!$T$3:$T$927))</f>
        <v>2</v>
      </c>
      <c r="S37" s="118">
        <f>IF( COUNTIF('Raw Data'!$A$3:$A$2927,$A37)=0,0,SUMIF('Raw Data'!$A$3:$A$2927, $A37,'Raw Data'!P$3:P$2927) / COUNTIF('Raw Data'!$A$3:$A$2927,$A37))</f>
        <v>0.33333333333333331</v>
      </c>
      <c r="T37">
        <f>IF( COUNTIF('Raw Data'!$A$3:$A$2927,$A37)=0,0,SUMIF('Raw Data'!$A$3:$A$2927, $A37,'Raw Data'!Q$3:Q$2927) / COUNTIF('Raw Data'!$A$3:$A$2927,$A37))</f>
        <v>0.22222222222222221</v>
      </c>
      <c r="U37">
        <f>IF( COUNTIF('Raw Data'!$A$3:$A$2927,$A37)=0,0,SUMIF('Raw Data'!$A$3:$A$2927, $A37,'Raw Data'!R$3:R$2927) / COUNTIF('Raw Data'!$A$3:$A$2927,$A37))</f>
        <v>0</v>
      </c>
      <c r="V37">
        <f>IF( COUNTIF('Raw Data'!$A$3:$A$2927,$A37)=0,0,SUMIF('Raw Data'!$A$3:$A$2927, $A37,'Raw Data'!S$3:S$2927) / COUNTIF('Raw Data'!$A$3:$A$2927,$A37))</f>
        <v>0</v>
      </c>
      <c r="W37">
        <f t="array" ref="W37">MAX(IF('Raw Data'!$A$3:$A$927=$A37, 'Raw Data'!$Y$3:$Y$927))</f>
        <v>5</v>
      </c>
      <c r="X37">
        <f>IF( COUNTIF('Raw Data'!$A$3:$A$2927,$A37)=0,0,SUMIF('Raw Data'!$A$3:$A$2927, $A37,'Raw Data'!U$3:U$2927) / COUNTIF('Raw Data'!$A$3:$A$2927,$A37))</f>
        <v>1.1111111111111112</v>
      </c>
      <c r="Y37">
        <f>IF( COUNTIF('Raw Data'!$A$3:$A$2927,$A37)=0,0,SUMIF('Raw Data'!$A$3:$A$2927, $A37,'Raw Data'!V$3:V$2927) / COUNTIF('Raw Data'!$A$3:$A$2927,$A37))</f>
        <v>0.1111111111111111</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25.333333333333332</v>
      </c>
      <c r="AC37">
        <f>IF( COUNTIF('Raw Data'!$A$3:$A$2927,$A37)=0,0,SUMIF('Raw Data'!$A$3:$A$2927, $A37,'Raw Data'!AB$3:AB$2927) / COUNTIF('Raw Data'!$A$3:$A$2927,$A37))</f>
        <v>0</v>
      </c>
      <c r="AD37">
        <f>IF( COUNTIF('Raw Data'!$A$3:$A$2927,$A37)=0,0,SUMIF('Raw Data'!$A$3:$A$2927, $A37,'Raw Data'!AC$3:AC$2927) / COUNTIF('Raw Data'!$A$3:$A$2927,$A37))</f>
        <v>1.2222222222222223</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1.7777777777777777</v>
      </c>
      <c r="AI37">
        <f>IF( COUNTIF('Raw Data'!$A$3:$A$2927,$A37)=0,0,SUMIF('Raw Data'!$A$3:$A$2927, $A37,'Raw Data'!AH$3:AH$2927) / COUNTIF('Raw Data'!$A$3:$A$2927,$A37))</f>
        <v>0.1111111111111111</v>
      </c>
      <c r="AJ37" s="116">
        <f>COUNTIF('Raw Data'!A$3:A$2927, $A37)</f>
        <v>9</v>
      </c>
      <c r="AK37">
        <f>IFERROR(SUM(IF($E37 &gt;autoThreshold, auto), hatch * SUM($H37:$K37), cargo * SUM($M37:$P37),hatch * SUM( $S37:$V37), cargo * SUM($X37:$AA37), rocket23 * SUM($J37:$K37, $O37:$P37, $U37:$V37, $Z37:$AA37), IF($AD37 &gt; climbThreshold, climb), IF($AC37 &gt; assistThreshold, $AC37 * assist), $AH37 * penalty, dropHatch * $AI37, tippedBroke * SUM($AE37:$AF37),  IF( $E37 &lt; noAutoThreshold, noAuto), IF($C37 &lt; doesNothingThreshold, doesNothing, IF($AD37 &gt;1.45, 2) )), "h")</f>
        <v>1.5466666666666669</v>
      </c>
      <c r="AL37">
        <f>SUM(hHatch * SUM($H37:$K37), hHatch * SUM($S37:$V37), hRocket23 * SUM($J37:$K37), hRocket23 * SUM($U37:$V37), hSandstorm * SUM($H37:$K37), hPenalty * $AH37, hDropHatch * $AI37,hTippedBroke * SUM($AE37:$AF37), IF($E37 &lt; hNoAutoThreshold, hNoAuto), IF($AG37 &gt; hFloorHatchThreshold, hFloorHatch))</f>
        <v>-0.22222222222222221</v>
      </c>
      <c r="AM37">
        <f>SUM(cCargo * SUM($M37:$P37), cCargo *SUM( $X37:$AA37), cRocket23 * SUM($O37:$P37, $Z37:$AA37),cSandstorm * SUM($M37:$P37), cPenalty * $AH37, cTippedBroke * SUM($AE37:$AF37), IF($E37 &lt; cNoAutoThreshold, cNoAuto, 0))</f>
        <v>0.77444444444444449</v>
      </c>
      <c r="AN37">
        <f t="shared" si="0"/>
        <v>1.5466666666666669</v>
      </c>
      <c r="AU37">
        <v>188</v>
      </c>
      <c r="AV37">
        <v>24</v>
      </c>
      <c r="AX37">
        <v>5885</v>
      </c>
      <c r="AY37">
        <v>45</v>
      </c>
    </row>
    <row r="38" spans="1:51" ht="15.75" thickBot="1">
      <c r="A38">
        <v>4525</v>
      </c>
      <c r="B38" t="s">
        <v>210</v>
      </c>
      <c r="C38">
        <f>PRODUCT($E38,3)+PRODUCT(SUM($H38:$K38),2)+PRODUCT(SUM($M38:$P38),3)+PRODUCT(SUM($S38:$V38),2)+PRODUCT(SUM($X38:$AA38), 3)+IF($AC38 &gt; 2, PRODUCT(SUM($AC38, -1),6), PRODUCT($AC38,3)) + IF($AD38 &gt; 2, PRODUCT(SUM($AD38, -1),6), PRODUCT($AD38,3)) + PRODUCT($AH38, -1)</f>
        <v>7</v>
      </c>
      <c r="D38">
        <f>PRODUCT(SUM($H38:$I38), 2) + PRODUCT(SUM($M38:$N38),3) + PRODUCT(SUM($S38:$T38), 2) + PRODUCT(SUM($X38:$Y38), 3)</f>
        <v>3.625</v>
      </c>
      <c r="E38">
        <f>IF( COUNTIF('Raw Data'!$A$3:$A$2927,$A38)=0,0,SUMIF('Raw Data'!$A$3:$A$2927, $A38,'Raw Data'!D$3:D$2927) / COUNTIF('Raw Data'!$A$3:$A$2927,$A38))</f>
        <v>1</v>
      </c>
      <c r="F38">
        <f t="array" ref="F38">MAX(IF('Raw Data'!$A$3:$A$927=$A38, 'Raw Data'!$O$3:$O$927))</f>
        <v>0</v>
      </c>
      <c r="G38">
        <f t="array" ref="G38">MAX(IF('Raw Data'!$A$3:$A$927=$A38, 'Raw Data'!$I$3:$I$927))</f>
        <v>0</v>
      </c>
      <c r="H38">
        <f>IF( COUNTIF('Raw Data'!$A$3:$A$2927,$A38)=0,0,SUMIF('Raw Data'!$A$3:$A$2927, $A38,'Raw Data'!E$3:E$2927) / COUNTIF('Raw Data'!$A$3:$A$2927,$A38))</f>
        <v>0</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v>
      </c>
      <c r="L38">
        <f t="array" ref="L38">MAX(IF('Raw Data'!$A$3:$A$927=$A38, 'Raw Data'!$N$3:$N$927))</f>
        <v>0</v>
      </c>
      <c r="M38">
        <f>IF( COUNTIF('Raw Data'!$A$3:$A$2927,$A38)=0,0,SUMIF('Raw Data'!$A$3:$A$2927, $A38,'Raw Data'!J$3:J$2927) / COUNTIF('Raw Data'!$A$3:$A$2927,$A38))</f>
        <v>0</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 t="array" ref="Q38">MAX(IF('Raw Data'!$A$3:$A$927=$A38, 'Raw Data'!$Z$3:$Z$927))</f>
        <v>4</v>
      </c>
      <c r="R38">
        <f t="array" ref="R38">MAX(IF('Raw Data'!$A$3:$A$927=$A38, 'Raw Data'!$T$3:$T$927))</f>
        <v>3</v>
      </c>
      <c r="S38" s="118">
        <f>IF( COUNTIF('Raw Data'!$A$3:$A$2927,$A38)=0,0,SUMIF('Raw Data'!$A$3:$A$2927, $A38,'Raw Data'!P$3:P$2927) / COUNTIF('Raw Data'!$A$3:$A$2927,$A38))</f>
        <v>0.75</v>
      </c>
      <c r="T38">
        <f>IF( COUNTIF('Raw Data'!$A$3:$A$2927,$A38)=0,0,SUMIF('Raw Data'!$A$3:$A$2927, $A38,'Raw Data'!Q$3:Q$2927) / COUNTIF('Raw Data'!$A$3:$A$2927,$A38))</f>
        <v>0.875</v>
      </c>
      <c r="U38">
        <f>IF( COUNTIF('Raw Data'!$A$3:$A$2927,$A38)=0,0,SUMIF('Raw Data'!$A$3:$A$2927, $A38,'Raw Data'!R$3:R$2927) / COUNTIF('Raw Data'!$A$3:$A$2927,$A38))</f>
        <v>0</v>
      </c>
      <c r="V38">
        <f>IF( COUNTIF('Raw Data'!$A$3:$A$2927,$A38)=0,0,SUMIF('Raw Data'!$A$3:$A$2927, $A38,'Raw Data'!S$3:S$2927) / COUNTIF('Raw Data'!$A$3:$A$2927,$A38))</f>
        <v>0</v>
      </c>
      <c r="W38">
        <f t="array" ref="W38">MAX(IF('Raw Data'!$A$3:$A$927=$A38, 'Raw Data'!$Y$3:$Y$927))</f>
        <v>1</v>
      </c>
      <c r="X38">
        <f>IF( COUNTIF('Raw Data'!$A$3:$A$2927,$A38)=0,0,SUMIF('Raw Data'!$A$3:$A$2927, $A38,'Raw Data'!U$3:U$2927) / COUNTIF('Raw Data'!$A$3:$A$2927,$A38))</f>
        <v>0.125</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6.875</v>
      </c>
      <c r="AC38">
        <f>IF( COUNTIF('Raw Data'!$A$3:$A$2927,$A38)=0,0,SUMIF('Raw Data'!$A$3:$A$2927, $A38,'Raw Data'!AB$3:AB$2927) / COUNTIF('Raw Data'!$A$3:$A$2927,$A38))</f>
        <v>0</v>
      </c>
      <c r="AD38">
        <f>IF( COUNTIF('Raw Data'!$A$3:$A$2927,$A38)=0,0,SUMIF('Raw Data'!$A$3:$A$2927, $A38,'Raw Data'!AC$3:AC$2927) / COUNTIF('Raw Data'!$A$3:$A$2927,$A38))</f>
        <v>0.75</v>
      </c>
      <c r="AE38" s="117">
        <f>IF( COUNTIF('Raw Data'!$A$3:$A$2927,$A38)=0,0,SUMIF('Raw Data'!$A$3:$A$2927, $A38,'Raw Data'!AD$3:AD$2927) / COUNTIF('Raw Data'!$A$3:$A$2927,$A38))</f>
        <v>0</v>
      </c>
      <c r="AF38">
        <f>IF( COUNTIF('Raw Data'!$A$3:$A$2927,$A38)=0,0,SUMIF('Raw Data'!$A$3:$A$2927, $A38,'Raw Data'!AE$3:AE$2927) / COUNTIF('Raw Data'!$A$3:$A$2927,$A38))</f>
        <v>0</v>
      </c>
      <c r="AG38">
        <f>IF( COUNTIF('Raw Data'!$A$3:$A$2927,$A38)=0,0,SUMIF('Raw Data'!$A$3:$A$2927, $A38,'Raw Data'!AF$3:AF$2927) / COUNTIF('Raw Data'!$A$3:$A$2927,$A38))</f>
        <v>0</v>
      </c>
      <c r="AH38">
        <f>IF( COUNTIF('Raw Data'!$A$3:$A$2927,$A38)=0,0,SUMIF('Raw Data'!$A$3:$A$2927, $A38,'Raw Data'!AG$3:AG$2927) / COUNTIF('Raw Data'!$A$3:$A$2927,$A38))</f>
        <v>1.875</v>
      </c>
      <c r="AI38">
        <f>IF( COUNTIF('Raw Data'!$A$3:$A$2927,$A38)=0,0,SUMIF('Raw Data'!$A$3:$A$2927, $A38,'Raw Data'!AH$3:AH$2927) / COUNTIF('Raw Data'!$A$3:$A$2927,$A38))</f>
        <v>1</v>
      </c>
      <c r="AJ38" s="116">
        <f>COUNTIF('Raw Data'!A$3:A$2927, $A38)</f>
        <v>8</v>
      </c>
      <c r="AK38">
        <f>IFERROR(SUM(IF($E38 &gt;autoThreshold, auto), hatch * SUM($H38:$K38), cargo * SUM($M38:$P38),hatch * SUM( $S38:$V38), cargo * SUM($X38:$AA38), rocket23 * SUM($J38:$K38, $O38:$P38, $U38:$V38, $Z38:$AA38), IF($AD38 &gt; climbThreshold, climb), IF($AC38 &gt; assistThreshold, $AC38 * assist), $AH38 * penalty, dropHatch * $AI38, tippedBroke * SUM($AE38:$AF38),  IF( $E38 &lt; noAutoThreshold, noAuto), IF($C38 &lt; doesNothingThreshold, doesNothing, IF($AD38 &gt;1.45, 2) )), "h")</f>
        <v>-1.23</v>
      </c>
      <c r="AL38">
        <f>SUM(hHatch * SUM($H38:$K38), hHatch * SUM($S38:$V38), hRocket23 * SUM($J38:$K38), hRocket23 * SUM($U38:$V38), hSandstorm * SUM($H38:$K38), hPenalty * $AH38, hDropHatch * $AI38,hTippedBroke * SUM($AE38:$AF38), IF($E38 &lt; hNoAutoThreshold, hNoAuto), IF($AG38 &gt; hFloorHatchThreshold, hFloorHatch))</f>
        <v>-1.3125</v>
      </c>
      <c r="AM38">
        <f>SUM(cCargo * SUM($M38:$P38), cCargo *SUM( $X38:$AA38), cRocket23 * SUM($O38:$P38, $Z38:$AA38),cSandstorm * SUM($M38:$P38), cPenalty * $AH38, cTippedBroke * SUM($AE38:$AF38), IF($E38 &lt; cNoAutoThreshold, cNoAuto, 0))</f>
        <v>-0.49375000000000002</v>
      </c>
      <c r="AN38">
        <f t="shared" si="0"/>
        <v>-1.23</v>
      </c>
      <c r="AU38">
        <v>5036</v>
      </c>
      <c r="AV38">
        <v>27</v>
      </c>
      <c r="AX38">
        <v>2386</v>
      </c>
      <c r="AY38">
        <v>49</v>
      </c>
    </row>
    <row r="39" spans="1:51" ht="15.75" thickBot="1">
      <c r="A39">
        <v>4618</v>
      </c>
      <c r="B39" t="s">
        <v>483</v>
      </c>
      <c r="C39">
        <f>PRODUCT($E39,3)+PRODUCT(SUM($H39:$K39),2)+PRODUCT(SUM($M39:$P39),3)+PRODUCT(SUM($S39:$V39),2)+PRODUCT(SUM($X39:$AA39), 3)+IF($AC39 &gt; 2, PRODUCT(SUM($AC39, -1),6), PRODUCT($AC39,3)) + IF($AD39 &gt; 2, PRODUCT(SUM($AD39, -1),6), PRODUCT($AD39,3)) + PRODUCT($AH39, -1)</f>
        <v>0</v>
      </c>
      <c r="D39">
        <f>PRODUCT(SUM($H39:$I39), 2) + PRODUCT(SUM($M39:$N39),3) + PRODUCT(SUM($S39:$T39), 2) + PRODUCT(SUM($X39:$Y39), 3)</f>
        <v>0</v>
      </c>
      <c r="E39">
        <f>IF( COUNTIF('Raw Data'!$A$3:$A$2927,$A39)=0,0,SUMIF('Raw Data'!$A$3:$A$2927, $A39,'Raw Data'!D$3:D$2927) / COUNTIF('Raw Data'!$A$3:$A$2927,$A39))</f>
        <v>0</v>
      </c>
      <c r="F39">
        <f t="array" ref="F39">MAX(IF('Raw Data'!$A$3:$A$927=$A39, 'Raw Data'!$O$3:$O$927))</f>
        <v>0</v>
      </c>
      <c r="G39">
        <f t="array" ref="G39">MAX(IF('Raw Data'!$A$3:$A$927=$A39, 'Raw Data'!$I$3:$I$927))</f>
        <v>0</v>
      </c>
      <c r="H39">
        <f>IF( COUNTIF('Raw Data'!$A$3:$A$2927,$A39)=0,0,SUMIF('Raw Data'!$A$3:$A$2927, $A39,'Raw Data'!E$3:E$2927) / COUNTIF('Raw Data'!$A$3:$A$2927,$A39))</f>
        <v>0</v>
      </c>
      <c r="I39">
        <f>IF( COUNTIF('Raw Data'!$A$3:$A$2927,$A39)=0,0,SUMIF('Raw Data'!$A$3:$A$2927, $A39,'Raw Data'!F$3:F$2927) / COUNTIF('Raw Data'!$A$3:$A$2927,$A39))</f>
        <v>0</v>
      </c>
      <c r="J39">
        <f>IF( COUNTIF('Raw Data'!$A$3:$A$2927,$A39)=0,0,SUMIF('Raw Data'!$A$3:$A$2927, $A39,'Raw Data'!G$3:G$2927) / COUNTIF('Raw Data'!$A$3:$A$2927,$A39))</f>
        <v>0</v>
      </c>
      <c r="K39">
        <f>IF( COUNTIF('Raw Data'!$A$3:$A$2927,$A39)=0,0,SUMIF('Raw Data'!$A$3:$A$2927, $A39,'Raw Data'!H$3:H$2927) / COUNTIF('Raw Data'!$A$3:$A$2927,$A39))</f>
        <v>0</v>
      </c>
      <c r="L39">
        <f t="array" ref="L39">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 t="array" ref="Q39">MAX(IF('Raw Data'!$A$3:$A$927=$A39, 'Raw Data'!$Z$3:$Z$927))</f>
        <v>0</v>
      </c>
      <c r="R39">
        <f t="array" ref="R39">MAX(IF('Raw Data'!$A$3:$A$927=$A39, 'Raw Data'!$T$3:$T$927))</f>
        <v>0</v>
      </c>
      <c r="S39" s="118">
        <f>IF( COUNTIF('Raw Data'!$A$3:$A$2927,$A39)=0,0,SUMIF('Raw Data'!$A$3:$A$2927, $A39,'Raw Data'!P$3:P$2927) / COUNTIF('Raw Data'!$A$3:$A$2927,$A39))</f>
        <v>0</v>
      </c>
      <c r="T39">
        <f>IF( COUNTIF('Raw Data'!$A$3:$A$2927,$A39)=0,0,SUMIF('Raw Data'!$A$3:$A$2927, $A39,'Raw Data'!Q$3:Q$2927) / COUNTIF('Raw Data'!$A$3:$A$2927,$A39))</f>
        <v>0</v>
      </c>
      <c r="U39">
        <f>IF( COUNTIF('Raw Data'!$A$3:$A$2927,$A39)=0,0,SUMIF('Raw Data'!$A$3:$A$2927, $A39,'Raw Data'!R$3:R$2927) / COUNTIF('Raw Data'!$A$3:$A$2927,$A39))</f>
        <v>0</v>
      </c>
      <c r="V39">
        <f>IF( COUNTIF('Raw Data'!$A$3:$A$2927,$A39)=0,0,SUMIF('Raw Data'!$A$3:$A$2927, $A39,'Raw Data'!S$3:S$2927) / COUNTIF('Raw Data'!$A$3:$A$2927,$A39))</f>
        <v>0</v>
      </c>
      <c r="W39">
        <f t="array" ref="W39">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0</v>
      </c>
      <c r="AC39">
        <f>IF( COUNTIF('Raw Data'!$A$3:$A$2927,$A39)=0,0,SUMIF('Raw Data'!$A$3:$A$2927, $A39,'Raw Data'!AB$3:AB$2927) / COUNTIF('Raw Data'!$A$3:$A$2927,$A39))</f>
        <v>0</v>
      </c>
      <c r="AD39">
        <f>IF( COUNTIF('Raw Data'!$A$3:$A$2927,$A39)=0,0,SUMIF('Raw Data'!$A$3:$A$2927, $A39,'Raw Data'!AC$3:AC$2927) / COUNTIF('Raw Data'!$A$3:$A$2927,$A39))</f>
        <v>0</v>
      </c>
      <c r="AE39" s="117">
        <f>IF( COUNTIF('Raw Data'!$A$3:$A$2927,$A39)=0,0,SUMIF('Raw Data'!$A$3:$A$2927, $A39,'Raw Data'!AD$3:AD$2927) / COUNTIF('Raw Data'!$A$3:$A$2927,$A39))</f>
        <v>0</v>
      </c>
      <c r="AF39">
        <f>IF( COUNTIF('Raw Data'!$A$3:$A$2927,$A39)=0,0,SUMIF('Raw Data'!$A$3:$A$2927, $A39,'Raw Data'!AE$3:AE$2927) / COUNTIF('Raw Data'!$A$3:$A$2927,$A39))</f>
        <v>0</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0</v>
      </c>
      <c r="AJ39" s="116">
        <f>COUNTIF('Raw Data'!A$3:A$2927, $A39)</f>
        <v>0</v>
      </c>
      <c r="AK39">
        <f>IFERROR(SUM(IF($E39 &gt;autoThreshold, auto), hatch * SUM($H39:$K39), cargo * SUM($M39:$P39),hatch * SUM( $S39:$V39), cargo * SUM($X39:$AA39), rocket23 * SUM($J39:$K39, $O39:$P39, $U39:$V39, $Z39:$AA39), IF($AD39 &gt; climbThreshold, climb), IF($AC39 &gt; assistThreshold, $AC39 * assist), $AH39 * penalty, dropHatch * $AI39, tippedBroke * SUM($AE39:$AF39),  IF( $E39 &lt; noAutoThreshold, noAuto), IF($C39 &lt; doesNothingThreshold, doesNothing, IF($AD39 &gt;1.45, 2) )), "h")</f>
        <v>-21</v>
      </c>
      <c r="AL39">
        <f>SUM(hHatch * SUM($H39:$K39), hHatch * SUM($S39:$V39), hRocket23 * SUM($J39:$K39), hRocket23 * SUM($U39:$V39), hSandstorm * SUM($H39:$K39), hPenalty * $AH39, hDropHatch * $AI39,hTippedBroke * SUM($AE39:$AF39), IF($E39 &lt; hNoAutoThreshold, hNoAuto), IF($AG39 &gt; hFloorHatchThreshold, hFloorHatch))</f>
        <v>-1.5</v>
      </c>
      <c r="AM39">
        <f>SUM(cCargo * SUM($M39:$P39), cCargo *SUM( $X39:$AA39), cRocket23 * SUM($O39:$P39, $Z39:$AA39),cSandstorm * SUM($M39:$P39), cPenalty * $AH39, cTippedBroke * SUM($AE39:$AF39), IF($E39 &lt; cNoAutoThreshold, cNoAuto, 0))</f>
        <v>-1</v>
      </c>
      <c r="AN39">
        <f t="shared" si="0"/>
        <v>-21</v>
      </c>
      <c r="AX39">
        <v>4936</v>
      </c>
      <c r="AY39">
        <v>50</v>
      </c>
    </row>
    <row r="40" spans="1:51" ht="15.75" thickBot="1">
      <c r="A40">
        <v>4688</v>
      </c>
      <c r="B40" t="s">
        <v>451</v>
      </c>
      <c r="C40">
        <f>PRODUCT($E40,3)+PRODUCT(SUM($H40:$K40),2)+PRODUCT(SUM($M40:$P40),3)+PRODUCT(SUM($S40:$V40),2)+PRODUCT(SUM($X40:$AA40), 3)+IF($AC40 &gt; 2, PRODUCT(SUM($AC40, -1),6), PRODUCT($AC40,3)) + IF($AD40 &gt; 2, PRODUCT(SUM($AD40, -1),6), PRODUCT($AD40,3)) + PRODUCT($AH40, -1)</f>
        <v>0</v>
      </c>
      <c r="D40">
        <f>PRODUCT(SUM($H40:$I40), 2) + PRODUCT(SUM($M40:$N40),3) + PRODUCT(SUM($S40:$T40), 2) + PRODUCT(SUM($X40:$Y40), 3)</f>
        <v>0</v>
      </c>
      <c r="E40">
        <f>IF( COUNTIF('Raw Data'!$A$3:$A$2927,$A40)=0,0,SUMIF('Raw Data'!$A$3:$A$2927, $A40,'Raw Data'!D$3:D$2927) / COUNTIF('Raw Data'!$A$3:$A$2927,$A40))</f>
        <v>0</v>
      </c>
      <c r="F40">
        <f t="array" ref="F40">MAX(IF('Raw Data'!$A$3:$A$927=$A40, 'Raw Data'!$O$3:$O$927))</f>
        <v>0</v>
      </c>
      <c r="G40">
        <f t="array" ref="G40">MAX(IF('Raw Data'!$A$3:$A$927=$A40, 'Raw Data'!$I$3:$I$927))</f>
        <v>0</v>
      </c>
      <c r="H40">
        <f>IF( COUNTIF('Raw Data'!$A$3:$A$2927,$A40)=0,0,SUMIF('Raw Data'!$A$3:$A$2927, $A40,'Raw Data'!E$3:E$2927) / COUNTIF('Raw Data'!$A$3:$A$2927,$A40))</f>
        <v>0</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 t="array" ref="L40">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 t="array" ref="Q40">MAX(IF('Raw Data'!$A$3:$A$927=$A40, 'Raw Data'!$Z$3:$Z$927))</f>
        <v>0</v>
      </c>
      <c r="R40">
        <f t="array" ref="R40">MAX(IF('Raw Data'!$A$3:$A$927=$A40, 'Raw Data'!$T$3:$T$927))</f>
        <v>0</v>
      </c>
      <c r="S40" s="118">
        <f>IF( COUNTIF('Raw Data'!$A$3:$A$2927,$A40)=0,0,SUMIF('Raw Data'!$A$3:$A$2927, $A40,'Raw Data'!P$3:P$2927) / COUNTIF('Raw Data'!$A$3:$A$2927,$A40))</f>
        <v>0</v>
      </c>
      <c r="T40">
        <f>IF( COUNTIF('Raw Data'!$A$3:$A$2927,$A40)=0,0,SUMIF('Raw Data'!$A$3:$A$2927, $A40,'Raw Data'!Q$3:Q$2927) / COUNTIF('Raw Data'!$A$3:$A$2927,$A40))</f>
        <v>0</v>
      </c>
      <c r="U40">
        <f>IF( COUNTIF('Raw Data'!$A$3:$A$2927,$A40)=0,0,SUMIF('Raw Data'!$A$3:$A$2927, $A40,'Raw Data'!R$3:R$2927) / COUNTIF('Raw Data'!$A$3:$A$2927,$A40))</f>
        <v>0</v>
      </c>
      <c r="V40">
        <f>IF( COUNTIF('Raw Data'!$A$3:$A$2927,$A40)=0,0,SUMIF('Raw Data'!$A$3:$A$2927, $A40,'Raw Data'!S$3:S$2927) / COUNTIF('Raw Data'!$A$3:$A$2927,$A40))</f>
        <v>0</v>
      </c>
      <c r="W40">
        <f t="array" ref="W40">MAX(IF('Raw Data'!$A$3:$A$927=$A40, 'Raw Data'!$Y$3:$Y$927))</f>
        <v>0</v>
      </c>
      <c r="X40">
        <f>IF( COUNTIF('Raw Data'!$A$3:$A$2927,$A40)=0,0,SUMIF('Raw Data'!$A$3:$A$2927, $A40,'Raw Data'!U$3:U$2927) / COUNTIF('Raw Data'!$A$3:$A$2927,$A40))</f>
        <v>0</v>
      </c>
      <c r="Y40">
        <f>IF( COUNTIF('Raw Data'!$A$3:$A$2927,$A40)=0,0,SUMIF('Raw Data'!$A$3:$A$2927, $A40,'Raw Data'!V$3:V$2927) / COUNTIF('Raw Data'!$A$3:$A$2927,$A40))</f>
        <v>0</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0</v>
      </c>
      <c r="AC40">
        <f>IF( COUNTIF('Raw Data'!$A$3:$A$2927,$A40)=0,0,SUMIF('Raw Data'!$A$3:$A$2927, $A40,'Raw Data'!AB$3:AB$2927) / COUNTIF('Raw Data'!$A$3:$A$2927,$A40))</f>
        <v>0</v>
      </c>
      <c r="AD40">
        <f>IF( COUNTIF('Raw Data'!$A$3:$A$2927,$A40)=0,0,SUMIF('Raw Data'!$A$3:$A$2927, $A40,'Raw Data'!AC$3:AC$2927) / COUNTIF('Raw Data'!$A$3:$A$2927,$A40))</f>
        <v>0</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v>
      </c>
      <c r="AI40">
        <f>IF( COUNTIF('Raw Data'!$A$3:$A$2927,$A40)=0,0,SUMIF('Raw Data'!$A$3:$A$2927, $A40,'Raw Data'!AH$3:AH$2927) / COUNTIF('Raw Data'!$A$3:$A$2927,$A40))</f>
        <v>0</v>
      </c>
      <c r="AJ40" s="116">
        <f>COUNTIF('Raw Data'!A$3:A$2927, $A40)</f>
        <v>0</v>
      </c>
      <c r="AK40">
        <f>IFERROR(SUM(IF($E40 &gt;autoThreshold, auto), hatch * SUM($H40:$K40), cargo * SUM($M40:$P40),hatch * SUM( $S40:$V40), cargo * SUM($X40:$AA40), rocket23 * SUM($J40:$K40, $O40:$P40, $U40:$V40, $Z40:$AA40), IF($AD40 &gt; climbThreshold, climb), IF($AC40 &gt; assistThreshold, $AC40 * assist), $AH40 * penalty, dropHatch * $AI40, tippedBroke * SUM($AE40:$AF40),  IF( $E40 &lt; noAutoThreshold, noAuto), IF($C40 &lt; doesNothingThreshold, doesNothing, IF($AD40 &gt;1.45, 2) )), "h")</f>
        <v>-21</v>
      </c>
      <c r="AL40">
        <f>SUM(hHatch * SUM($H40:$K40), hHatch * SUM($S40:$V40), hRocket23 * SUM($J40:$K40), hRocket23 * SUM($U40:$V40), hSandstorm * SUM($H40:$K40), hPenalty * $AH40, hDropHatch * $AI40,hTippedBroke * SUM($AE40:$AF40), IF($E40 &lt; hNoAutoThreshold, hNoAuto), IF($AG40 &gt; hFloorHatchThreshold, hFloorHatch))</f>
        <v>-1.5</v>
      </c>
      <c r="AM40">
        <f>SUM(cCargo * SUM($M40:$P40), cCargo *SUM( $X40:$AA40), cRocket23 * SUM($O40:$P40, $Z40:$AA40),cSandstorm * SUM($M40:$P40), cPenalty * $AH40, cTippedBroke * SUM($AE40:$AF40), IF($E40 &lt; cNoAutoThreshold, cNoAuto, 0))</f>
        <v>-1</v>
      </c>
      <c r="AN40">
        <f t="shared" si="0"/>
        <v>-21</v>
      </c>
      <c r="AX40">
        <v>6110</v>
      </c>
      <c r="AY40">
        <v>59</v>
      </c>
    </row>
    <row r="41" spans="1:51" ht="15.75" thickBot="1">
      <c r="A41">
        <v>4704</v>
      </c>
      <c r="B41" t="s">
        <v>211</v>
      </c>
      <c r="C41">
        <f>PRODUCT($E41,3)+PRODUCT(SUM($H41:$K41),2)+PRODUCT(SUM($M41:$P41),3)+PRODUCT(SUM($S41:$V41),2)+PRODUCT(SUM($X41:$AA41), 3)+IF($AC41 &gt; 2, PRODUCT(SUM($AC41, -1),6), PRODUCT($AC41,3)) + IF($AD41 &gt; 2, PRODUCT(SUM($AD41, -1),6), PRODUCT($AD41,3)) + PRODUCT($AH41, -1)</f>
        <v>8.5</v>
      </c>
      <c r="D41">
        <f>PRODUCT(SUM($H41:$I41), 2) + PRODUCT(SUM($M41:$N41),3) + PRODUCT(SUM($S41:$T41), 2) + PRODUCT(SUM($X41:$Y41), 3)</f>
        <v>3.8</v>
      </c>
      <c r="E41">
        <f>IF( COUNTIF('Raw Data'!$A$3:$A$2927,$A41)=0,0,SUMIF('Raw Data'!$A$3:$A$2927, $A41,'Raw Data'!D$3:D$2927) / COUNTIF('Raw Data'!$A$3:$A$2927,$A41))</f>
        <v>0.9</v>
      </c>
      <c r="F41">
        <f t="array" ref="F41">MAX(IF('Raw Data'!$A$3:$A$927=$A41, 'Raw Data'!$O$3:$O$927))</f>
        <v>1</v>
      </c>
      <c r="G41">
        <f t="array" ref="G41">MAX(IF('Raw Data'!$A$3:$A$927=$A41, 'Raw Data'!$I$3:$I$927))</f>
        <v>1</v>
      </c>
      <c r="H41">
        <f>IF( COUNTIF('Raw Data'!$A$3:$A$2927,$A41)=0,0,SUMIF('Raw Data'!$A$3:$A$2927, $A41,'Raw Data'!E$3:E$2927) / COUNTIF('Raw Data'!$A$3:$A$2927,$A41))</f>
        <v>0.2</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 t="array" ref="L41">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 t="array" ref="Q41">MAX(IF('Raw Data'!$A$3:$A$927=$A41, 'Raw Data'!$Z$3:$Z$927))</f>
        <v>4</v>
      </c>
      <c r="R41">
        <f t="array" ref="R41">MAX(IF('Raw Data'!$A$3:$A$927=$A41, 'Raw Data'!$T$3:$T$927))</f>
        <v>4</v>
      </c>
      <c r="S41" s="118">
        <f>IF( COUNTIF('Raw Data'!$A$3:$A$2927,$A41)=0,0,SUMIF('Raw Data'!$A$3:$A$2927, $A41,'Raw Data'!P$3:P$2927) / COUNTIF('Raw Data'!$A$3:$A$2927,$A41))</f>
        <v>0.4</v>
      </c>
      <c r="T41">
        <f>IF( COUNTIF('Raw Data'!$A$3:$A$2927,$A41)=0,0,SUMIF('Raw Data'!$A$3:$A$2927, $A41,'Raw Data'!Q$3:Q$2927) / COUNTIF('Raw Data'!$A$3:$A$2927,$A41))</f>
        <v>0.4</v>
      </c>
      <c r="U41">
        <f>IF( COUNTIF('Raw Data'!$A$3:$A$2927,$A41)=0,0,SUMIF('Raw Data'!$A$3:$A$2927, $A41,'Raw Data'!R$3:R$2927) / COUNTIF('Raw Data'!$A$3:$A$2927,$A41))</f>
        <v>0</v>
      </c>
      <c r="V41">
        <f>IF( COUNTIF('Raw Data'!$A$3:$A$2927,$A41)=0,0,SUMIF('Raw Data'!$A$3:$A$2927, $A41,'Raw Data'!S$3:S$2927) / COUNTIF('Raw Data'!$A$3:$A$2927,$A41))</f>
        <v>0</v>
      </c>
      <c r="W41">
        <f t="array" ref="W41">MAX(IF('Raw Data'!$A$3:$A$927=$A41, 'Raw Data'!$Y$3:$Y$927))</f>
        <v>2</v>
      </c>
      <c r="X41">
        <f>IF( COUNTIF('Raw Data'!$A$3:$A$2927,$A41)=0,0,SUMIF('Raw Data'!$A$3:$A$2927, $A41,'Raw Data'!U$3:U$2927) / COUNTIF('Raw Data'!$A$3:$A$2927,$A41))</f>
        <v>0.6</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0.1</v>
      </c>
      <c r="AB41">
        <f>IF( COUNTIF('Raw Data'!$A$3:$A$2927,$A41)=0,0,SUMIF('Raw Data'!$A$3:$A$2927, $A41,'Raw Data'!AA$3:AA$2927) / COUNTIF('Raw Data'!$A$3:$A$2927,$A41))</f>
        <v>0</v>
      </c>
      <c r="AC41">
        <f>IF( COUNTIF('Raw Data'!$A$3:$A$2927,$A41)=0,0,SUMIF('Raw Data'!$A$3:$A$2927, $A41,'Raw Data'!AB$3:AB$2927) / COUNTIF('Raw Data'!$A$3:$A$2927,$A41))</f>
        <v>0</v>
      </c>
      <c r="AD41">
        <f>IF( COUNTIF('Raw Data'!$A$3:$A$2927,$A41)=0,0,SUMIF('Raw Data'!$A$3:$A$2927, $A41,'Raw Data'!AC$3:AC$2927) / COUNTIF('Raw Data'!$A$3:$A$2927,$A41))</f>
        <v>0.9</v>
      </c>
      <c r="AE41" s="117">
        <f>IF( COUNTIF('Raw Data'!$A$3:$A$2927,$A41)=0,0,SUMIF('Raw Data'!$A$3:$A$2927, $A41,'Raw Data'!AD$3:AD$2927) / COUNTIF('Raw Data'!$A$3:$A$2927,$A41))</f>
        <v>0</v>
      </c>
      <c r="AF41">
        <f>IF( COUNTIF('Raw Data'!$A$3:$A$2927,$A41)=0,0,SUMIF('Raw Data'!$A$3:$A$2927, $A41,'Raw Data'!AE$3:AE$2927) / COUNTIF('Raw Data'!$A$3:$A$2927,$A41))</f>
        <v>0</v>
      </c>
      <c r="AG41">
        <f>IF( COUNTIF('Raw Data'!$A$3:$A$2927,$A41)=0,0,SUMIF('Raw Data'!$A$3:$A$2927, $A41,'Raw Data'!AF$3:AF$2927) / COUNTIF('Raw Data'!$A$3:$A$2927,$A41))</f>
        <v>0</v>
      </c>
      <c r="AH41">
        <f>IF( COUNTIF('Raw Data'!$A$3:$A$2927,$A41)=0,0,SUMIF('Raw Data'!$A$3:$A$2927, $A41,'Raw Data'!AG$3:AG$2927) / COUNTIF('Raw Data'!$A$3:$A$2927,$A41))</f>
        <v>1</v>
      </c>
      <c r="AI41">
        <f>IF( COUNTIF('Raw Data'!$A$3:$A$2927,$A41)=0,0,SUMIF('Raw Data'!$A$3:$A$2927, $A41,'Raw Data'!AH$3:AH$2927) / COUNTIF('Raw Data'!$A$3:$A$2927,$A41))</f>
        <v>0.9</v>
      </c>
      <c r="AJ41" s="116">
        <f>COUNTIF('Raw Data'!A$3:A$2927, $A41)</f>
        <v>10</v>
      </c>
      <c r="AK41">
        <f>IFERROR(SUM(IF($E41 &gt;autoThreshold, auto), hatch * SUM($H41:$K41), cargo * SUM($M41:$P41),hatch * SUM( $S41:$V41), cargo * SUM($X41:$AA41), rocket23 * SUM($J41:$K41, $O41:$P41, $U41:$V41, $Z41:$AA41), IF($AD41 &gt; climbThreshold, climb), IF($AC41 &gt; assistThreshold, $AC41 * assist), $AH41 * penalty, dropHatch * $AI41, tippedBroke * SUM($AE41:$AF41),  IF( $E41 &lt; noAutoThreshold, noAuto), IF($C41 &lt; doesNothingThreshold, doesNothing, IF($AD41 &gt;1.45, 2) )), "h")</f>
        <v>-1.788</v>
      </c>
      <c r="AL41">
        <f>SUM(hHatch * SUM($H41:$K41), hHatch * SUM($S41:$V41), hRocket23 * SUM($J41:$K41), hRocket23 * SUM($U41:$V41), hSandstorm * SUM($H41:$K41), hPenalty * $AH41, hDropHatch * $AI41,hTippedBroke * SUM($AE41:$AF41), IF($E41 &lt; hNoAutoThreshold, hNoAuto), IF($AG41 &gt; hFloorHatchThreshold, hFloorHatch))</f>
        <v>-2.7</v>
      </c>
      <c r="AM41">
        <f>SUM(cCargo * SUM($M41:$P41), cCargo *SUM( $X41:$AA41), cRocket23 * SUM($O41:$P41, $Z41:$AA41),cSandstorm * SUM($M41:$P41), cPenalty * $AH41, cTippedBroke * SUM($AE41:$AF41), IF($E41 &lt; cNoAutoThreshold, cNoAuto, 0))</f>
        <v>-0.58000000000000007</v>
      </c>
      <c r="AN41">
        <f t="shared" si="0"/>
        <v>-1.8380000000000001</v>
      </c>
    </row>
    <row r="42" spans="1:51" ht="15.75" thickBot="1">
      <c r="A42">
        <v>4777</v>
      </c>
      <c r="B42" t="s">
        <v>484</v>
      </c>
      <c r="C42">
        <f>PRODUCT($E42,3)+PRODUCT(SUM($H42:$K42),2)+PRODUCT(SUM($M42:$P42),3)+PRODUCT(SUM($S42:$V42),2)+PRODUCT(SUM($X42:$AA42), 3)+IF($AC42 &gt; 2, PRODUCT(SUM($AC42, -1),6), PRODUCT($AC42,3)) + IF($AD42 &gt; 2, PRODUCT(SUM($AD42, -1),6), PRODUCT($AD42,3)) + PRODUCT($AH42, -1)</f>
        <v>0</v>
      </c>
      <c r="D42">
        <f>PRODUCT(SUM($H42:$I42), 2) + PRODUCT(SUM($M42:$N42),3) + PRODUCT(SUM($S42:$T42), 2) + PRODUCT(SUM($X42:$Y42), 3)</f>
        <v>0</v>
      </c>
      <c r="E42">
        <f>IF( COUNTIF('Raw Data'!$A$3:$A$2927,$A42)=0,0,SUMIF('Raw Data'!$A$3:$A$2927, $A42,'Raw Data'!D$3:D$2927) / COUNTIF('Raw Data'!$A$3:$A$2927,$A42))</f>
        <v>0</v>
      </c>
      <c r="F42">
        <f t="array" ref="F42">MAX(IF('Raw Data'!$A$3:$A$927=$A42, 'Raw Data'!$O$3:$O$927))</f>
        <v>0</v>
      </c>
      <c r="G42">
        <f t="array" ref="G42">MAX(IF('Raw Data'!$A$3:$A$927=$A42, 'Raw Data'!$I$3:$I$927))</f>
        <v>0</v>
      </c>
      <c r="H42">
        <f>IF( COUNTIF('Raw Data'!$A$3:$A$2927,$A42)=0,0,SUMIF('Raw Data'!$A$3:$A$2927, $A42,'Raw Data'!E$3:E$2927) / COUNTIF('Raw Data'!$A$3:$A$2927,$A42))</f>
        <v>0</v>
      </c>
      <c r="I42">
        <f>IF( COUNTIF('Raw Data'!$A$3:$A$2927,$A42)=0,0,SUMIF('Raw Data'!$A$3:$A$2927, $A42,'Raw Data'!F$3:F$2927) / COUNTIF('Raw Data'!$A$3:$A$2927,$A42))</f>
        <v>0</v>
      </c>
      <c r="J42">
        <f>IF( COUNTIF('Raw Data'!$A$3:$A$2927,$A42)=0,0,SUMIF('Raw Data'!$A$3:$A$2927, $A42,'Raw Data'!G$3:G$2927) / COUNTIF('Raw Data'!$A$3:$A$2927,$A42))</f>
        <v>0</v>
      </c>
      <c r="K42">
        <f>IF( COUNTIF('Raw Data'!$A$3:$A$2927,$A42)=0,0,SUMIF('Raw Data'!$A$3:$A$2927, $A42,'Raw Data'!H$3:H$2927) / COUNTIF('Raw Data'!$A$3:$A$2927,$A42))</f>
        <v>0</v>
      </c>
      <c r="L42">
        <f t="array" ref="L42">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 t="array" ref="Q42">MAX(IF('Raw Data'!$A$3:$A$927=$A42, 'Raw Data'!$Z$3:$Z$927))</f>
        <v>0</v>
      </c>
      <c r="R42">
        <f t="array" ref="R42">MAX(IF('Raw Data'!$A$3:$A$927=$A42, 'Raw Data'!$T$3:$T$927))</f>
        <v>0</v>
      </c>
      <c r="S42" s="118">
        <f>IF( COUNTIF('Raw Data'!$A$3:$A$2927,$A42)=0,0,SUMIF('Raw Data'!$A$3:$A$2927, $A42,'Raw Data'!P$3:P$2927) / COUNTIF('Raw Data'!$A$3:$A$2927,$A42))</f>
        <v>0</v>
      </c>
      <c r="T42">
        <f>IF( COUNTIF('Raw Data'!$A$3:$A$2927,$A42)=0,0,SUMIF('Raw Data'!$A$3:$A$2927, $A42,'Raw Data'!Q$3:Q$2927) / COUNTIF('Raw Data'!$A$3:$A$2927,$A42))</f>
        <v>0</v>
      </c>
      <c r="U42">
        <f>IF( COUNTIF('Raw Data'!$A$3:$A$2927,$A42)=0,0,SUMIF('Raw Data'!$A$3:$A$2927, $A42,'Raw Data'!R$3:R$2927) / COUNTIF('Raw Data'!$A$3:$A$2927,$A42))</f>
        <v>0</v>
      </c>
      <c r="V42">
        <f>IF( COUNTIF('Raw Data'!$A$3:$A$2927,$A42)=0,0,SUMIF('Raw Data'!$A$3:$A$2927, $A42,'Raw Data'!S$3:S$2927) / COUNTIF('Raw Data'!$A$3:$A$2927,$A42))</f>
        <v>0</v>
      </c>
      <c r="W42">
        <f t="array" ref="W42">MAX(IF('Raw Data'!$A$3:$A$927=$A42, 'Raw Data'!$Y$3:$Y$927))</f>
        <v>0</v>
      </c>
      <c r="X42">
        <f>IF( COUNTIF('Raw Data'!$A$3:$A$2927,$A42)=0,0,SUMIF('Raw Data'!$A$3:$A$2927, $A42,'Raw Data'!U$3:U$2927) / COUNTIF('Raw Data'!$A$3:$A$2927,$A42))</f>
        <v>0</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0</v>
      </c>
      <c r="AC42">
        <f>IF( COUNTIF('Raw Data'!$A$3:$A$2927,$A42)=0,0,SUMIF('Raw Data'!$A$3:$A$2927, $A42,'Raw Data'!AB$3:AB$2927) / COUNTIF('Raw Data'!$A$3:$A$2927,$A42))</f>
        <v>0</v>
      </c>
      <c r="AD42">
        <f>IF( COUNTIF('Raw Data'!$A$3:$A$2927,$A42)=0,0,SUMIF('Raw Data'!$A$3:$A$2927, $A42,'Raw Data'!AC$3:AC$2927) / COUNTIF('Raw Data'!$A$3:$A$2927,$A42))</f>
        <v>0</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v>
      </c>
      <c r="AI42">
        <f>IF( COUNTIF('Raw Data'!$A$3:$A$2927,$A42)=0,0,SUMIF('Raw Data'!$A$3:$A$2927, $A42,'Raw Data'!AH$3:AH$2927) / COUNTIF('Raw Data'!$A$3:$A$2927,$A42))</f>
        <v>0</v>
      </c>
      <c r="AJ42" s="116">
        <f>COUNTIF('Raw Data'!A$3:A$2927, $A42)</f>
        <v>0</v>
      </c>
      <c r="AK42">
        <f>IFERROR(SUM(IF($E42 &gt;autoThreshold, auto), hatch * SUM($H42:$K42), cargo * SUM($M42:$P42),hatch * SUM( $S42:$V42), cargo * SUM($X42:$AA42), rocket23 * SUM($J42:$K42, $O42:$P42, $U42:$V42, $Z42:$AA42), IF($AD42 &gt; climbThreshold, climb), IF($AC42 &gt; assistThreshold, $AC42 * assist), $AH42 * penalty, dropHatch * $AI42, tippedBroke * SUM($AE42:$AF42),  IF( $E42 &lt; noAutoThreshold, noAuto), IF($C42 &lt; doesNothingThreshold, doesNothing, IF($AD42 &gt;1.45, 2) )), "h")</f>
        <v>-21</v>
      </c>
      <c r="AL42">
        <f>SUM(hHatch * SUM($H42:$K42), hHatch * SUM($S42:$V42), hRocket23 * SUM($J42:$K42), hRocket23 * SUM($U42:$V42), hSandstorm * SUM($H42:$K42), hPenalty * $AH42, hDropHatch * $AI42,hTippedBroke * SUM($AE42:$AF42), IF($E42 &lt; hNoAutoThreshold, hNoAuto), IF($AG42 &gt; hFloorHatchThreshold, hFloorHatch))</f>
        <v>-1.5</v>
      </c>
      <c r="AM42">
        <f>SUM(cCargo * SUM($M42:$P42), cCargo *SUM( $X42:$AA42), cRocket23 * SUM($O42:$P42, $Z42:$AA42),cSandstorm * SUM($M42:$P42), cPenalty * $AH42, cTippedBroke * SUM($AE42:$AF42), IF($E42 &lt; cNoAutoThreshold, cNoAuto, 0))</f>
        <v>-1</v>
      </c>
      <c r="AN42">
        <f t="shared" si="0"/>
        <v>-21</v>
      </c>
    </row>
    <row r="43" spans="1:51" ht="15.75" thickBot="1">
      <c r="A43">
        <v>4783</v>
      </c>
      <c r="B43" t="s">
        <v>212</v>
      </c>
      <c r="C43">
        <f>PRODUCT($E43,3)+PRODUCT(SUM($H43:$K43),2)+PRODUCT(SUM($M43:$P43),3)+PRODUCT(SUM($S43:$V43),2)+PRODUCT(SUM($X43:$AA43), 3)+IF($AC43 &gt; 2, PRODUCT(SUM($AC43, -1),6), PRODUCT($AC43,3)) + IF($AD43 &gt; 2, PRODUCT(SUM($AD43, -1),6), PRODUCT($AD43,3)) + PRODUCT($AH43, -1)</f>
        <v>8.4444444444444446</v>
      </c>
      <c r="D43">
        <f>PRODUCT(SUM($H43:$I43), 2) + PRODUCT(SUM($M43:$N43),3) + PRODUCT(SUM($S43:$T43), 2) + PRODUCT(SUM($X43:$Y43), 3)</f>
        <v>2.4444444444444446</v>
      </c>
      <c r="E43">
        <f>IF( COUNTIF('Raw Data'!$A$3:$A$2927,$A43)=0,0,SUMIF('Raw Data'!$A$3:$A$2927, $A43,'Raw Data'!D$3:D$2927) / COUNTIF('Raw Data'!$A$3:$A$2927,$A43))</f>
        <v>1.4444444444444444</v>
      </c>
      <c r="F43">
        <f t="array" ref="F43">MAX(IF('Raw Data'!$A$3:$A$927=$A43, 'Raw Data'!$O$3:$O$927))</f>
        <v>1</v>
      </c>
      <c r="G43">
        <f t="array" ref="G43">MAX(IF('Raw Data'!$A$3:$A$927=$A43, 'Raw Data'!$I$3:$I$927))</f>
        <v>1</v>
      </c>
      <c r="H43">
        <f>IF( COUNTIF('Raw Data'!$A$3:$A$2927,$A43)=0,0,SUMIF('Raw Data'!$A$3:$A$2927, $A43,'Raw Data'!E$3:E$2927) / COUNTIF('Raw Data'!$A$3:$A$2927,$A43))</f>
        <v>0.22222222222222221</v>
      </c>
      <c r="I43">
        <f>IF( COUNTIF('Raw Data'!$A$3:$A$2927,$A43)=0,0,SUMIF('Raw Data'!$A$3:$A$2927, $A43,'Raw Data'!F$3:F$2927) / COUNTIF('Raw Data'!$A$3:$A$2927,$A43))</f>
        <v>0</v>
      </c>
      <c r="J43">
        <f>IF( COUNTIF('Raw Data'!$A$3:$A$2927,$A43)=0,0,SUMIF('Raw Data'!$A$3:$A$2927, $A43,'Raw Data'!G$3:G$2927) / COUNTIF('Raw Data'!$A$3:$A$2927,$A43))</f>
        <v>0</v>
      </c>
      <c r="K43">
        <f>IF( COUNTIF('Raw Data'!$A$3:$A$2927,$A43)=0,0,SUMIF('Raw Data'!$A$3:$A$2927, $A43,'Raw Data'!H$3:H$2927) / COUNTIF('Raw Data'!$A$3:$A$2927,$A43))</f>
        <v>0</v>
      </c>
      <c r="L43">
        <f t="array" ref="L43">MAX(IF('Raw Data'!$A$3:$A$927=$A43, 'Raw Data'!$N$3:$N$927))</f>
        <v>0</v>
      </c>
      <c r="M43">
        <f>IF( COUNTIF('Raw Data'!$A$3:$A$2927,$A43)=0,0,SUMIF('Raw Data'!$A$3:$A$2927, $A43,'Raw Data'!J$3:J$2927) / COUNTIF('Raw Data'!$A$3:$A$2927,$A43))</f>
        <v>0</v>
      </c>
      <c r="N43">
        <f>IF( COUNTIF('Raw Data'!$A$3:$A$2927,$A43)=0,0,SUMIF('Raw Data'!$A$3:$A$2927, $A43,'Raw Data'!K$3:K$2927) / COUNTIF('Raw Data'!$A$3:$A$2927,$A43))</f>
        <v>0</v>
      </c>
      <c r="O43">
        <f>IF( COUNTIF('Raw Data'!$A$3:$A$2927,$A43)=0,0,SUMIF('Raw Data'!$A$3:$A$2927, $A43,'Raw Data'!L$3:L$2927) / COUNTIF('Raw Data'!$A$3:$A$2927,$A43))</f>
        <v>0</v>
      </c>
      <c r="P43" s="58">
        <f>IF( COUNTIF('Raw Data'!$A$3:$A$2927,$A43)=0,0,SUMIF('Raw Data'!$A$3:$A$2927, $A43,'Raw Data'!M$3:M$2927) / COUNTIF('Raw Data'!$A$3:$A$2927,$A43))</f>
        <v>0</v>
      </c>
      <c r="Q43">
        <f t="array" ref="Q43">MAX(IF('Raw Data'!$A$3:$A$927=$A43, 'Raw Data'!$Z$3:$Z$927))</f>
        <v>3</v>
      </c>
      <c r="R43">
        <f t="array" ref="R43">MAX(IF('Raw Data'!$A$3:$A$927=$A43, 'Raw Data'!$T$3:$T$927))</f>
        <v>3</v>
      </c>
      <c r="S43" s="118">
        <f>IF( COUNTIF('Raw Data'!$A$3:$A$2927,$A43)=0,0,SUMIF('Raw Data'!$A$3:$A$2927, $A43,'Raw Data'!P$3:P$2927) / COUNTIF('Raw Data'!$A$3:$A$2927,$A43))</f>
        <v>0.77777777777777779</v>
      </c>
      <c r="T43">
        <f>IF( COUNTIF('Raw Data'!$A$3:$A$2927,$A43)=0,0,SUMIF('Raw Data'!$A$3:$A$2927, $A43,'Raw Data'!Q$3:Q$2927) / COUNTIF('Raw Data'!$A$3:$A$2927,$A43))</f>
        <v>0.22222222222222221</v>
      </c>
      <c r="U43">
        <f>IF( COUNTIF('Raw Data'!$A$3:$A$2927,$A43)=0,0,SUMIF('Raw Data'!$A$3:$A$2927, $A43,'Raw Data'!R$3:R$2927) / COUNTIF('Raw Data'!$A$3:$A$2927,$A43))</f>
        <v>0</v>
      </c>
      <c r="V43">
        <f>IF( COUNTIF('Raw Data'!$A$3:$A$2927,$A43)=0,0,SUMIF('Raw Data'!$A$3:$A$2927, $A43,'Raw Data'!S$3:S$2927) / COUNTIF('Raw Data'!$A$3:$A$2927,$A43))</f>
        <v>0</v>
      </c>
      <c r="W43">
        <f t="array" ref="W43">MAX(IF('Raw Data'!$A$3:$A$927=$A43, 'Raw Data'!$Y$3:$Y$927))</f>
        <v>0</v>
      </c>
      <c r="X43">
        <f>IF( COUNTIF('Raw Data'!$A$3:$A$2927,$A43)=0,0,SUMIF('Raw Data'!$A$3:$A$2927, $A43,'Raw Data'!U$3:U$2927) / COUNTIF('Raw Data'!$A$3:$A$2927,$A43))</f>
        <v>0</v>
      </c>
      <c r="Y43">
        <f>IF( COUNTIF('Raw Data'!$A$3:$A$2927,$A43)=0,0,SUMIF('Raw Data'!$A$3:$A$2927, $A43,'Raw Data'!V$3:V$2927) / COUNTIF('Raw Data'!$A$3:$A$2927,$A43))</f>
        <v>0</v>
      </c>
      <c r="Z43">
        <f>IF( COUNTIF('Raw Data'!$A$3:$A$2927,$A43)=0,0,SUMIF('Raw Data'!$A$3:$A$2927, $A43,'Raw Data'!W$3:W$2927) / COUNTIF('Raw Data'!$A$3:$A$2927,$A43))</f>
        <v>0</v>
      </c>
      <c r="AA43">
        <f>IF( COUNTIF('Raw Data'!$A$3:$A$2927,$A43)=0,0,SUMIF('Raw Data'!$A$3:$A$2927, $A43,'Raw Data'!X$3:X$2927) / COUNTIF('Raw Data'!$A$3:$A$2927,$A43))</f>
        <v>0</v>
      </c>
      <c r="AB43">
        <f>IF( COUNTIF('Raw Data'!$A$3:$A$2927,$A43)=0,0,SUMIF('Raw Data'!$A$3:$A$2927, $A43,'Raw Data'!AA$3:AA$2927) / COUNTIF('Raw Data'!$A$3:$A$2927,$A43))</f>
        <v>48</v>
      </c>
      <c r="AC43">
        <f>IF( COUNTIF('Raw Data'!$A$3:$A$2927,$A43)=0,0,SUMIF('Raw Data'!$A$3:$A$2927, $A43,'Raw Data'!AB$3:AB$2927) / COUNTIF('Raw Data'!$A$3:$A$2927,$A43))</f>
        <v>0</v>
      </c>
      <c r="AD43">
        <f>IF( COUNTIF('Raw Data'!$A$3:$A$2927,$A43)=0,0,SUMIF('Raw Data'!$A$3:$A$2927, $A43,'Raw Data'!AC$3:AC$2927) / COUNTIF('Raw Data'!$A$3:$A$2927,$A43))</f>
        <v>0.88888888888888884</v>
      </c>
      <c r="AE43" s="117">
        <f>IF( COUNTIF('Raw Data'!$A$3:$A$2927,$A43)=0,0,SUMIF('Raw Data'!$A$3:$A$2927, $A43,'Raw Data'!AD$3:AD$2927) / COUNTIF('Raw Data'!$A$3:$A$2927,$A43))</f>
        <v>0</v>
      </c>
      <c r="AF43">
        <f>IF( COUNTIF('Raw Data'!$A$3:$A$2927,$A43)=0,0,SUMIF('Raw Data'!$A$3:$A$2927, $A43,'Raw Data'!AE$3:AE$2927) / COUNTIF('Raw Data'!$A$3:$A$2927,$A43))</f>
        <v>0.1111111111111111</v>
      </c>
      <c r="AG43">
        <f>IF( COUNTIF('Raw Data'!$A$3:$A$2927,$A43)=0,0,SUMIF('Raw Data'!$A$3:$A$2927, $A43,'Raw Data'!AF$3:AF$2927) / COUNTIF('Raw Data'!$A$3:$A$2927,$A43))</f>
        <v>0</v>
      </c>
      <c r="AH43">
        <f>IF( COUNTIF('Raw Data'!$A$3:$A$2927,$A43)=0,0,SUMIF('Raw Data'!$A$3:$A$2927, $A43,'Raw Data'!AG$3:AG$2927) / COUNTIF('Raw Data'!$A$3:$A$2927,$A43))</f>
        <v>1</v>
      </c>
      <c r="AI43">
        <f>IF( COUNTIF('Raw Data'!$A$3:$A$2927,$A43)=0,0,SUMIF('Raw Data'!$A$3:$A$2927, $A43,'Raw Data'!AH$3:AH$2927) / COUNTIF('Raw Data'!$A$3:$A$2927,$A43))</f>
        <v>0.55555555555555558</v>
      </c>
      <c r="AJ43" s="116">
        <f>COUNTIF('Raw Data'!A$3:A$2927, $A43)</f>
        <v>9</v>
      </c>
      <c r="AK43">
        <f>IFERROR(SUM(IF($E43 &gt;autoThreshold, auto), hatch * SUM($H43:$K43), cargo * SUM($M43:$P43),hatch * SUM( $S43:$V43), cargo * SUM($X43:$AA43), rocket23 * SUM($J43:$K43, $O43:$P43, $U43:$V43, $Z43:$AA43), IF($AD43 &gt; climbThreshold, climb), IF($AC43 &gt; assistThreshold, $AC43 * assist), $AH43 * penalty, dropHatch * $AI43, tippedBroke * SUM($AE43:$AF43),  IF( $E43 &lt; noAutoThreshold, noAuto), IF($C43 &lt; doesNothingThreshold, doesNothing, IF($AD43 &gt;1.45, 2) )), "h")</f>
        <v>-0.61111111111111105</v>
      </c>
      <c r="AL43">
        <f>SUM(hHatch * SUM($H43:$K43), hHatch * SUM($S43:$V43), hRocket23 * SUM($J43:$K43), hRocket23 * SUM($U43:$V43), hSandstorm * SUM($H43:$K43), hPenalty * $AH43, hDropHatch * $AI43,hTippedBroke * SUM($AE43:$AF43), IF($E43 &lt; hNoAutoThreshold, hNoAuto), IF($AG43 &gt; hFloorHatchThreshold, hFloorHatch))</f>
        <v>-0.49999999999999989</v>
      </c>
      <c r="AM43">
        <f>SUM(cCargo * SUM($M43:$P43), cCargo *SUM( $X43:$AA43), cRocket23 * SUM($O43:$P43, $Z43:$AA43),cSandstorm * SUM($M43:$P43), cPenalty * $AH43, cTippedBroke * SUM($AE43:$AF43), IF($E43 &lt; cNoAutoThreshold, cNoAuto, 0))</f>
        <v>-0.55222222222222217</v>
      </c>
    </row>
    <row r="44" spans="1:51" ht="15.75" thickBot="1">
      <c r="A44">
        <v>4903</v>
      </c>
      <c r="B44" t="s">
        <v>452</v>
      </c>
      <c r="C44">
        <f>PRODUCT($E44,3)+PRODUCT(SUM($H44:$K44),2)+PRODUCT(SUM($M44:$P44),3)+PRODUCT(SUM($S44:$V44),2)+PRODUCT(SUM($X44:$AA44), 3)+IF($AC44 &gt; 2, PRODUCT(SUM($AC44, -1),6), PRODUCT($AC44,3)) + IF($AD44 &gt; 2, PRODUCT(SUM($AD44, -1),6), PRODUCT($AD44,3)) + PRODUCT($AH44, -1)</f>
        <v>0</v>
      </c>
      <c r="D44">
        <f>PRODUCT(SUM($H44:$I44), 2) + PRODUCT(SUM($M44:$N44),3) + PRODUCT(SUM($S44:$T44), 2) + PRODUCT(SUM($X44:$Y44), 3)</f>
        <v>0</v>
      </c>
      <c r="E44">
        <f>IF( COUNTIF('Raw Data'!$A$3:$A$2927,$A44)=0,0,SUMIF('Raw Data'!$A$3:$A$2927, $A44,'Raw Data'!D$3:D$2927) / COUNTIF('Raw Data'!$A$3:$A$2927,$A44))</f>
        <v>0</v>
      </c>
      <c r="F44">
        <f t="array" ref="F44">MAX(IF('Raw Data'!$A$3:$A$927=$A44, 'Raw Data'!$O$3:$O$927))</f>
        <v>0</v>
      </c>
      <c r="G44">
        <f t="array" ref="G44">MAX(IF('Raw Data'!$A$3:$A$927=$A44, 'Raw Data'!$I$3:$I$927))</f>
        <v>0</v>
      </c>
      <c r="H44">
        <f>IF( COUNTIF('Raw Data'!$A$3:$A$2927,$A44)=0,0,SUMIF('Raw Data'!$A$3:$A$2927, $A44,'Raw Data'!E$3:E$2927) / COUNTIF('Raw Data'!$A$3:$A$2927,$A44))</f>
        <v>0</v>
      </c>
      <c r="I44">
        <f>IF( COUNTIF('Raw Data'!$A$3:$A$2927,$A44)=0,0,SUMIF('Raw Data'!$A$3:$A$2927, $A44,'Raw Data'!F$3:F$2927) / COUNTIF('Raw Data'!$A$3:$A$2927,$A44))</f>
        <v>0</v>
      </c>
      <c r="J44">
        <f>IF( COUNTIF('Raw Data'!$A$3:$A$2927,$A44)=0,0,SUMIF('Raw Data'!$A$3:$A$2927, $A44,'Raw Data'!G$3:G$2927) / COUNTIF('Raw Data'!$A$3:$A$2927,$A44))</f>
        <v>0</v>
      </c>
      <c r="K44">
        <f>IF( COUNTIF('Raw Data'!$A$3:$A$2927,$A44)=0,0,SUMIF('Raw Data'!$A$3:$A$2927, $A44,'Raw Data'!H$3:H$2927) / COUNTIF('Raw Data'!$A$3:$A$2927,$A44))</f>
        <v>0</v>
      </c>
      <c r="L44">
        <f t="array" ref="L44">MAX(IF('Raw Data'!$A$3:$A$927=$A44, 'Raw Data'!$N$3:$N$927))</f>
        <v>0</v>
      </c>
      <c r="M44">
        <f>IF( COUNTIF('Raw Data'!$A$3:$A$2927,$A44)=0,0,SUMIF('Raw Data'!$A$3:$A$2927, $A44,'Raw Data'!J$3:J$2927) / COUNTIF('Raw Data'!$A$3:$A$2927,$A44))</f>
        <v>0</v>
      </c>
      <c r="N44">
        <f>IF( COUNTIF('Raw Data'!$A$3:$A$2927,$A44)=0,0,SUMIF('Raw Data'!$A$3:$A$2927, $A44,'Raw Data'!K$3:K$2927) / COUNTIF('Raw Data'!$A$3:$A$2927,$A44))</f>
        <v>0</v>
      </c>
      <c r="O44">
        <f>IF( COUNTIF('Raw Data'!$A$3:$A$2927,$A44)=0,0,SUMIF('Raw Data'!$A$3:$A$2927, $A44,'Raw Data'!L$3:L$2927) / COUNTIF('Raw Data'!$A$3:$A$2927,$A44))</f>
        <v>0</v>
      </c>
      <c r="P44" s="58">
        <f>IF( COUNTIF('Raw Data'!$A$3:$A$2927,$A44)=0,0,SUMIF('Raw Data'!$A$3:$A$2927, $A44,'Raw Data'!M$3:M$2927) / COUNTIF('Raw Data'!$A$3:$A$2927,$A44))</f>
        <v>0</v>
      </c>
      <c r="Q44">
        <f t="array" ref="Q44">MAX(IF('Raw Data'!$A$3:$A$927=$A44, 'Raw Data'!$Z$3:$Z$927))</f>
        <v>0</v>
      </c>
      <c r="R44">
        <f t="array" ref="R44">MAX(IF('Raw Data'!$A$3:$A$927=$A44, 'Raw Data'!$T$3:$T$927))</f>
        <v>0</v>
      </c>
      <c r="S44" s="118">
        <f>IF( COUNTIF('Raw Data'!$A$3:$A$2927,$A44)=0,0,SUMIF('Raw Data'!$A$3:$A$2927, $A44,'Raw Data'!P$3:P$2927) / COUNTIF('Raw Data'!$A$3:$A$2927,$A44))</f>
        <v>0</v>
      </c>
      <c r="T44">
        <f>IF( COUNTIF('Raw Data'!$A$3:$A$2927,$A44)=0,0,SUMIF('Raw Data'!$A$3:$A$2927, $A44,'Raw Data'!Q$3:Q$2927) / COUNTIF('Raw Data'!$A$3:$A$2927,$A44))</f>
        <v>0</v>
      </c>
      <c r="U44">
        <f>IF( COUNTIF('Raw Data'!$A$3:$A$2927,$A44)=0,0,SUMIF('Raw Data'!$A$3:$A$2927, $A44,'Raw Data'!R$3:R$2927) / COUNTIF('Raw Data'!$A$3:$A$2927,$A44))</f>
        <v>0</v>
      </c>
      <c r="V44">
        <f>IF( COUNTIF('Raw Data'!$A$3:$A$2927,$A44)=0,0,SUMIF('Raw Data'!$A$3:$A$2927, $A44,'Raw Data'!S$3:S$2927) / COUNTIF('Raw Data'!$A$3:$A$2927,$A44))</f>
        <v>0</v>
      </c>
      <c r="W44">
        <f t="array" ref="W44">MAX(IF('Raw Data'!$A$3:$A$927=$A44, 'Raw Data'!$Y$3:$Y$927))</f>
        <v>0</v>
      </c>
      <c r="X44">
        <f>IF( COUNTIF('Raw Data'!$A$3:$A$2927,$A44)=0,0,SUMIF('Raw Data'!$A$3:$A$2927, $A44,'Raw Data'!U$3:U$2927) / COUNTIF('Raw Data'!$A$3:$A$2927,$A44))</f>
        <v>0</v>
      </c>
      <c r="Y44">
        <f>IF( COUNTIF('Raw Data'!$A$3:$A$2927,$A44)=0,0,SUMIF('Raw Data'!$A$3:$A$2927, $A44,'Raw Data'!V$3:V$2927) / COUNTIF('Raw Data'!$A$3:$A$2927,$A44))</f>
        <v>0</v>
      </c>
      <c r="Z44">
        <f>IF( COUNTIF('Raw Data'!$A$3:$A$2927,$A44)=0,0,SUMIF('Raw Data'!$A$3:$A$2927, $A44,'Raw Data'!W$3:W$2927) / COUNTIF('Raw Data'!$A$3:$A$2927,$A44))</f>
        <v>0</v>
      </c>
      <c r="AA44">
        <f>IF( COUNTIF('Raw Data'!$A$3:$A$2927,$A44)=0,0,SUMIF('Raw Data'!$A$3:$A$2927, $A44,'Raw Data'!X$3:X$2927) / COUNTIF('Raw Data'!$A$3:$A$2927,$A44))</f>
        <v>0</v>
      </c>
      <c r="AB44">
        <f>IF( COUNTIF('Raw Data'!$A$3:$A$2927,$A44)=0,0,SUMIF('Raw Data'!$A$3:$A$2927, $A44,'Raw Data'!AA$3:AA$2927) / COUNTIF('Raw Data'!$A$3:$A$2927,$A44))</f>
        <v>0</v>
      </c>
      <c r="AC44">
        <f>IF( COUNTIF('Raw Data'!$A$3:$A$2927,$A44)=0,0,SUMIF('Raw Data'!$A$3:$A$2927, $A44,'Raw Data'!AB$3:AB$2927) / COUNTIF('Raw Data'!$A$3:$A$2927,$A44))</f>
        <v>0</v>
      </c>
      <c r="AD44">
        <f>IF( COUNTIF('Raw Data'!$A$3:$A$2927,$A44)=0,0,SUMIF('Raw Data'!$A$3:$A$2927, $A44,'Raw Data'!AC$3:AC$2927) / COUNTIF('Raw Data'!$A$3:$A$2927,$A44))</f>
        <v>0</v>
      </c>
      <c r="AE44" s="117">
        <f>IF( COUNTIF('Raw Data'!$A$3:$A$2927,$A44)=0,0,SUMIF('Raw Data'!$A$3:$A$2927, $A44,'Raw Data'!AD$3:AD$2927) / COUNTIF('Raw Data'!$A$3:$A$2927,$A44))</f>
        <v>0</v>
      </c>
      <c r="AF44">
        <f>IF( COUNTIF('Raw Data'!$A$3:$A$2927,$A44)=0,0,SUMIF('Raw Data'!$A$3:$A$2927, $A44,'Raw Data'!AE$3:AE$2927) / COUNTIF('Raw Data'!$A$3:$A$2927,$A44))</f>
        <v>0</v>
      </c>
      <c r="AG44">
        <f>IF( COUNTIF('Raw Data'!$A$3:$A$2927,$A44)=0,0,SUMIF('Raw Data'!$A$3:$A$2927, $A44,'Raw Data'!AF$3:AF$2927) / COUNTIF('Raw Data'!$A$3:$A$2927,$A44))</f>
        <v>0</v>
      </c>
      <c r="AH44">
        <f>IF( COUNTIF('Raw Data'!$A$3:$A$2927,$A44)=0,0,SUMIF('Raw Data'!$A$3:$A$2927, $A44,'Raw Data'!AG$3:AG$2927) / COUNTIF('Raw Data'!$A$3:$A$2927,$A44))</f>
        <v>0</v>
      </c>
      <c r="AI44">
        <f>IF( COUNTIF('Raw Data'!$A$3:$A$2927,$A44)=0,0,SUMIF('Raw Data'!$A$3:$A$2927, $A44,'Raw Data'!AH$3:AH$2927) / COUNTIF('Raw Data'!$A$3:$A$2927,$A44))</f>
        <v>0</v>
      </c>
      <c r="AJ44" s="116">
        <f>COUNTIF('Raw Data'!A$3:A$2927, $A44)</f>
        <v>0</v>
      </c>
      <c r="AK44">
        <f>IFERROR(SUM(IF($E44 &gt;autoThreshold, auto), hatch * SUM($H44:$K44), cargo * SUM($M44:$P44),hatch * SUM( $S44:$V44), cargo * SUM($X44:$AA44), rocket23 * SUM($J44:$K44, $O44:$P44, $U44:$V44, $Z44:$AA44), IF($AD44 &gt; climbThreshold, climb), IF($AC44 &gt; assistThreshold, $AC44 * assist), $AH44 * penalty, dropHatch * $AI44, tippedBroke * SUM($AE44:$AF44),  IF( $E44 &lt; noAutoThreshold, noAuto), IF($C44 &lt; doesNothingThreshold, doesNothing, IF($AD44 &gt;1.45, 2) )), "h")</f>
        <v>-21</v>
      </c>
      <c r="AL44">
        <f>SUM(hHatch * SUM($H44:$K44), hHatch * SUM($S44:$V44), hRocket23 * SUM($J44:$K44), hRocket23 * SUM($U44:$V44), hSandstorm * SUM($H44:$K44), hPenalty * $AH44, hDropHatch * $AI44,hTippedBroke * SUM($AE44:$AF44), IF($E44 &lt; hNoAutoThreshold, hNoAuto), IF($AG44 &gt; hFloorHatchThreshold, hFloorHatch))</f>
        <v>-1.5</v>
      </c>
      <c r="AM44">
        <f>SUM(cCargo * SUM($M44:$P44), cCargo *SUM( $X44:$AA44), cRocket23 * SUM($O44:$P44, $Z44:$AA44),cSandstorm * SUM($M44:$P44), cPenalty * $AH44, cTippedBroke * SUM($AE44:$AF44), IF($E44 &lt; cNoAutoThreshold, cNoAuto, 0))</f>
        <v>-1</v>
      </c>
    </row>
    <row r="45" spans="1:51" ht="15.75" thickBot="1">
      <c r="A45">
        <v>4907</v>
      </c>
      <c r="B45" t="s">
        <v>213</v>
      </c>
      <c r="C45">
        <f>PRODUCT($E45,3)+PRODUCT(SUM($H45:$K45),2)+PRODUCT(SUM($M45:$P45),3)+PRODUCT(SUM($S45:$V45),2)+PRODUCT(SUM($X45:$AA45), 3)+IF($AC45 &gt; 2, PRODUCT(SUM($AC45, -1),6), PRODUCT($AC45,3)) + IF($AD45 &gt; 2, PRODUCT(SUM($AD45, -1),6), PRODUCT($AD45,3)) + PRODUCT($AH45, -1)</f>
        <v>15</v>
      </c>
      <c r="D45">
        <f>PRODUCT(SUM($H45:$I45), 2) + PRODUCT(SUM($M45:$N45),3) + PRODUCT(SUM($S45:$T45), 2) + PRODUCT(SUM($X45:$Y45), 3)</f>
        <v>1.5999999999999999</v>
      </c>
      <c r="E45">
        <f>IF( COUNTIF('Raw Data'!$A$3:$A$2927,$A45)=0,0,SUMIF('Raw Data'!$A$3:$A$2927, $A45,'Raw Data'!D$3:D$2927) / COUNTIF('Raw Data'!$A$3:$A$2927,$A45))</f>
        <v>1.1000000000000001</v>
      </c>
      <c r="F45">
        <f t="array" ref="F45">MAX(IF('Raw Data'!$A$3:$A$927=$A45, 'Raw Data'!$O$3:$O$927))</f>
        <v>1</v>
      </c>
      <c r="G45">
        <f t="array" ref="G45">MAX(IF('Raw Data'!$A$3:$A$927=$A45, 'Raw Data'!$I$3:$I$927))</f>
        <v>1</v>
      </c>
      <c r="H45">
        <f>IF( COUNTIF('Raw Data'!$A$3:$A$2927,$A45)=0,0,SUMIF('Raw Data'!$A$3:$A$2927, $A45,'Raw Data'!E$3:E$2927) / COUNTIF('Raw Data'!$A$3:$A$2927,$A45))</f>
        <v>0.1</v>
      </c>
      <c r="I45">
        <f>IF( COUNTIF('Raw Data'!$A$3:$A$2927,$A45)=0,0,SUMIF('Raw Data'!$A$3:$A$2927, $A45,'Raw Data'!F$3:F$2927) / COUNTIF('Raw Data'!$A$3:$A$2927,$A45))</f>
        <v>0</v>
      </c>
      <c r="J45">
        <f>IF( COUNTIF('Raw Data'!$A$3:$A$2927,$A45)=0,0,SUMIF('Raw Data'!$A$3:$A$2927, $A45,'Raw Data'!G$3:G$2927) / COUNTIF('Raw Data'!$A$3:$A$2927,$A45))</f>
        <v>0</v>
      </c>
      <c r="K45">
        <f>IF( COUNTIF('Raw Data'!$A$3:$A$2927,$A45)=0,0,SUMIF('Raw Data'!$A$3:$A$2927, $A45,'Raw Data'!H$3:H$2927) / COUNTIF('Raw Data'!$A$3:$A$2927,$A45))</f>
        <v>0.1</v>
      </c>
      <c r="L45">
        <f t="array" ref="L45">MAX(IF('Raw Data'!$A$3:$A$927=$A45, 'Raw Data'!$N$3:$N$927))</f>
        <v>0</v>
      </c>
      <c r="M45">
        <f>IF( COUNTIF('Raw Data'!$A$3:$A$2927,$A45)=0,0,SUMIF('Raw Data'!$A$3:$A$2927, $A45,'Raw Data'!J$3:J$2927) / COUNTIF('Raw Data'!$A$3:$A$2927,$A45))</f>
        <v>0</v>
      </c>
      <c r="N45">
        <f>IF( COUNTIF('Raw Data'!$A$3:$A$2927,$A45)=0,0,SUMIF('Raw Data'!$A$3:$A$2927, $A45,'Raw Data'!K$3:K$2927) / COUNTIF('Raw Data'!$A$3:$A$2927,$A45))</f>
        <v>0</v>
      </c>
      <c r="O45">
        <f>IF( COUNTIF('Raw Data'!$A$3:$A$2927,$A45)=0,0,SUMIF('Raw Data'!$A$3:$A$2927, $A45,'Raw Data'!L$3:L$2927) / COUNTIF('Raw Data'!$A$3:$A$2927,$A45))</f>
        <v>0</v>
      </c>
      <c r="P45" s="58">
        <f>IF( COUNTIF('Raw Data'!$A$3:$A$2927,$A45)=0,0,SUMIF('Raw Data'!$A$3:$A$2927, $A45,'Raw Data'!M$3:M$2927) / COUNTIF('Raw Data'!$A$3:$A$2927,$A45))</f>
        <v>0</v>
      </c>
      <c r="Q45">
        <f t="array" ref="Q45">MAX(IF('Raw Data'!$A$3:$A$927=$A45, 'Raw Data'!$Z$3:$Z$927))</f>
        <v>2</v>
      </c>
      <c r="R45">
        <f t="array" ref="R45">MAX(IF('Raw Data'!$A$3:$A$927=$A45, 'Raw Data'!$T$3:$T$927))</f>
        <v>2</v>
      </c>
      <c r="S45" s="118">
        <f>IF( COUNTIF('Raw Data'!$A$3:$A$2927,$A45)=0,0,SUMIF('Raw Data'!$A$3:$A$2927, $A45,'Raw Data'!P$3:P$2927) / COUNTIF('Raw Data'!$A$3:$A$2927,$A45))</f>
        <v>0.6</v>
      </c>
      <c r="T45">
        <f>IF( COUNTIF('Raw Data'!$A$3:$A$2927,$A45)=0,0,SUMIF('Raw Data'!$A$3:$A$2927, $A45,'Raw Data'!Q$3:Q$2927) / COUNTIF('Raw Data'!$A$3:$A$2927,$A45))</f>
        <v>0.1</v>
      </c>
      <c r="U45">
        <f>IF( COUNTIF('Raw Data'!$A$3:$A$2927,$A45)=0,0,SUMIF('Raw Data'!$A$3:$A$2927, $A45,'Raw Data'!R$3:R$2927) / COUNTIF('Raw Data'!$A$3:$A$2927,$A45))</f>
        <v>0.2</v>
      </c>
      <c r="V45">
        <f>IF( COUNTIF('Raw Data'!$A$3:$A$2927,$A45)=0,0,SUMIF('Raw Data'!$A$3:$A$2927, $A45,'Raw Data'!S$3:S$2927) / COUNTIF('Raw Data'!$A$3:$A$2927,$A45))</f>
        <v>0.4</v>
      </c>
      <c r="W45">
        <f t="array" ref="W45">MAX(IF('Raw Data'!$A$3:$A$927=$A45, 'Raw Data'!$Y$3:$Y$927))</f>
        <v>0</v>
      </c>
      <c r="X45">
        <f>IF( COUNTIF('Raw Data'!$A$3:$A$2927,$A45)=0,0,SUMIF('Raw Data'!$A$3:$A$2927, $A45,'Raw Data'!U$3:U$2927) / COUNTIF('Raw Data'!$A$3:$A$2927,$A45))</f>
        <v>0</v>
      </c>
      <c r="Y45">
        <f>IF( COUNTIF('Raw Data'!$A$3:$A$2927,$A45)=0,0,SUMIF('Raw Data'!$A$3:$A$2927, $A45,'Raw Data'!V$3:V$2927) / COUNTIF('Raw Data'!$A$3:$A$2927,$A45))</f>
        <v>0</v>
      </c>
      <c r="Z45">
        <f>IF( COUNTIF('Raw Data'!$A$3:$A$2927,$A45)=0,0,SUMIF('Raw Data'!$A$3:$A$2927, $A45,'Raw Data'!W$3:W$2927) / COUNTIF('Raw Data'!$A$3:$A$2927,$A45))</f>
        <v>0</v>
      </c>
      <c r="AA45">
        <f>IF( COUNTIF('Raw Data'!$A$3:$A$2927,$A45)=0,0,SUMIF('Raw Data'!$A$3:$A$2927, $A45,'Raw Data'!X$3:X$2927) / COUNTIF('Raw Data'!$A$3:$A$2927,$A45))</f>
        <v>0</v>
      </c>
      <c r="AB45">
        <f>IF( COUNTIF('Raw Data'!$A$3:$A$2927,$A45)=0,0,SUMIF('Raw Data'!$A$3:$A$2927, $A45,'Raw Data'!AA$3:AA$2927) / COUNTIF('Raw Data'!$A$3:$A$2927,$A45))</f>
        <v>0</v>
      </c>
      <c r="AC45">
        <f>IF( COUNTIF('Raw Data'!$A$3:$A$2927,$A45)=0,0,SUMIF('Raw Data'!$A$3:$A$2927, $A45,'Raw Data'!AB$3:AB$2927) / COUNTIF('Raw Data'!$A$3:$A$2927,$A45))</f>
        <v>0</v>
      </c>
      <c r="AD45">
        <f>IF( COUNTIF('Raw Data'!$A$3:$A$2927,$A45)=0,0,SUMIF('Raw Data'!$A$3:$A$2927, $A45,'Raw Data'!AC$3:AC$2927) / COUNTIF('Raw Data'!$A$3:$A$2927,$A45))</f>
        <v>2.5</v>
      </c>
      <c r="AE45" s="117">
        <f>IF( COUNTIF('Raw Data'!$A$3:$A$2927,$A45)=0,0,SUMIF('Raw Data'!$A$3:$A$2927, $A45,'Raw Data'!AD$3:AD$2927) / COUNTIF('Raw Data'!$A$3:$A$2927,$A45))</f>
        <v>0</v>
      </c>
      <c r="AF45">
        <f>IF( COUNTIF('Raw Data'!$A$3:$A$2927,$A45)=0,0,SUMIF('Raw Data'!$A$3:$A$2927, $A45,'Raw Data'!AE$3:AE$2927) / COUNTIF('Raw Data'!$A$3:$A$2927,$A45))</f>
        <v>0</v>
      </c>
      <c r="AG45">
        <f>IF( COUNTIF('Raw Data'!$A$3:$A$2927,$A45)=0,0,SUMIF('Raw Data'!$A$3:$A$2927, $A45,'Raw Data'!AF$3:AF$2927) / COUNTIF('Raw Data'!$A$3:$A$2927,$A45))</f>
        <v>0</v>
      </c>
      <c r="AH45">
        <f>IF( COUNTIF('Raw Data'!$A$3:$A$2927,$A45)=0,0,SUMIF('Raw Data'!$A$3:$A$2927, $A45,'Raw Data'!AG$3:AG$2927) / COUNTIF('Raw Data'!$A$3:$A$2927,$A45))</f>
        <v>0.3</v>
      </c>
      <c r="AI45">
        <f>IF( COUNTIF('Raw Data'!$A$3:$A$2927,$A45)=0,0,SUMIF('Raw Data'!$A$3:$A$2927, $A45,'Raw Data'!AH$3:AH$2927) / COUNTIF('Raw Data'!$A$3:$A$2927,$A45))</f>
        <v>0.8</v>
      </c>
      <c r="AJ45" s="116">
        <f>COUNTIF('Raw Data'!A$3:A$2927, $A45)</f>
        <v>10</v>
      </c>
      <c r="AK45">
        <f>IFERROR(SUM(IF($E45 &gt;autoThreshold, auto), hatch * SUM($H45:$K45), cargo * SUM($M45:$P45),hatch * SUM( $S45:$V45), cargo * SUM($X45:$AA45), rocket23 * SUM($J45:$K45, $O45:$P45, $U45:$V45, $Z45:$AA45), IF($AD45 &gt; climbThreshold, climb), IF($AC45 &gt; assistThreshold, $AC45 * assist), $AH45 * penalty, dropHatch * $AI45, tippedBroke * SUM($AE45:$AF45),  IF( $E45 &lt; noAutoThreshold, noAuto), IF($C45 &lt; doesNothingThreshold, doesNothing, IF($AD45 &gt;1.45, 2) )), "h")</f>
        <v>7.1</v>
      </c>
      <c r="AL45">
        <f>SUM(hHatch * SUM($H45:$K45), hHatch * SUM($S45:$V45), hRocket23 * SUM($J45:$K45), hRocket23 * SUM($U45:$V45), hSandstorm * SUM($H45:$K45), hPenalty * $AH45, hDropHatch * $AI45,hTippedBroke * SUM($AE45:$AF45), IF($E45 &lt; hNoAutoThreshold, hNoAuto), IF($AG45 &gt; hFloorHatchThreshold, hFloorHatch))</f>
        <v>0.19999999999999996</v>
      </c>
      <c r="AM45">
        <f>SUM(cCargo * SUM($M45:$P45), cCargo *SUM( $X45:$AA45), cRocket23 * SUM($O45:$P45, $Z45:$AA45),cSandstorm * SUM($M45:$P45), cPenalty * $AH45, cTippedBroke * SUM($AE45:$AF45), IF($E45 &lt; cNoAutoThreshold, cNoAuto, 0))</f>
        <v>-9.9000000000000005E-2</v>
      </c>
    </row>
    <row r="46" spans="1:51" ht="15.75" thickBot="1">
      <c r="A46">
        <v>4914</v>
      </c>
      <c r="B46" t="s">
        <v>485</v>
      </c>
      <c r="C46">
        <f>PRODUCT($E46,3)+PRODUCT(SUM($H46:$K46),2)+PRODUCT(SUM($M46:$P46),3)+PRODUCT(SUM($S46:$V46),2)+PRODUCT(SUM($X46:$AA46), 3)+IF($AC46 &gt; 2, PRODUCT(SUM($AC46, -1),6), PRODUCT($AC46,3)) + IF($AD46 &gt; 2, PRODUCT(SUM($AD46, -1),6), PRODUCT($AD46,3)) + PRODUCT($AH46, -1)</f>
        <v>0</v>
      </c>
      <c r="D46">
        <f>PRODUCT(SUM($H46:$I46), 2) + PRODUCT(SUM($M46:$N46),3) + PRODUCT(SUM($S46:$T46), 2) + PRODUCT(SUM($X46:$Y46), 3)</f>
        <v>0</v>
      </c>
      <c r="E46">
        <f>IF( COUNTIF('Raw Data'!$A$3:$A$2927,$A46)=0,0,SUMIF('Raw Data'!$A$3:$A$2927, $A46,'Raw Data'!D$3:D$2927) / COUNTIF('Raw Data'!$A$3:$A$2927,$A46))</f>
        <v>0</v>
      </c>
      <c r="F46">
        <f t="array" ref="F46">MAX(IF('Raw Data'!$A$3:$A$927=$A46, 'Raw Data'!$O$3:$O$927))</f>
        <v>0</v>
      </c>
      <c r="G46">
        <f t="array" ref="G46">MAX(IF('Raw Data'!$A$3:$A$927=$A46, 'Raw Data'!$I$3:$I$927))</f>
        <v>0</v>
      </c>
      <c r="H46">
        <f>IF( COUNTIF('Raw Data'!$A$3:$A$2927,$A46)=0,0,SUMIF('Raw Data'!$A$3:$A$2927, $A46,'Raw Data'!E$3:E$2927) / COUNTIF('Raw Data'!$A$3:$A$2927,$A46))</f>
        <v>0</v>
      </c>
      <c r="I46">
        <f>IF( COUNTIF('Raw Data'!$A$3:$A$2927,$A46)=0,0,SUMIF('Raw Data'!$A$3:$A$2927, $A46,'Raw Data'!F$3:F$2927) / COUNTIF('Raw Data'!$A$3:$A$2927,$A46))</f>
        <v>0</v>
      </c>
      <c r="J46">
        <f>IF( COUNTIF('Raw Data'!$A$3:$A$2927,$A46)=0,0,SUMIF('Raw Data'!$A$3:$A$2927, $A46,'Raw Data'!G$3:G$2927) / COUNTIF('Raw Data'!$A$3:$A$2927,$A46))</f>
        <v>0</v>
      </c>
      <c r="K46">
        <f>IF( COUNTIF('Raw Data'!$A$3:$A$2927,$A46)=0,0,SUMIF('Raw Data'!$A$3:$A$2927, $A46,'Raw Data'!H$3:H$2927) / COUNTIF('Raw Data'!$A$3:$A$2927,$A46))</f>
        <v>0</v>
      </c>
      <c r="L46">
        <f t="array" ref="L46">MAX(IF('Raw Data'!$A$3:$A$927=$A46, 'Raw Data'!$N$3:$N$927))</f>
        <v>0</v>
      </c>
      <c r="M46">
        <f>IF( COUNTIF('Raw Data'!$A$3:$A$2927,$A46)=0,0,SUMIF('Raw Data'!$A$3:$A$2927, $A46,'Raw Data'!J$3:J$2927) / COUNTIF('Raw Data'!$A$3:$A$2927,$A46))</f>
        <v>0</v>
      </c>
      <c r="N46">
        <f>IF( COUNTIF('Raw Data'!$A$3:$A$2927,$A46)=0,0,SUMIF('Raw Data'!$A$3:$A$2927, $A46,'Raw Data'!K$3:K$2927) / COUNTIF('Raw Data'!$A$3:$A$2927,$A46))</f>
        <v>0</v>
      </c>
      <c r="O46">
        <f>IF( COUNTIF('Raw Data'!$A$3:$A$2927,$A46)=0,0,SUMIF('Raw Data'!$A$3:$A$2927, $A46,'Raw Data'!L$3:L$2927) / COUNTIF('Raw Data'!$A$3:$A$2927,$A46))</f>
        <v>0</v>
      </c>
      <c r="P46" s="58">
        <f>IF( COUNTIF('Raw Data'!$A$3:$A$2927,$A46)=0,0,SUMIF('Raw Data'!$A$3:$A$2927, $A46,'Raw Data'!M$3:M$2927) / COUNTIF('Raw Data'!$A$3:$A$2927,$A46))</f>
        <v>0</v>
      </c>
      <c r="Q46">
        <f t="array" ref="Q46">MAX(IF('Raw Data'!$A$3:$A$927=$A46, 'Raw Data'!$Z$3:$Z$927))</f>
        <v>0</v>
      </c>
      <c r="R46">
        <f t="array" ref="R46">MAX(IF('Raw Data'!$A$3:$A$927=$A46, 'Raw Data'!$T$3:$T$927))</f>
        <v>0</v>
      </c>
      <c r="S46" s="118">
        <f>IF( COUNTIF('Raw Data'!$A$3:$A$2927,$A46)=0,0,SUMIF('Raw Data'!$A$3:$A$2927, $A46,'Raw Data'!P$3:P$2927) / COUNTIF('Raw Data'!$A$3:$A$2927,$A46))</f>
        <v>0</v>
      </c>
      <c r="T46">
        <f>IF( COUNTIF('Raw Data'!$A$3:$A$2927,$A46)=0,0,SUMIF('Raw Data'!$A$3:$A$2927, $A46,'Raw Data'!Q$3:Q$2927) / COUNTIF('Raw Data'!$A$3:$A$2927,$A46))</f>
        <v>0</v>
      </c>
      <c r="U46">
        <f>IF( COUNTIF('Raw Data'!$A$3:$A$2927,$A46)=0,0,SUMIF('Raw Data'!$A$3:$A$2927, $A46,'Raw Data'!R$3:R$2927) / COUNTIF('Raw Data'!$A$3:$A$2927,$A46))</f>
        <v>0</v>
      </c>
      <c r="V46">
        <f>IF( COUNTIF('Raw Data'!$A$3:$A$2927,$A46)=0,0,SUMIF('Raw Data'!$A$3:$A$2927, $A46,'Raw Data'!S$3:S$2927) / COUNTIF('Raw Data'!$A$3:$A$2927,$A46))</f>
        <v>0</v>
      </c>
      <c r="W46">
        <f t="array" ref="W46">MAX(IF('Raw Data'!$A$3:$A$927=$A46, 'Raw Data'!$Y$3:$Y$927))</f>
        <v>0</v>
      </c>
      <c r="X46">
        <f>IF( COUNTIF('Raw Data'!$A$3:$A$2927,$A46)=0,0,SUMIF('Raw Data'!$A$3:$A$2927, $A46,'Raw Data'!U$3:U$2927) / COUNTIF('Raw Data'!$A$3:$A$2927,$A46))</f>
        <v>0</v>
      </c>
      <c r="Y46">
        <f>IF( COUNTIF('Raw Data'!$A$3:$A$2927,$A46)=0,0,SUMIF('Raw Data'!$A$3:$A$2927, $A46,'Raw Data'!V$3:V$2927) / COUNTIF('Raw Data'!$A$3:$A$2927,$A46))</f>
        <v>0</v>
      </c>
      <c r="Z46">
        <f>IF( COUNTIF('Raw Data'!$A$3:$A$2927,$A46)=0,0,SUMIF('Raw Data'!$A$3:$A$2927, $A46,'Raw Data'!W$3:W$2927) / COUNTIF('Raw Data'!$A$3:$A$2927,$A46))</f>
        <v>0</v>
      </c>
      <c r="AA46">
        <f>IF( COUNTIF('Raw Data'!$A$3:$A$2927,$A46)=0,0,SUMIF('Raw Data'!$A$3:$A$2927, $A46,'Raw Data'!X$3:X$2927) / COUNTIF('Raw Data'!$A$3:$A$2927,$A46))</f>
        <v>0</v>
      </c>
      <c r="AB46">
        <f>IF( COUNTIF('Raw Data'!$A$3:$A$2927,$A46)=0,0,SUMIF('Raw Data'!$A$3:$A$2927, $A46,'Raw Data'!AA$3:AA$2927) / COUNTIF('Raw Data'!$A$3:$A$2927,$A46))</f>
        <v>0</v>
      </c>
      <c r="AC46">
        <f>IF( COUNTIF('Raw Data'!$A$3:$A$2927,$A46)=0,0,SUMIF('Raw Data'!$A$3:$A$2927, $A46,'Raw Data'!AB$3:AB$2927) / COUNTIF('Raw Data'!$A$3:$A$2927,$A46))</f>
        <v>0</v>
      </c>
      <c r="AD46">
        <f>IF( COUNTIF('Raw Data'!$A$3:$A$2927,$A46)=0,0,SUMIF('Raw Data'!$A$3:$A$2927, $A46,'Raw Data'!AC$3:AC$2927) / COUNTIF('Raw Data'!$A$3:$A$2927,$A46))</f>
        <v>0</v>
      </c>
      <c r="AE46" s="117">
        <f>IF( COUNTIF('Raw Data'!$A$3:$A$2927,$A46)=0,0,SUMIF('Raw Data'!$A$3:$A$2927, $A46,'Raw Data'!AD$3:AD$2927) / COUNTIF('Raw Data'!$A$3:$A$2927,$A46))</f>
        <v>0</v>
      </c>
      <c r="AF46">
        <f>IF( COUNTIF('Raw Data'!$A$3:$A$2927,$A46)=0,0,SUMIF('Raw Data'!$A$3:$A$2927, $A46,'Raw Data'!AE$3:AE$2927) / COUNTIF('Raw Data'!$A$3:$A$2927,$A46))</f>
        <v>0</v>
      </c>
      <c r="AG46">
        <f>IF( COUNTIF('Raw Data'!$A$3:$A$2927,$A46)=0,0,SUMIF('Raw Data'!$A$3:$A$2927, $A46,'Raw Data'!AF$3:AF$2927) / COUNTIF('Raw Data'!$A$3:$A$2927,$A46))</f>
        <v>0</v>
      </c>
      <c r="AH46">
        <f>IF( COUNTIF('Raw Data'!$A$3:$A$2927,$A46)=0,0,SUMIF('Raw Data'!$A$3:$A$2927, $A46,'Raw Data'!AG$3:AG$2927) / COUNTIF('Raw Data'!$A$3:$A$2927,$A46))</f>
        <v>0</v>
      </c>
      <c r="AI46">
        <f>IF( COUNTIF('Raw Data'!$A$3:$A$2927,$A46)=0,0,SUMIF('Raw Data'!$A$3:$A$2927, $A46,'Raw Data'!AH$3:AH$2927) / COUNTIF('Raw Data'!$A$3:$A$2927,$A46))</f>
        <v>0</v>
      </c>
      <c r="AJ46" s="116">
        <f>COUNTIF('Raw Data'!A$3:A$2927, $A46)</f>
        <v>0</v>
      </c>
      <c r="AK46">
        <f>IFERROR(SUM(IF($E46 &gt;autoThreshold, auto), hatch * SUM($H46:$K46), cargo * SUM($M46:$P46),hatch * SUM( $S46:$V46), cargo * SUM($X46:$AA46), rocket23 * SUM($J46:$K46, $O46:$P46, $U46:$V46, $Z46:$AA46), IF($AD46 &gt; climbThreshold, climb), IF($AC46 &gt; assistThreshold, $AC46 * assist), $AH46 * penalty, dropHatch * $AI46, tippedBroke * SUM($AE46:$AF46),  IF( $E46 &lt; noAutoThreshold, noAuto), IF($C46 &lt; doesNothingThreshold, doesNothing, IF($AD46 &gt;1.45, 2) )), "h")</f>
        <v>-21</v>
      </c>
      <c r="AL46">
        <f>SUM(hHatch * SUM($H46:$K46), hHatch * SUM($S46:$V46), hRocket23 * SUM($J46:$K46), hRocket23 * SUM($U46:$V46), hSandstorm * SUM($H46:$K46), hPenalty * $AH46, hDropHatch * $AI46,hTippedBroke * SUM($AE46:$AF46), IF($E46 &lt; hNoAutoThreshold, hNoAuto), IF($AG46 &gt; hFloorHatchThreshold, hFloorHatch))</f>
        <v>-1.5</v>
      </c>
      <c r="AM46">
        <f>SUM(cCargo * SUM($M46:$P46), cCargo *SUM( $X46:$AA46), cRocket23 * SUM($O46:$P46, $Z46:$AA46),cSandstorm * SUM($M46:$P46), cPenalty * $AH46, cTippedBroke * SUM($AE46:$AF46), IF($E46 &lt; cNoAutoThreshold, cNoAuto, 0))</f>
        <v>-1</v>
      </c>
    </row>
    <row r="47" spans="1:51" ht="15.75" thickBot="1">
      <c r="A47">
        <v>4932</v>
      </c>
      <c r="B47" t="s">
        <v>453</v>
      </c>
      <c r="C47">
        <f>PRODUCT($E47,3)+PRODUCT(SUM($H47:$K47),2)+PRODUCT(SUM($M47:$P47),3)+PRODUCT(SUM($S47:$V47),2)+PRODUCT(SUM($X47:$AA47), 3)+IF($AC47 &gt; 2, PRODUCT(SUM($AC47, -1),6), PRODUCT($AC47,3)) + IF($AD47 &gt; 2, PRODUCT(SUM($AD47, -1),6), PRODUCT($AD47,3)) + PRODUCT($AH47, -1)</f>
        <v>0</v>
      </c>
      <c r="D47">
        <f>PRODUCT(SUM($H47:$I47), 2) + PRODUCT(SUM($M47:$N47),3) + PRODUCT(SUM($S47:$T47), 2) + PRODUCT(SUM($X47:$Y47), 3)</f>
        <v>0</v>
      </c>
      <c r="E47">
        <f>IF( COUNTIF('Raw Data'!$A$3:$A$2927,$A47)=0,0,SUMIF('Raw Data'!$A$3:$A$2927, $A47,'Raw Data'!D$3:D$2927) / COUNTIF('Raw Data'!$A$3:$A$2927,$A47))</f>
        <v>0</v>
      </c>
      <c r="F47">
        <f t="array" ref="F47">MAX(IF('Raw Data'!$A$3:$A$927=$A47, 'Raw Data'!$O$3:$O$927))</f>
        <v>0</v>
      </c>
      <c r="G47">
        <f t="array" ref="G47">MAX(IF('Raw Data'!$A$3:$A$927=$A47, 'Raw Data'!$I$3:$I$927))</f>
        <v>0</v>
      </c>
      <c r="H47">
        <f>IF( COUNTIF('Raw Data'!$A$3:$A$2927,$A47)=0,0,SUMIF('Raw Data'!$A$3:$A$2927, $A47,'Raw Data'!E$3:E$2927) / COUNTIF('Raw Data'!$A$3:$A$2927,$A47))</f>
        <v>0</v>
      </c>
      <c r="I47">
        <f>IF( COUNTIF('Raw Data'!$A$3:$A$2927,$A47)=0,0,SUMIF('Raw Data'!$A$3:$A$2927, $A47,'Raw Data'!F$3:F$2927) / COUNTIF('Raw Data'!$A$3:$A$2927,$A47))</f>
        <v>0</v>
      </c>
      <c r="J47">
        <f>IF( COUNTIF('Raw Data'!$A$3:$A$2927,$A47)=0,0,SUMIF('Raw Data'!$A$3:$A$2927, $A47,'Raw Data'!G$3:G$2927) / COUNTIF('Raw Data'!$A$3:$A$2927,$A47))</f>
        <v>0</v>
      </c>
      <c r="K47">
        <f>IF( COUNTIF('Raw Data'!$A$3:$A$2927,$A47)=0,0,SUMIF('Raw Data'!$A$3:$A$2927, $A47,'Raw Data'!H$3:H$2927) / COUNTIF('Raw Data'!$A$3:$A$2927,$A47))</f>
        <v>0</v>
      </c>
      <c r="L47">
        <f t="array" ref="L47">MAX(IF('Raw Data'!$A$3:$A$927=$A47, 'Raw Data'!$N$3:$N$927))</f>
        <v>0</v>
      </c>
      <c r="M47">
        <f>IF( COUNTIF('Raw Data'!$A$3:$A$2927,$A47)=0,0,SUMIF('Raw Data'!$A$3:$A$2927, $A47,'Raw Data'!J$3:J$2927) / COUNTIF('Raw Data'!$A$3:$A$2927,$A47))</f>
        <v>0</v>
      </c>
      <c r="N47">
        <f>IF( COUNTIF('Raw Data'!$A$3:$A$2927,$A47)=0,0,SUMIF('Raw Data'!$A$3:$A$2927, $A47,'Raw Data'!K$3:K$2927) / COUNTIF('Raw Data'!$A$3:$A$2927,$A47))</f>
        <v>0</v>
      </c>
      <c r="O47">
        <f>IF( COUNTIF('Raw Data'!$A$3:$A$2927,$A47)=0,0,SUMIF('Raw Data'!$A$3:$A$2927, $A47,'Raw Data'!L$3:L$2927) / COUNTIF('Raw Data'!$A$3:$A$2927,$A47))</f>
        <v>0</v>
      </c>
      <c r="P47" s="58">
        <f>IF( COUNTIF('Raw Data'!$A$3:$A$2927,$A47)=0,0,SUMIF('Raw Data'!$A$3:$A$2927, $A47,'Raw Data'!M$3:M$2927) / COUNTIF('Raw Data'!$A$3:$A$2927,$A47))</f>
        <v>0</v>
      </c>
      <c r="Q47">
        <f t="array" ref="Q47">MAX(IF('Raw Data'!$A$3:$A$927=$A47, 'Raw Data'!$Z$3:$Z$927))</f>
        <v>0</v>
      </c>
      <c r="R47">
        <f t="array" ref="R47">MAX(IF('Raw Data'!$A$3:$A$927=$A47, 'Raw Data'!$T$3:$T$927))</f>
        <v>0</v>
      </c>
      <c r="S47" s="118">
        <f>IF( COUNTIF('Raw Data'!$A$3:$A$2927,$A47)=0,0,SUMIF('Raw Data'!$A$3:$A$2927, $A47,'Raw Data'!P$3:P$2927) / COUNTIF('Raw Data'!$A$3:$A$2927,$A47))</f>
        <v>0</v>
      </c>
      <c r="T47">
        <f>IF( COUNTIF('Raw Data'!$A$3:$A$2927,$A47)=0,0,SUMIF('Raw Data'!$A$3:$A$2927, $A47,'Raw Data'!Q$3:Q$2927) / COUNTIF('Raw Data'!$A$3:$A$2927,$A47))</f>
        <v>0</v>
      </c>
      <c r="U47">
        <f>IF( COUNTIF('Raw Data'!$A$3:$A$2927,$A47)=0,0,SUMIF('Raw Data'!$A$3:$A$2927, $A47,'Raw Data'!R$3:R$2927) / COUNTIF('Raw Data'!$A$3:$A$2927,$A47))</f>
        <v>0</v>
      </c>
      <c r="V47">
        <f>IF( COUNTIF('Raw Data'!$A$3:$A$2927,$A47)=0,0,SUMIF('Raw Data'!$A$3:$A$2927, $A47,'Raw Data'!S$3:S$2927) / COUNTIF('Raw Data'!$A$3:$A$2927,$A47))</f>
        <v>0</v>
      </c>
      <c r="W47">
        <f t="array" ref="W47">MAX(IF('Raw Data'!$A$3:$A$927=$A47, 'Raw Data'!$Y$3:$Y$927))</f>
        <v>0</v>
      </c>
      <c r="X47">
        <f>IF( COUNTIF('Raw Data'!$A$3:$A$2927,$A47)=0,0,SUMIF('Raw Data'!$A$3:$A$2927, $A47,'Raw Data'!U$3:U$2927) / COUNTIF('Raw Data'!$A$3:$A$2927,$A47))</f>
        <v>0</v>
      </c>
      <c r="Y47">
        <f>IF( COUNTIF('Raw Data'!$A$3:$A$2927,$A47)=0,0,SUMIF('Raw Data'!$A$3:$A$2927, $A47,'Raw Data'!V$3:V$2927) / COUNTIF('Raw Data'!$A$3:$A$2927,$A47))</f>
        <v>0</v>
      </c>
      <c r="Z47">
        <f>IF( COUNTIF('Raw Data'!$A$3:$A$2927,$A47)=0,0,SUMIF('Raw Data'!$A$3:$A$2927, $A47,'Raw Data'!W$3:W$2927) / COUNTIF('Raw Data'!$A$3:$A$2927,$A47))</f>
        <v>0</v>
      </c>
      <c r="AA47">
        <f>IF( COUNTIF('Raw Data'!$A$3:$A$2927,$A47)=0,0,SUMIF('Raw Data'!$A$3:$A$2927, $A47,'Raw Data'!X$3:X$2927) / COUNTIF('Raw Data'!$A$3:$A$2927,$A47))</f>
        <v>0</v>
      </c>
      <c r="AB47">
        <f>IF( COUNTIF('Raw Data'!$A$3:$A$2927,$A47)=0,0,SUMIF('Raw Data'!$A$3:$A$2927, $A47,'Raw Data'!AA$3:AA$2927) / COUNTIF('Raw Data'!$A$3:$A$2927,$A47))</f>
        <v>0</v>
      </c>
      <c r="AC47">
        <f>IF( COUNTIF('Raw Data'!$A$3:$A$2927,$A47)=0,0,SUMIF('Raw Data'!$A$3:$A$2927, $A47,'Raw Data'!AB$3:AB$2927) / COUNTIF('Raw Data'!$A$3:$A$2927,$A47))</f>
        <v>0</v>
      </c>
      <c r="AD47">
        <f>IF( COUNTIF('Raw Data'!$A$3:$A$2927,$A47)=0,0,SUMIF('Raw Data'!$A$3:$A$2927, $A47,'Raw Data'!AC$3:AC$2927) / COUNTIF('Raw Data'!$A$3:$A$2927,$A47))</f>
        <v>0</v>
      </c>
      <c r="AE47" s="117">
        <f>IF( COUNTIF('Raw Data'!$A$3:$A$2927,$A47)=0,0,SUMIF('Raw Data'!$A$3:$A$2927, $A47,'Raw Data'!AD$3:AD$2927) / COUNTIF('Raw Data'!$A$3:$A$2927,$A47))</f>
        <v>0</v>
      </c>
      <c r="AF47">
        <f>IF( COUNTIF('Raw Data'!$A$3:$A$2927,$A47)=0,0,SUMIF('Raw Data'!$A$3:$A$2927, $A47,'Raw Data'!AE$3:AE$2927) / COUNTIF('Raw Data'!$A$3:$A$2927,$A47))</f>
        <v>0</v>
      </c>
      <c r="AG47">
        <f>IF( COUNTIF('Raw Data'!$A$3:$A$2927,$A47)=0,0,SUMIF('Raw Data'!$A$3:$A$2927, $A47,'Raw Data'!AF$3:AF$2927) / COUNTIF('Raw Data'!$A$3:$A$2927,$A47))</f>
        <v>0</v>
      </c>
      <c r="AH47">
        <f>IF( COUNTIF('Raw Data'!$A$3:$A$2927,$A47)=0,0,SUMIF('Raw Data'!$A$3:$A$2927, $A47,'Raw Data'!AG$3:AG$2927) / COUNTIF('Raw Data'!$A$3:$A$2927,$A47))</f>
        <v>0</v>
      </c>
      <c r="AI47">
        <f>IF( COUNTIF('Raw Data'!$A$3:$A$2927,$A47)=0,0,SUMIF('Raw Data'!$A$3:$A$2927, $A47,'Raw Data'!AH$3:AH$2927) / COUNTIF('Raw Data'!$A$3:$A$2927,$A47))</f>
        <v>0</v>
      </c>
      <c r="AJ47" s="116">
        <f>COUNTIF('Raw Data'!A$3:A$2927, $A47)</f>
        <v>0</v>
      </c>
      <c r="AK47">
        <f>IFERROR(SUM(IF($E47 &gt;autoThreshold, auto), hatch * SUM($H47:$K47), cargo * SUM($M47:$P47),hatch * SUM( $S47:$V47), cargo * SUM($X47:$AA47), rocket23 * SUM($J47:$K47, $O47:$P47, $U47:$V47, $Z47:$AA47), IF($AD47 &gt; climbThreshold, climb), IF($AC47 &gt; assistThreshold, $AC47 * assist), $AH47 * penalty, dropHatch * $AI47, tippedBroke * SUM($AE47:$AF47),  IF( $E47 &lt; noAutoThreshold, noAuto), IF($C47 &lt; doesNothingThreshold, doesNothing, IF($AD47 &gt;1.45, 2) )), "h")</f>
        <v>-21</v>
      </c>
      <c r="AL47">
        <f>SUM(hHatch * SUM($H47:$K47), hHatch * SUM($S47:$V47), hRocket23 * SUM($J47:$K47), hRocket23 * SUM($U47:$V47), hSandstorm * SUM($H47:$K47), hPenalty * $AH47, hDropHatch * $AI47,hTippedBroke * SUM($AE47:$AF47), IF($E47 &lt; hNoAutoThreshold, hNoAuto), IF($AG47 &gt; hFloorHatchThreshold, hFloorHatch))</f>
        <v>-1.5</v>
      </c>
      <c r="AM47">
        <f>SUM(cCargo * SUM($M47:$P47), cCargo *SUM( $X47:$AA47), cRocket23 * SUM($O47:$P47, $Z47:$AA47),cSandstorm * SUM($M47:$P47), cPenalty * $AH47, cTippedBroke * SUM($AE47:$AF47), IF($E47 &lt; cNoAutoThreshold, cNoAuto, 0))</f>
        <v>-1</v>
      </c>
    </row>
    <row r="48" spans="1:51" ht="15.75" thickBot="1">
      <c r="A48">
        <v>4936</v>
      </c>
      <c r="B48" t="s">
        <v>214</v>
      </c>
      <c r="C48">
        <f>PRODUCT($E48,3)+PRODUCT(SUM($H48:$K48),2)+PRODUCT(SUM($M48:$P48),3)+PRODUCT(SUM($S48:$V48),2)+PRODUCT(SUM($X48:$AA48), 3)+IF($AC48 &gt; 2, PRODUCT(SUM($AC48, -1),6), PRODUCT($AC48,3)) + IF($AD48 &gt; 2, PRODUCT(SUM($AD48, -1),6), PRODUCT($AD48,3)) + PRODUCT($AH48, -1)</f>
        <v>14.875</v>
      </c>
      <c r="D48">
        <f>PRODUCT(SUM($H48:$I48), 2) + PRODUCT(SUM($M48:$N48),3) + PRODUCT(SUM($S48:$T48), 2) + PRODUCT(SUM($X48:$Y48), 3)</f>
        <v>8.125</v>
      </c>
      <c r="E48">
        <f>IF( COUNTIF('Raw Data'!$A$3:$A$2927,$A48)=0,0,SUMIF('Raw Data'!$A$3:$A$2927, $A48,'Raw Data'!D$3:D$2927) / COUNTIF('Raw Data'!$A$3:$A$2927,$A48))</f>
        <v>1.5</v>
      </c>
      <c r="F48">
        <f t="array" ref="F48">MAX(IF('Raw Data'!$A$3:$A$927=$A48, 'Raw Data'!$O$3:$O$927))</f>
        <v>0</v>
      </c>
      <c r="G48">
        <f t="array" ref="G48">MAX(IF('Raw Data'!$A$3:$A$927=$A48, 'Raw Data'!$I$3:$I$927))</f>
        <v>0</v>
      </c>
      <c r="H48">
        <f>IF( COUNTIF('Raw Data'!$A$3:$A$2927,$A48)=0,0,SUMIF('Raw Data'!$A$3:$A$2927, $A48,'Raw Data'!E$3:E$2927) / COUNTIF('Raw Data'!$A$3:$A$2927,$A48))</f>
        <v>0</v>
      </c>
      <c r="I48">
        <f>IF( COUNTIF('Raw Data'!$A$3:$A$2927,$A48)=0,0,SUMIF('Raw Data'!$A$3:$A$2927, $A48,'Raw Data'!F$3:F$2927) / COUNTIF('Raw Data'!$A$3:$A$2927,$A48))</f>
        <v>0</v>
      </c>
      <c r="J48">
        <f>IF( COUNTIF('Raw Data'!$A$3:$A$2927,$A48)=0,0,SUMIF('Raw Data'!$A$3:$A$2927, $A48,'Raw Data'!G$3:G$2927) / COUNTIF('Raw Data'!$A$3:$A$2927,$A48))</f>
        <v>0</v>
      </c>
      <c r="K48">
        <f>IF( COUNTIF('Raw Data'!$A$3:$A$2927,$A48)=0,0,SUMIF('Raw Data'!$A$3:$A$2927, $A48,'Raw Data'!H$3:H$2927) / COUNTIF('Raw Data'!$A$3:$A$2927,$A48))</f>
        <v>0</v>
      </c>
      <c r="L48">
        <f t="array" ref="L48">MAX(IF('Raw Data'!$A$3:$A$927=$A48, 'Raw Data'!$N$3:$N$927))</f>
        <v>0</v>
      </c>
      <c r="M48">
        <f>IF( COUNTIF('Raw Data'!$A$3:$A$2927,$A48)=0,0,SUMIF('Raw Data'!$A$3:$A$2927, $A48,'Raw Data'!J$3:J$2927) / COUNTIF('Raw Data'!$A$3:$A$2927,$A48))</f>
        <v>0</v>
      </c>
      <c r="N48">
        <f>IF( COUNTIF('Raw Data'!$A$3:$A$2927,$A48)=0,0,SUMIF('Raw Data'!$A$3:$A$2927, $A48,'Raw Data'!K$3:K$2927) / COUNTIF('Raw Data'!$A$3:$A$2927,$A48))</f>
        <v>0</v>
      </c>
      <c r="O48">
        <f>IF( COUNTIF('Raw Data'!$A$3:$A$2927,$A48)=0,0,SUMIF('Raw Data'!$A$3:$A$2927, $A48,'Raw Data'!L$3:L$2927) / COUNTIF('Raw Data'!$A$3:$A$2927,$A48))</f>
        <v>0</v>
      </c>
      <c r="P48" s="58">
        <f>IF( COUNTIF('Raw Data'!$A$3:$A$2927,$A48)=0,0,SUMIF('Raw Data'!$A$3:$A$2927, $A48,'Raw Data'!M$3:M$2927) / COUNTIF('Raw Data'!$A$3:$A$2927,$A48))</f>
        <v>0</v>
      </c>
      <c r="Q48">
        <f t="array" ref="Q48">MAX(IF('Raw Data'!$A$3:$A$927=$A48, 'Raw Data'!$Z$3:$Z$927))</f>
        <v>5</v>
      </c>
      <c r="R48">
        <f t="array" ref="R48">MAX(IF('Raw Data'!$A$3:$A$927=$A48, 'Raw Data'!$T$3:$T$927))</f>
        <v>5</v>
      </c>
      <c r="S48" s="118">
        <f>IF( COUNTIF('Raw Data'!$A$3:$A$2927,$A48)=0,0,SUMIF('Raw Data'!$A$3:$A$2927, $A48,'Raw Data'!P$3:P$2927) / COUNTIF('Raw Data'!$A$3:$A$2927,$A48))</f>
        <v>2.125</v>
      </c>
      <c r="T48">
        <f>IF( COUNTIF('Raw Data'!$A$3:$A$2927,$A48)=0,0,SUMIF('Raw Data'!$A$3:$A$2927, $A48,'Raw Data'!Q$3:Q$2927) / COUNTIF('Raw Data'!$A$3:$A$2927,$A48))</f>
        <v>0.25</v>
      </c>
      <c r="U48">
        <f>IF( COUNTIF('Raw Data'!$A$3:$A$2927,$A48)=0,0,SUMIF('Raw Data'!$A$3:$A$2927, $A48,'Raw Data'!R$3:R$2927) / COUNTIF('Raw Data'!$A$3:$A$2927,$A48))</f>
        <v>0</v>
      </c>
      <c r="V48">
        <f>IF( COUNTIF('Raw Data'!$A$3:$A$2927,$A48)=0,0,SUMIF('Raw Data'!$A$3:$A$2927, $A48,'Raw Data'!S$3:S$2927) / COUNTIF('Raw Data'!$A$3:$A$2927,$A48))</f>
        <v>0</v>
      </c>
      <c r="W48">
        <f t="array" ref="W48">MAX(IF('Raw Data'!$A$3:$A$927=$A48, 'Raw Data'!$Y$3:$Y$927))</f>
        <v>3</v>
      </c>
      <c r="X48">
        <f>IF( COUNTIF('Raw Data'!$A$3:$A$2927,$A48)=0,0,SUMIF('Raw Data'!$A$3:$A$2927, $A48,'Raw Data'!U$3:U$2927) / COUNTIF('Raw Data'!$A$3:$A$2927,$A48))</f>
        <v>1</v>
      </c>
      <c r="Y48">
        <f>IF( COUNTIF('Raw Data'!$A$3:$A$2927,$A48)=0,0,SUMIF('Raw Data'!$A$3:$A$2927, $A48,'Raw Data'!V$3:V$2927) / COUNTIF('Raw Data'!$A$3:$A$2927,$A48))</f>
        <v>0.125</v>
      </c>
      <c r="Z48">
        <f>IF( COUNTIF('Raw Data'!$A$3:$A$2927,$A48)=0,0,SUMIF('Raw Data'!$A$3:$A$2927, $A48,'Raw Data'!W$3:W$2927) / COUNTIF('Raw Data'!$A$3:$A$2927,$A48))</f>
        <v>0</v>
      </c>
      <c r="AA48">
        <f>IF( COUNTIF('Raw Data'!$A$3:$A$2927,$A48)=0,0,SUMIF('Raw Data'!$A$3:$A$2927, $A48,'Raw Data'!X$3:X$2927) / COUNTIF('Raw Data'!$A$3:$A$2927,$A48))</f>
        <v>0</v>
      </c>
      <c r="AB48">
        <f>IF( COUNTIF('Raw Data'!$A$3:$A$2927,$A48)=0,0,SUMIF('Raw Data'!$A$3:$A$2927, $A48,'Raw Data'!AA$3:AA$2927) / COUNTIF('Raw Data'!$A$3:$A$2927,$A48))</f>
        <v>0</v>
      </c>
      <c r="AC48">
        <f>IF( COUNTIF('Raw Data'!$A$3:$A$2927,$A48)=0,0,SUMIF('Raw Data'!$A$3:$A$2927, $A48,'Raw Data'!AB$3:AB$2927) / COUNTIF('Raw Data'!$A$3:$A$2927,$A48))</f>
        <v>0</v>
      </c>
      <c r="AD48">
        <f>IF( COUNTIF('Raw Data'!$A$3:$A$2927,$A48)=0,0,SUMIF('Raw Data'!$A$3:$A$2927, $A48,'Raw Data'!AC$3:AC$2927) / COUNTIF('Raw Data'!$A$3:$A$2927,$A48))</f>
        <v>0.875</v>
      </c>
      <c r="AE48" s="117">
        <f>IF( COUNTIF('Raw Data'!$A$3:$A$2927,$A48)=0,0,SUMIF('Raw Data'!$A$3:$A$2927, $A48,'Raw Data'!AD$3:AD$2927) / COUNTIF('Raw Data'!$A$3:$A$2927,$A48))</f>
        <v>0</v>
      </c>
      <c r="AF48">
        <f>IF( COUNTIF('Raw Data'!$A$3:$A$2927,$A48)=0,0,SUMIF('Raw Data'!$A$3:$A$2927, $A48,'Raw Data'!AE$3:AE$2927) / COUNTIF('Raw Data'!$A$3:$A$2927,$A48))</f>
        <v>0</v>
      </c>
      <c r="AG48">
        <f>IF( COUNTIF('Raw Data'!$A$3:$A$2927,$A48)=0,0,SUMIF('Raw Data'!$A$3:$A$2927, $A48,'Raw Data'!AF$3:AF$2927) / COUNTIF('Raw Data'!$A$3:$A$2927,$A48))</f>
        <v>0</v>
      </c>
      <c r="AH48">
        <f>IF( COUNTIF('Raw Data'!$A$3:$A$2927,$A48)=0,0,SUMIF('Raw Data'!$A$3:$A$2927, $A48,'Raw Data'!AG$3:AG$2927) / COUNTIF('Raw Data'!$A$3:$A$2927,$A48))</f>
        <v>0.375</v>
      </c>
      <c r="AI48">
        <f>IF( COUNTIF('Raw Data'!$A$3:$A$2927,$A48)=0,0,SUMIF('Raw Data'!$A$3:$A$2927, $A48,'Raw Data'!AH$3:AH$2927) / COUNTIF('Raw Data'!$A$3:$A$2927,$A48))</f>
        <v>0.625</v>
      </c>
      <c r="AJ48" s="116">
        <f>COUNTIF('Raw Data'!A$3:A$2927, $A48)</f>
        <v>8</v>
      </c>
      <c r="AK48">
        <f>IFERROR(SUM(IF($E48 &gt;autoThreshold, auto), hatch * SUM($H48:$K48), cargo * SUM($M48:$P48),hatch * SUM( $S48:$V48), cargo * SUM($X48:$AA48), rocket23 * SUM($J48:$K48, $O48:$P48, $U48:$V48, $Z48:$AA48), IF($AD48 &gt; climbThreshold, climb), IF($AC48 &gt; assistThreshold, $AC48 * assist), $AH48 * penalty, dropHatch * $AI48, tippedBroke * SUM($AE48:$AF48),  IF( $E48 &lt; noAutoThreshold, noAuto), IF($C48 &lt; doesNothingThreshold, doesNothing, IF($AD48 &gt;1.45, 2) )), "h")</f>
        <v>1.6800000000000002</v>
      </c>
      <c r="AL48">
        <f>SUM(hHatch * SUM($H48:$K48), hHatch * SUM($S48:$V48), hRocket23 * SUM($J48:$K48), hRocket23 * SUM($U48:$V48), hSandstorm * SUM($H48:$K48), hPenalty * $AH48, hDropHatch * $AI48,hTippedBroke * SUM($AE48:$AF48), IF($E48 &lt; hNoAutoThreshold, hNoAuto), IF($AG48 &gt; hFloorHatchThreshold, hFloorHatch))</f>
        <v>0.9375</v>
      </c>
      <c r="AM48">
        <f>SUM(cCargo * SUM($M48:$P48), cCargo *SUM( $X48:$AA48), cRocket23 * SUM($O48:$P48, $Z48:$AA48),cSandstorm * SUM($M48:$P48), cPenalty * $AH48, cTippedBroke * SUM($AE48:$AF48), IF($E48 &lt; cNoAutoThreshold, cNoAuto, 0))</f>
        <v>1.00125</v>
      </c>
    </row>
    <row r="49" spans="1:39" ht="15.75" thickBot="1">
      <c r="A49">
        <v>4938</v>
      </c>
      <c r="B49" t="s">
        <v>454</v>
      </c>
      <c r="C49">
        <f>PRODUCT($E49,3)+PRODUCT(SUM($H49:$K49),2)+PRODUCT(SUM($M49:$P49),3)+PRODUCT(SUM($S49:$V49),2)+PRODUCT(SUM($X49:$AA49), 3)+IF($AC49 &gt; 2, PRODUCT(SUM($AC49, -1),6), PRODUCT($AC49,3)) + IF($AD49 &gt; 2, PRODUCT(SUM($AD49, -1),6), PRODUCT($AD49,3)) + PRODUCT($AH49, -1)</f>
        <v>0</v>
      </c>
      <c r="D49">
        <f>PRODUCT(SUM($H49:$I49), 2) + PRODUCT(SUM($M49:$N49),3) + PRODUCT(SUM($S49:$T49), 2) + PRODUCT(SUM($X49:$Y49), 3)</f>
        <v>0</v>
      </c>
      <c r="E49">
        <f>IF( COUNTIF('Raw Data'!$A$3:$A$2927,$A49)=0,0,SUMIF('Raw Data'!$A$3:$A$2927, $A49,'Raw Data'!D$3:D$2927) / COUNTIF('Raw Data'!$A$3:$A$2927,$A49))</f>
        <v>0</v>
      </c>
      <c r="F49">
        <f t="array" ref="F49">MAX(IF('Raw Data'!$A$3:$A$927=$A49, 'Raw Data'!$O$3:$O$927))</f>
        <v>0</v>
      </c>
      <c r="G49">
        <f t="array" ref="G49">MAX(IF('Raw Data'!$A$3:$A$927=$A49, 'Raw Data'!$I$3:$I$927))</f>
        <v>0</v>
      </c>
      <c r="H49">
        <f>IF( COUNTIF('Raw Data'!$A$3:$A$2927,$A49)=0,0,SUMIF('Raw Data'!$A$3:$A$2927, $A49,'Raw Data'!E$3:E$2927) / COUNTIF('Raw Data'!$A$3:$A$2927,$A49))</f>
        <v>0</v>
      </c>
      <c r="I49">
        <f>IF( COUNTIF('Raw Data'!$A$3:$A$2927,$A49)=0,0,SUMIF('Raw Data'!$A$3:$A$2927, $A49,'Raw Data'!F$3:F$2927) / COUNTIF('Raw Data'!$A$3:$A$2927,$A49))</f>
        <v>0</v>
      </c>
      <c r="J49">
        <f>IF( COUNTIF('Raw Data'!$A$3:$A$2927,$A49)=0,0,SUMIF('Raw Data'!$A$3:$A$2927, $A49,'Raw Data'!G$3:G$2927) / COUNTIF('Raw Data'!$A$3:$A$2927,$A49))</f>
        <v>0</v>
      </c>
      <c r="K49">
        <f>IF( COUNTIF('Raw Data'!$A$3:$A$2927,$A49)=0,0,SUMIF('Raw Data'!$A$3:$A$2927, $A49,'Raw Data'!H$3:H$2927) / COUNTIF('Raw Data'!$A$3:$A$2927,$A49))</f>
        <v>0</v>
      </c>
      <c r="L49">
        <f t="array" ref="L49">MAX(IF('Raw Data'!$A$3:$A$927=$A49, 'Raw Data'!$N$3:$N$927))</f>
        <v>0</v>
      </c>
      <c r="M49">
        <f>IF( COUNTIF('Raw Data'!$A$3:$A$2927,$A49)=0,0,SUMIF('Raw Data'!$A$3:$A$2927, $A49,'Raw Data'!J$3:J$2927) / COUNTIF('Raw Data'!$A$3:$A$2927,$A49))</f>
        <v>0</v>
      </c>
      <c r="N49">
        <f>IF( COUNTIF('Raw Data'!$A$3:$A$2927,$A49)=0,0,SUMIF('Raw Data'!$A$3:$A$2927, $A49,'Raw Data'!K$3:K$2927) / COUNTIF('Raw Data'!$A$3:$A$2927,$A49))</f>
        <v>0</v>
      </c>
      <c r="O49">
        <f>IF( COUNTIF('Raw Data'!$A$3:$A$2927,$A49)=0,0,SUMIF('Raw Data'!$A$3:$A$2927, $A49,'Raw Data'!L$3:L$2927) / COUNTIF('Raw Data'!$A$3:$A$2927,$A49))</f>
        <v>0</v>
      </c>
      <c r="P49" s="58">
        <f>IF( COUNTIF('Raw Data'!$A$3:$A$2927,$A49)=0,0,SUMIF('Raw Data'!$A$3:$A$2927, $A49,'Raw Data'!M$3:M$2927) / COUNTIF('Raw Data'!$A$3:$A$2927,$A49))</f>
        <v>0</v>
      </c>
      <c r="Q49">
        <f t="array" ref="Q49">MAX(IF('Raw Data'!$A$3:$A$927=$A49, 'Raw Data'!$Z$3:$Z$927))</f>
        <v>0</v>
      </c>
      <c r="R49">
        <f t="array" ref="R49">MAX(IF('Raw Data'!$A$3:$A$927=$A49, 'Raw Data'!$T$3:$T$927))</f>
        <v>0</v>
      </c>
      <c r="S49" s="118">
        <f>IF( COUNTIF('Raw Data'!$A$3:$A$2927,$A49)=0,0,SUMIF('Raw Data'!$A$3:$A$2927, $A49,'Raw Data'!P$3:P$2927) / COUNTIF('Raw Data'!$A$3:$A$2927,$A49))</f>
        <v>0</v>
      </c>
      <c r="T49">
        <f>IF( COUNTIF('Raw Data'!$A$3:$A$2927,$A49)=0,0,SUMIF('Raw Data'!$A$3:$A$2927, $A49,'Raw Data'!Q$3:Q$2927) / COUNTIF('Raw Data'!$A$3:$A$2927,$A49))</f>
        <v>0</v>
      </c>
      <c r="U49">
        <f>IF( COUNTIF('Raw Data'!$A$3:$A$2927,$A49)=0,0,SUMIF('Raw Data'!$A$3:$A$2927, $A49,'Raw Data'!R$3:R$2927) / COUNTIF('Raw Data'!$A$3:$A$2927,$A49))</f>
        <v>0</v>
      </c>
      <c r="V49">
        <f>IF( COUNTIF('Raw Data'!$A$3:$A$2927,$A49)=0,0,SUMIF('Raw Data'!$A$3:$A$2927, $A49,'Raw Data'!S$3:S$2927) / COUNTIF('Raw Data'!$A$3:$A$2927,$A49))</f>
        <v>0</v>
      </c>
      <c r="W49">
        <f t="array" ref="W49">MAX(IF('Raw Data'!$A$3:$A$927=$A49, 'Raw Data'!$Y$3:$Y$927))</f>
        <v>0</v>
      </c>
      <c r="X49">
        <f>IF( COUNTIF('Raw Data'!$A$3:$A$2927,$A49)=0,0,SUMIF('Raw Data'!$A$3:$A$2927, $A49,'Raw Data'!U$3:U$2927) / COUNTIF('Raw Data'!$A$3:$A$2927,$A49))</f>
        <v>0</v>
      </c>
      <c r="Y49">
        <f>IF( COUNTIF('Raw Data'!$A$3:$A$2927,$A49)=0,0,SUMIF('Raw Data'!$A$3:$A$2927, $A49,'Raw Data'!V$3:V$2927) / COUNTIF('Raw Data'!$A$3:$A$2927,$A49))</f>
        <v>0</v>
      </c>
      <c r="Z49">
        <f>IF( COUNTIF('Raw Data'!$A$3:$A$2927,$A49)=0,0,SUMIF('Raw Data'!$A$3:$A$2927, $A49,'Raw Data'!W$3:W$2927) / COUNTIF('Raw Data'!$A$3:$A$2927,$A49))</f>
        <v>0</v>
      </c>
      <c r="AA49">
        <f>IF( COUNTIF('Raw Data'!$A$3:$A$2927,$A49)=0,0,SUMIF('Raw Data'!$A$3:$A$2927, $A49,'Raw Data'!X$3:X$2927) / COUNTIF('Raw Data'!$A$3:$A$2927,$A49))</f>
        <v>0</v>
      </c>
      <c r="AB49">
        <f>IF( COUNTIF('Raw Data'!$A$3:$A$2927,$A49)=0,0,SUMIF('Raw Data'!$A$3:$A$2927, $A49,'Raw Data'!AA$3:AA$2927) / COUNTIF('Raw Data'!$A$3:$A$2927,$A49))</f>
        <v>0</v>
      </c>
      <c r="AC49">
        <f>IF( COUNTIF('Raw Data'!$A$3:$A$2927,$A49)=0,0,SUMIF('Raw Data'!$A$3:$A$2927, $A49,'Raw Data'!AB$3:AB$2927) / COUNTIF('Raw Data'!$A$3:$A$2927,$A49))</f>
        <v>0</v>
      </c>
      <c r="AD49">
        <f>IF( COUNTIF('Raw Data'!$A$3:$A$2927,$A49)=0,0,SUMIF('Raw Data'!$A$3:$A$2927, $A49,'Raw Data'!AC$3:AC$2927) / COUNTIF('Raw Data'!$A$3:$A$2927,$A49))</f>
        <v>0</v>
      </c>
      <c r="AE49" s="117">
        <f>IF( COUNTIF('Raw Data'!$A$3:$A$2927,$A49)=0,0,SUMIF('Raw Data'!$A$3:$A$2927, $A49,'Raw Data'!AD$3:AD$2927) / COUNTIF('Raw Data'!$A$3:$A$2927,$A49))</f>
        <v>0</v>
      </c>
      <c r="AF49">
        <f>IF( COUNTIF('Raw Data'!$A$3:$A$2927,$A49)=0,0,SUMIF('Raw Data'!$A$3:$A$2927, $A49,'Raw Data'!AE$3:AE$2927) / COUNTIF('Raw Data'!$A$3:$A$2927,$A49))</f>
        <v>0</v>
      </c>
      <c r="AG49">
        <f>IF( COUNTIF('Raw Data'!$A$3:$A$2927,$A49)=0,0,SUMIF('Raw Data'!$A$3:$A$2927, $A49,'Raw Data'!AF$3:AF$2927) / COUNTIF('Raw Data'!$A$3:$A$2927,$A49))</f>
        <v>0</v>
      </c>
      <c r="AH49">
        <f>IF( COUNTIF('Raw Data'!$A$3:$A$2927,$A49)=0,0,SUMIF('Raw Data'!$A$3:$A$2927, $A49,'Raw Data'!AG$3:AG$2927) / COUNTIF('Raw Data'!$A$3:$A$2927,$A49))</f>
        <v>0</v>
      </c>
      <c r="AI49">
        <f>IF( COUNTIF('Raw Data'!$A$3:$A$2927,$A49)=0,0,SUMIF('Raw Data'!$A$3:$A$2927, $A49,'Raw Data'!AH$3:AH$2927) / COUNTIF('Raw Data'!$A$3:$A$2927,$A49))</f>
        <v>0</v>
      </c>
      <c r="AJ49" s="116">
        <f>COUNTIF('Raw Data'!A$3:A$2927, $A49)</f>
        <v>0</v>
      </c>
      <c r="AK49">
        <f>IFERROR(SUM(IF($E49 &gt;autoThreshold, auto), hatch * SUM($H49:$K49), cargo * SUM($M49:$P49),hatch * SUM( $S49:$V49), cargo * SUM($X49:$AA49), rocket23 * SUM($J49:$K49, $O49:$P49, $U49:$V49, $Z49:$AA49), IF($AD49 &gt; climbThreshold, climb), IF($AC49 &gt; assistThreshold, $AC49 * assist), $AH49 * penalty, dropHatch * $AI49, tippedBroke * SUM($AE49:$AF49),  IF( $E49 &lt; noAutoThreshold, noAuto), IF($C49 &lt; doesNothingThreshold, doesNothing, IF($AD49 &gt;1.45, 2) )), "h")</f>
        <v>-21</v>
      </c>
      <c r="AL49">
        <f>SUM(hHatch * SUM($H49:$K49), hHatch * SUM($S49:$V49), hRocket23 * SUM($J49:$K49), hRocket23 * SUM($U49:$V49), hSandstorm * SUM($H49:$K49), hPenalty * $AH49, hDropHatch * $AI49,hTippedBroke * SUM($AE49:$AF49), IF($E49 &lt; hNoAutoThreshold, hNoAuto), IF($AG49 &gt; hFloorHatchThreshold, hFloorHatch))</f>
        <v>-1.5</v>
      </c>
      <c r="AM49">
        <f>SUM(cCargo * SUM($M49:$P49), cCargo *SUM( $X49:$AA49), cRocket23 * SUM($O49:$P49, $Z49:$AA49),cSandstorm * SUM($M49:$P49), cPenalty * $AH49, cTippedBroke * SUM($AE49:$AF49), IF($E49 &lt; cNoAutoThreshold, cNoAuto, 0))</f>
        <v>-1</v>
      </c>
    </row>
    <row r="50" spans="1:39" ht="15.75" thickBot="1">
      <c r="A50">
        <v>4939</v>
      </c>
      <c r="B50" t="s">
        <v>424</v>
      </c>
      <c r="C50">
        <f>PRODUCT($E50,3)+PRODUCT(SUM($H50:$K50),2)+PRODUCT(SUM($M50:$P50),3)+PRODUCT(SUM($S50:$V50),2)+PRODUCT(SUM($X50:$AA50), 3)+IF($AC50 &gt; 2, PRODUCT(SUM($AC50, -1),6), PRODUCT($AC50,3)) + IF($AD50 &gt; 2, PRODUCT(SUM($AD50, -1),6), PRODUCT($AD50,3)) + PRODUCT($AH50, -1)</f>
        <v>0</v>
      </c>
      <c r="D50">
        <f>PRODUCT(SUM($H50:$I50), 2) + PRODUCT(SUM($M50:$N50),3) + PRODUCT(SUM($S50:$T50), 2) + PRODUCT(SUM($X50:$Y50), 3)</f>
        <v>0</v>
      </c>
      <c r="E50">
        <f>IF( COUNTIF('Raw Data'!$A$3:$A$2927,$A50)=0,0,SUMIF('Raw Data'!$A$3:$A$2927, $A50,'Raw Data'!D$3:D$2927) / COUNTIF('Raw Data'!$A$3:$A$2927,$A50))</f>
        <v>0</v>
      </c>
      <c r="F50">
        <f t="array" ref="F50">MAX(IF('Raw Data'!$A$3:$A$927=$A50, 'Raw Data'!$O$3:$O$927))</f>
        <v>0</v>
      </c>
      <c r="G50">
        <f t="array" ref="G50">MAX(IF('Raw Data'!$A$3:$A$927=$A50, 'Raw Data'!$I$3:$I$927))</f>
        <v>0</v>
      </c>
      <c r="H50">
        <f>IF( COUNTIF('Raw Data'!$A$3:$A$2927,$A50)=0,0,SUMIF('Raw Data'!$A$3:$A$2927, $A50,'Raw Data'!E$3:E$2927) / COUNTIF('Raw Data'!$A$3:$A$2927,$A50))</f>
        <v>0</v>
      </c>
      <c r="I50">
        <f>IF( COUNTIF('Raw Data'!$A$3:$A$2927,$A50)=0,0,SUMIF('Raw Data'!$A$3:$A$2927, $A50,'Raw Data'!F$3:F$2927) / COUNTIF('Raw Data'!$A$3:$A$2927,$A50))</f>
        <v>0</v>
      </c>
      <c r="J50">
        <f>IF( COUNTIF('Raw Data'!$A$3:$A$2927,$A50)=0,0,SUMIF('Raw Data'!$A$3:$A$2927, $A50,'Raw Data'!G$3:G$2927) / COUNTIF('Raw Data'!$A$3:$A$2927,$A50))</f>
        <v>0</v>
      </c>
      <c r="K50">
        <f>IF( COUNTIF('Raw Data'!$A$3:$A$2927,$A50)=0,0,SUMIF('Raw Data'!$A$3:$A$2927, $A50,'Raw Data'!H$3:H$2927) / COUNTIF('Raw Data'!$A$3:$A$2927,$A50))</f>
        <v>0</v>
      </c>
      <c r="L50">
        <f t="array" ref="L50">MAX(IF('Raw Data'!$A$3:$A$927=$A50, 'Raw Data'!$N$3:$N$927))</f>
        <v>0</v>
      </c>
      <c r="M50">
        <f>IF( COUNTIF('Raw Data'!$A$3:$A$2927,$A50)=0,0,SUMIF('Raw Data'!$A$3:$A$2927, $A50,'Raw Data'!J$3:J$2927) / COUNTIF('Raw Data'!$A$3:$A$2927,$A50))</f>
        <v>0</v>
      </c>
      <c r="N50">
        <f>IF( COUNTIF('Raw Data'!$A$3:$A$2927,$A50)=0,0,SUMIF('Raw Data'!$A$3:$A$2927, $A50,'Raw Data'!K$3:K$2927) / COUNTIF('Raw Data'!$A$3:$A$2927,$A50))</f>
        <v>0</v>
      </c>
      <c r="O50">
        <f>IF( COUNTIF('Raw Data'!$A$3:$A$2927,$A50)=0,0,SUMIF('Raw Data'!$A$3:$A$2927, $A50,'Raw Data'!L$3:L$2927) / COUNTIF('Raw Data'!$A$3:$A$2927,$A50))</f>
        <v>0</v>
      </c>
      <c r="P50" s="58">
        <f>IF( COUNTIF('Raw Data'!$A$3:$A$2927,$A50)=0,0,SUMIF('Raw Data'!$A$3:$A$2927, $A50,'Raw Data'!M$3:M$2927) / COUNTIF('Raw Data'!$A$3:$A$2927,$A50))</f>
        <v>0</v>
      </c>
      <c r="Q50">
        <f t="array" ref="Q50">MAX(IF('Raw Data'!$A$3:$A$927=$A50, 'Raw Data'!$Z$3:$Z$927))</f>
        <v>0</v>
      </c>
      <c r="R50">
        <f t="array" ref="R50">MAX(IF('Raw Data'!$A$3:$A$927=$A50, 'Raw Data'!$T$3:$T$927))</f>
        <v>0</v>
      </c>
      <c r="S50" s="118">
        <f>IF( COUNTIF('Raw Data'!$A$3:$A$2927,$A50)=0,0,SUMIF('Raw Data'!$A$3:$A$2927, $A50,'Raw Data'!P$3:P$2927) / COUNTIF('Raw Data'!$A$3:$A$2927,$A50))</f>
        <v>0</v>
      </c>
      <c r="T50">
        <f>IF( COUNTIF('Raw Data'!$A$3:$A$2927,$A50)=0,0,SUMIF('Raw Data'!$A$3:$A$2927, $A50,'Raw Data'!Q$3:Q$2927) / COUNTIF('Raw Data'!$A$3:$A$2927,$A50))</f>
        <v>0</v>
      </c>
      <c r="U50">
        <f>IF( COUNTIF('Raw Data'!$A$3:$A$2927,$A50)=0,0,SUMIF('Raw Data'!$A$3:$A$2927, $A50,'Raw Data'!R$3:R$2927) / COUNTIF('Raw Data'!$A$3:$A$2927,$A50))</f>
        <v>0</v>
      </c>
      <c r="V50">
        <f>IF( COUNTIF('Raw Data'!$A$3:$A$2927,$A50)=0,0,SUMIF('Raw Data'!$A$3:$A$2927, $A50,'Raw Data'!S$3:S$2927) / COUNTIF('Raw Data'!$A$3:$A$2927,$A50))</f>
        <v>0</v>
      </c>
      <c r="W50">
        <f t="array" ref="W50">MAX(IF('Raw Data'!$A$3:$A$927=$A50, 'Raw Data'!$Y$3:$Y$927))</f>
        <v>0</v>
      </c>
      <c r="X50">
        <f>IF( COUNTIF('Raw Data'!$A$3:$A$2927,$A50)=0,0,SUMIF('Raw Data'!$A$3:$A$2927, $A50,'Raw Data'!U$3:U$2927) / COUNTIF('Raw Data'!$A$3:$A$2927,$A50))</f>
        <v>0</v>
      </c>
      <c r="Y50">
        <f>IF( COUNTIF('Raw Data'!$A$3:$A$2927,$A50)=0,0,SUMIF('Raw Data'!$A$3:$A$2927, $A50,'Raw Data'!V$3:V$2927) / COUNTIF('Raw Data'!$A$3:$A$2927,$A50))</f>
        <v>0</v>
      </c>
      <c r="Z50">
        <f>IF( COUNTIF('Raw Data'!$A$3:$A$2927,$A50)=0,0,SUMIF('Raw Data'!$A$3:$A$2927, $A50,'Raw Data'!W$3:W$2927) / COUNTIF('Raw Data'!$A$3:$A$2927,$A50))</f>
        <v>0</v>
      </c>
      <c r="AA50">
        <f>IF( COUNTIF('Raw Data'!$A$3:$A$2927,$A50)=0,0,SUMIF('Raw Data'!$A$3:$A$2927, $A50,'Raw Data'!X$3:X$2927) / COUNTIF('Raw Data'!$A$3:$A$2927,$A50))</f>
        <v>0</v>
      </c>
      <c r="AB50">
        <f>IF( COUNTIF('Raw Data'!$A$3:$A$2927,$A50)=0,0,SUMIF('Raw Data'!$A$3:$A$2927, $A50,'Raw Data'!AA$3:AA$2927) / COUNTIF('Raw Data'!$A$3:$A$2927,$A50))</f>
        <v>0</v>
      </c>
      <c r="AC50">
        <f>IF( COUNTIF('Raw Data'!$A$3:$A$2927,$A50)=0,0,SUMIF('Raw Data'!$A$3:$A$2927, $A50,'Raw Data'!AB$3:AB$2927) / COUNTIF('Raw Data'!$A$3:$A$2927,$A50))</f>
        <v>0</v>
      </c>
      <c r="AD50">
        <f>IF( COUNTIF('Raw Data'!$A$3:$A$2927,$A50)=0,0,SUMIF('Raw Data'!$A$3:$A$2927, $A50,'Raw Data'!AC$3:AC$2927) / COUNTIF('Raw Data'!$A$3:$A$2927,$A50))</f>
        <v>0</v>
      </c>
      <c r="AE50" s="117">
        <f>IF( COUNTIF('Raw Data'!$A$3:$A$2927,$A50)=0,0,SUMIF('Raw Data'!$A$3:$A$2927, $A50,'Raw Data'!AD$3:AD$2927) / COUNTIF('Raw Data'!$A$3:$A$2927,$A50))</f>
        <v>0</v>
      </c>
      <c r="AF50">
        <f>IF( COUNTIF('Raw Data'!$A$3:$A$2927,$A50)=0,0,SUMIF('Raw Data'!$A$3:$A$2927, $A50,'Raw Data'!AE$3:AE$2927) / COUNTIF('Raw Data'!$A$3:$A$2927,$A50))</f>
        <v>0</v>
      </c>
      <c r="AG50">
        <f>IF( COUNTIF('Raw Data'!$A$3:$A$2927,$A50)=0,0,SUMIF('Raw Data'!$A$3:$A$2927, $A50,'Raw Data'!AF$3:AF$2927) / COUNTIF('Raw Data'!$A$3:$A$2927,$A50))</f>
        <v>0</v>
      </c>
      <c r="AH50">
        <f>IF( COUNTIF('Raw Data'!$A$3:$A$2927,$A50)=0,0,SUMIF('Raw Data'!$A$3:$A$2927, $A50,'Raw Data'!AG$3:AG$2927) / COUNTIF('Raw Data'!$A$3:$A$2927,$A50))</f>
        <v>0</v>
      </c>
      <c r="AI50">
        <f>IF( COUNTIF('Raw Data'!$A$3:$A$2927,$A50)=0,0,SUMIF('Raw Data'!$A$3:$A$2927, $A50,'Raw Data'!AH$3:AH$2927) / COUNTIF('Raw Data'!$A$3:$A$2927,$A50))</f>
        <v>0</v>
      </c>
      <c r="AJ50" s="116">
        <f>COUNTIF('Raw Data'!A$3:A$2927, $A50)</f>
        <v>0</v>
      </c>
      <c r="AK50">
        <f>IFERROR(SUM(IF($E50 &gt;autoThreshold, auto), hatch * SUM($H50:$K50), cargo * SUM($M50:$P50),hatch * SUM( $S50:$V50), cargo * SUM($X50:$AA50), rocket23 * SUM($J50:$K50, $O50:$P50, $U50:$V50, $Z50:$AA50), IF($AD50 &gt; climbThreshold, climb), IF($AC50 &gt; assistThreshold, $AC50 * assist), $AH50 * penalty, dropHatch * $AI50, tippedBroke * SUM($AE50:$AF50),  IF( $E50 &lt; noAutoThreshold, noAuto), IF($C50 &lt; doesNothingThreshold, doesNothing, IF($AD50 &gt;1.45, 2) )), "h")</f>
        <v>-21</v>
      </c>
      <c r="AL50">
        <f>SUM(hHatch * SUM($H50:$K50), hHatch * SUM($S50:$V50), hRocket23 * SUM($J50:$K50), hRocket23 * SUM($U50:$V50), hSandstorm * SUM($H50:$K50), hPenalty * $AH50, hDropHatch * $AI50,hTippedBroke * SUM($AE50:$AF50), IF($E50 &lt; hNoAutoThreshold, hNoAuto), IF($AG50 &gt; hFloorHatchThreshold, hFloorHatch))</f>
        <v>-1.5</v>
      </c>
      <c r="AM50">
        <f>SUM(cCargo * SUM($M50:$P50), cCargo *SUM( $X50:$AA50), cRocket23 * SUM($O50:$P50, $Z50:$AA50),cSandstorm * SUM($M50:$P50), cPenalty * $AH50, cTippedBroke * SUM($AE50:$AF50), IF($E50 &lt; cNoAutoThreshold, cNoAuto, 0))</f>
        <v>-1</v>
      </c>
    </row>
    <row r="51" spans="1:39" ht="15.75" thickBot="1">
      <c r="A51">
        <v>4946</v>
      </c>
      <c r="B51" t="s">
        <v>215</v>
      </c>
      <c r="C51">
        <f>PRODUCT($E51,3)+PRODUCT(SUM($H51:$K51),2)+PRODUCT(SUM($M51:$P51),3)+PRODUCT(SUM($S51:$V51),2)+PRODUCT(SUM($X51:$AA51), 3)+IF($AC51 &gt; 2, PRODUCT(SUM($AC51, -1),6), PRODUCT($AC51,3)) + IF($AD51 &gt; 2, PRODUCT(SUM($AD51, -1),6), PRODUCT($AD51,3)) + PRODUCT($AH51, -1)</f>
        <v>14.888888888888889</v>
      </c>
      <c r="D51">
        <f>PRODUCT(SUM($H51:$I51), 2) + PRODUCT(SUM($M51:$N51),3) + PRODUCT(SUM($S51:$T51), 2) + PRODUCT(SUM($X51:$Y51), 3)</f>
        <v>8.1111111111111107</v>
      </c>
      <c r="E51">
        <f>IF( COUNTIF('Raw Data'!$A$3:$A$2927,$A51)=0,0,SUMIF('Raw Data'!$A$3:$A$2927, $A51,'Raw Data'!D$3:D$2927) / COUNTIF('Raw Data'!$A$3:$A$2927,$A51))</f>
        <v>1.1111111111111112</v>
      </c>
      <c r="F51">
        <f t="array" ref="F51">MAX(IF('Raw Data'!$A$3:$A$927=$A51, 'Raw Data'!$O$3:$O$927))</f>
        <v>1</v>
      </c>
      <c r="G51">
        <f t="array" ref="G51">MAX(IF('Raw Data'!$A$3:$A$927=$A51, 'Raw Data'!$I$3:$I$927))</f>
        <v>1</v>
      </c>
      <c r="H51">
        <f>IF( COUNTIF('Raw Data'!$A$3:$A$2927,$A51)=0,0,SUMIF('Raw Data'!$A$3:$A$2927, $A51,'Raw Data'!E$3:E$2927) / COUNTIF('Raw Data'!$A$3:$A$2927,$A51))</f>
        <v>0.55555555555555558</v>
      </c>
      <c r="I51">
        <f>IF( COUNTIF('Raw Data'!$A$3:$A$2927,$A51)=0,0,SUMIF('Raw Data'!$A$3:$A$2927, $A51,'Raw Data'!F$3:F$2927) / COUNTIF('Raw Data'!$A$3:$A$2927,$A51))</f>
        <v>0.1111111111111111</v>
      </c>
      <c r="J51">
        <f>IF( COUNTIF('Raw Data'!$A$3:$A$2927,$A51)=0,0,SUMIF('Raw Data'!$A$3:$A$2927, $A51,'Raw Data'!G$3:G$2927) / COUNTIF('Raw Data'!$A$3:$A$2927,$A51))</f>
        <v>0</v>
      </c>
      <c r="K51">
        <f>IF( COUNTIF('Raw Data'!$A$3:$A$2927,$A51)=0,0,SUMIF('Raw Data'!$A$3:$A$2927, $A51,'Raw Data'!H$3:H$2927) / COUNTIF('Raw Data'!$A$3:$A$2927,$A51))</f>
        <v>0</v>
      </c>
      <c r="L51">
        <f t="array" ref="L51">MAX(IF('Raw Data'!$A$3:$A$927=$A51, 'Raw Data'!$N$3:$N$927))</f>
        <v>0</v>
      </c>
      <c r="M51">
        <f>IF( COUNTIF('Raw Data'!$A$3:$A$2927,$A51)=0,0,SUMIF('Raw Data'!$A$3:$A$2927, $A51,'Raw Data'!J$3:J$2927) / COUNTIF('Raw Data'!$A$3:$A$2927,$A51))</f>
        <v>0</v>
      </c>
      <c r="N51">
        <f>IF( COUNTIF('Raw Data'!$A$3:$A$2927,$A51)=0,0,SUMIF('Raw Data'!$A$3:$A$2927, $A51,'Raw Data'!K$3:K$2927) / COUNTIF('Raw Data'!$A$3:$A$2927,$A51))</f>
        <v>0</v>
      </c>
      <c r="O51">
        <f>IF( COUNTIF('Raw Data'!$A$3:$A$2927,$A51)=0,0,SUMIF('Raw Data'!$A$3:$A$2927, $A51,'Raw Data'!L$3:L$2927) / COUNTIF('Raw Data'!$A$3:$A$2927,$A51))</f>
        <v>0</v>
      </c>
      <c r="P51" s="58">
        <f>IF( COUNTIF('Raw Data'!$A$3:$A$2927,$A51)=0,0,SUMIF('Raw Data'!$A$3:$A$2927, $A51,'Raw Data'!M$3:M$2927) / COUNTIF('Raw Data'!$A$3:$A$2927,$A51))</f>
        <v>0</v>
      </c>
      <c r="Q51">
        <f t="array" ref="Q51">MAX(IF('Raw Data'!$A$3:$A$927=$A51, 'Raw Data'!$Z$3:$Z$927))</f>
        <v>7</v>
      </c>
      <c r="R51">
        <f t="array" ref="R51">MAX(IF('Raw Data'!$A$3:$A$927=$A51, 'Raw Data'!$T$3:$T$927))</f>
        <v>5</v>
      </c>
      <c r="S51" s="118">
        <f>IF( COUNTIF('Raw Data'!$A$3:$A$2927,$A51)=0,0,SUMIF('Raw Data'!$A$3:$A$2927, $A51,'Raw Data'!P$3:P$2927) / COUNTIF('Raw Data'!$A$3:$A$2927,$A51))</f>
        <v>0.44444444444444442</v>
      </c>
      <c r="T51">
        <f>IF( COUNTIF('Raw Data'!$A$3:$A$2927,$A51)=0,0,SUMIF('Raw Data'!$A$3:$A$2927, $A51,'Raw Data'!Q$3:Q$2927) / COUNTIF('Raw Data'!$A$3:$A$2927,$A51))</f>
        <v>1.1111111111111112</v>
      </c>
      <c r="U51">
        <f>IF( COUNTIF('Raw Data'!$A$3:$A$2927,$A51)=0,0,SUMIF('Raw Data'!$A$3:$A$2927, $A51,'Raw Data'!R$3:R$2927) / COUNTIF('Raw Data'!$A$3:$A$2927,$A51))</f>
        <v>0.55555555555555558</v>
      </c>
      <c r="V51">
        <f>IF( COUNTIF('Raw Data'!$A$3:$A$2927,$A51)=0,0,SUMIF('Raw Data'!$A$3:$A$2927, $A51,'Raw Data'!S$3:S$2927) / COUNTIF('Raw Data'!$A$3:$A$2927,$A51))</f>
        <v>0.22222222222222221</v>
      </c>
      <c r="W51">
        <f t="array" ref="W51">MAX(IF('Raw Data'!$A$3:$A$927=$A51, 'Raw Data'!$Y$3:$Y$927))</f>
        <v>4</v>
      </c>
      <c r="X51">
        <f>IF( COUNTIF('Raw Data'!$A$3:$A$2927,$A51)=0,0,SUMIF('Raw Data'!$A$3:$A$2927, $A51,'Raw Data'!U$3:U$2927) / COUNTIF('Raw Data'!$A$3:$A$2927,$A51))</f>
        <v>0.66666666666666663</v>
      </c>
      <c r="Y51">
        <f>IF( COUNTIF('Raw Data'!$A$3:$A$2927,$A51)=0,0,SUMIF('Raw Data'!$A$3:$A$2927, $A51,'Raw Data'!V$3:V$2927) / COUNTIF('Raw Data'!$A$3:$A$2927,$A51))</f>
        <v>0.55555555555555558</v>
      </c>
      <c r="Z51">
        <f>IF( COUNTIF('Raw Data'!$A$3:$A$2927,$A51)=0,0,SUMIF('Raw Data'!$A$3:$A$2927, $A51,'Raw Data'!W$3:W$2927) / COUNTIF('Raw Data'!$A$3:$A$2927,$A51))</f>
        <v>0.1111111111111111</v>
      </c>
      <c r="AA51">
        <f>IF( COUNTIF('Raw Data'!$A$3:$A$2927,$A51)=0,0,SUMIF('Raw Data'!$A$3:$A$2927, $A51,'Raw Data'!X$3:X$2927) / COUNTIF('Raw Data'!$A$3:$A$2927,$A51))</f>
        <v>0.22222222222222221</v>
      </c>
      <c r="AB51">
        <f>IF( COUNTIF('Raw Data'!$A$3:$A$2927,$A51)=0,0,SUMIF('Raw Data'!$A$3:$A$2927, $A51,'Raw Data'!AA$3:AA$2927) / COUNTIF('Raw Data'!$A$3:$A$2927,$A51))</f>
        <v>2.7777777777777777</v>
      </c>
      <c r="AC51">
        <f>IF( COUNTIF('Raw Data'!$A$3:$A$2927,$A51)=0,0,SUMIF('Raw Data'!$A$3:$A$2927, $A51,'Raw Data'!AB$3:AB$2927) / COUNTIF('Raw Data'!$A$3:$A$2927,$A51))</f>
        <v>0</v>
      </c>
      <c r="AD51">
        <f>IF( COUNTIF('Raw Data'!$A$3:$A$2927,$A51)=0,0,SUMIF('Raw Data'!$A$3:$A$2927, $A51,'Raw Data'!AC$3:AC$2927) / COUNTIF('Raw Data'!$A$3:$A$2927,$A51))</f>
        <v>0.88888888888888884</v>
      </c>
      <c r="AE51" s="117">
        <f>IF( COUNTIF('Raw Data'!$A$3:$A$2927,$A51)=0,0,SUMIF('Raw Data'!$A$3:$A$2927, $A51,'Raw Data'!AD$3:AD$2927) / COUNTIF('Raw Data'!$A$3:$A$2927,$A51))</f>
        <v>0</v>
      </c>
      <c r="AF51">
        <f>IF( COUNTIF('Raw Data'!$A$3:$A$2927,$A51)=0,0,SUMIF('Raw Data'!$A$3:$A$2927, $A51,'Raw Data'!AE$3:AE$2927) / COUNTIF('Raw Data'!$A$3:$A$2927,$A51))</f>
        <v>0.1111111111111111</v>
      </c>
      <c r="AG51">
        <f>IF( COUNTIF('Raw Data'!$A$3:$A$2927,$A51)=0,0,SUMIF('Raw Data'!$A$3:$A$2927, $A51,'Raw Data'!AF$3:AF$2927) / COUNTIF('Raw Data'!$A$3:$A$2927,$A51))</f>
        <v>0</v>
      </c>
      <c r="AH51">
        <f>IF( COUNTIF('Raw Data'!$A$3:$A$2927,$A51)=0,0,SUMIF('Raw Data'!$A$3:$A$2927, $A51,'Raw Data'!AG$3:AG$2927) / COUNTIF('Raw Data'!$A$3:$A$2927,$A51))</f>
        <v>1.7777777777777777</v>
      </c>
      <c r="AI51">
        <f>IF( COUNTIF('Raw Data'!$A$3:$A$2927,$A51)=0,0,SUMIF('Raw Data'!$A$3:$A$2927, $A51,'Raw Data'!AH$3:AH$2927) / COUNTIF('Raw Data'!$A$3:$A$2927,$A51))</f>
        <v>0.33333333333333331</v>
      </c>
      <c r="AJ51" s="116">
        <f>COUNTIF('Raw Data'!A$3:A$2927, $A51)</f>
        <v>9</v>
      </c>
      <c r="AK51">
        <f>IFERROR(SUM(IF($E51 &gt;autoThreshold, auto), hatch * SUM($H51:$K51), cargo * SUM($M51:$P51),hatch * SUM( $S51:$V51), cargo * SUM($X51:$AA51), rocket23 * SUM($J51:$K51, $O51:$P51, $U51:$V51, $Z51:$AA51), IF($AD51 &gt; climbThreshold, climb), IF($AC51 &gt; assistThreshold, $AC51 * assist), $AH51 * penalty, dropHatch * $AI51, tippedBroke * SUM($AE51:$AF51),  IF( $E51 &lt; noAutoThreshold, noAuto), IF($C51 &lt; doesNothingThreshold, doesNothing, IF($AD51 &gt;1.45, 2) )), "h")</f>
        <v>2.804444444444445</v>
      </c>
      <c r="AL51">
        <f>SUM(hHatch * SUM($H51:$K51), hHatch * SUM($S51:$V51), hRocket23 * SUM($J51:$K51), hRocket23 * SUM($U51:$V51), hSandstorm * SUM($H51:$K51), hPenalty * $AH51, hDropHatch * $AI51,hTippedBroke * SUM($AE51:$AF51), IF($E51 &lt; hNoAutoThreshold, hNoAuto), IF($AG51 &gt; hFloorHatchThreshold, hFloorHatch))</f>
        <v>1.9444444444444446</v>
      </c>
      <c r="AM51">
        <f>SUM(cCargo * SUM($M51:$P51), cCargo *SUM( $X51:$AA51), cRocket23 * SUM($O51:$P51, $Z51:$AA51),cSandstorm * SUM($M51:$P51), cPenalty * $AH51, cTippedBroke * SUM($AE51:$AF51), IF($E51 &lt; cNoAutoThreshold, cNoAuto, 0))</f>
        <v>0.91333333333333366</v>
      </c>
    </row>
    <row r="52" spans="1:39" ht="15.75" thickBot="1">
      <c r="A52">
        <v>4951</v>
      </c>
      <c r="B52" t="s">
        <v>216</v>
      </c>
      <c r="C52">
        <f>PRODUCT($E52,3)+PRODUCT(SUM($H52:$K52),2)+PRODUCT(SUM($M52:$P52),3)+PRODUCT(SUM($S52:$V52),2)+PRODUCT(SUM($X52:$AA52), 3)+IF($AC52 &gt; 2, PRODUCT(SUM($AC52, -1),6), PRODUCT($AC52,3)) + IF($AD52 &gt; 2, PRODUCT(SUM($AD52, -1),6), PRODUCT($AD52,3)) + PRODUCT($AH52, -1)</f>
        <v>17.428571428571431</v>
      </c>
      <c r="D52">
        <f>PRODUCT(SUM($H52:$I52), 2) + PRODUCT(SUM($M52:$N52),3) + PRODUCT(SUM($S52:$T52), 2) + PRODUCT(SUM($X52:$Y52), 3)</f>
        <v>12.285714285714286</v>
      </c>
      <c r="E52">
        <f>IF( COUNTIF('Raw Data'!$A$3:$A$2927,$A52)=0,0,SUMIF('Raw Data'!$A$3:$A$2927, $A52,'Raw Data'!D$3:D$2927) / COUNTIF('Raw Data'!$A$3:$A$2927,$A52))</f>
        <v>1.7142857142857142</v>
      </c>
      <c r="F52">
        <f t="array" ref="F52">MAX(IF('Raw Data'!$A$3:$A$927=$A52, 'Raw Data'!$O$3:$O$927))</f>
        <v>1</v>
      </c>
      <c r="G52">
        <f t="array" ref="G52">MAX(IF('Raw Data'!$A$3:$A$927=$A52, 'Raw Data'!$I$3:$I$927))</f>
        <v>1</v>
      </c>
      <c r="H52">
        <f>IF( COUNTIF('Raw Data'!$A$3:$A$2927,$A52)=0,0,SUMIF('Raw Data'!$A$3:$A$2927, $A52,'Raw Data'!E$3:E$2927) / COUNTIF('Raw Data'!$A$3:$A$2927,$A52))</f>
        <v>0.14285714285714285</v>
      </c>
      <c r="I52">
        <f>IF( COUNTIF('Raw Data'!$A$3:$A$2927,$A52)=0,0,SUMIF('Raw Data'!$A$3:$A$2927, $A52,'Raw Data'!F$3:F$2927) / COUNTIF('Raw Data'!$A$3:$A$2927,$A52))</f>
        <v>0</v>
      </c>
      <c r="J52">
        <f>IF( COUNTIF('Raw Data'!$A$3:$A$2927,$A52)=0,0,SUMIF('Raw Data'!$A$3:$A$2927, $A52,'Raw Data'!G$3:G$2927) / COUNTIF('Raw Data'!$A$3:$A$2927,$A52))</f>
        <v>0</v>
      </c>
      <c r="K52">
        <f>IF( COUNTIF('Raw Data'!$A$3:$A$2927,$A52)=0,0,SUMIF('Raw Data'!$A$3:$A$2927, $A52,'Raw Data'!H$3:H$2927) / COUNTIF('Raw Data'!$A$3:$A$2927,$A52))</f>
        <v>0</v>
      </c>
      <c r="L52">
        <f t="array" ref="L52">MAX(IF('Raw Data'!$A$3:$A$927=$A52, 'Raw Data'!$N$3:$N$927))</f>
        <v>1</v>
      </c>
      <c r="M52">
        <f>IF( COUNTIF('Raw Data'!$A$3:$A$2927,$A52)=0,0,SUMIF('Raw Data'!$A$3:$A$2927, $A52,'Raw Data'!J$3:J$2927) / COUNTIF('Raw Data'!$A$3:$A$2927,$A52))</f>
        <v>0.5714285714285714</v>
      </c>
      <c r="N52">
        <f>IF( COUNTIF('Raw Data'!$A$3:$A$2927,$A52)=0,0,SUMIF('Raw Data'!$A$3:$A$2927, $A52,'Raw Data'!K$3:K$2927) / COUNTIF('Raw Data'!$A$3:$A$2927,$A52))</f>
        <v>0</v>
      </c>
      <c r="O52">
        <f>IF( COUNTIF('Raw Data'!$A$3:$A$2927,$A52)=0,0,SUMIF('Raw Data'!$A$3:$A$2927, $A52,'Raw Data'!L$3:L$2927) / COUNTIF('Raw Data'!$A$3:$A$2927,$A52))</f>
        <v>0</v>
      </c>
      <c r="P52" s="58">
        <f>IF( COUNTIF('Raw Data'!$A$3:$A$2927,$A52)=0,0,SUMIF('Raw Data'!$A$3:$A$2927, $A52,'Raw Data'!M$3:M$2927) / COUNTIF('Raw Data'!$A$3:$A$2927,$A52))</f>
        <v>0</v>
      </c>
      <c r="Q52">
        <f t="array" ref="Q52">MAX(IF('Raw Data'!$A$3:$A$927=$A52, 'Raw Data'!$Z$3:$Z$927))</f>
        <v>4</v>
      </c>
      <c r="R52">
        <f t="array" ref="R52">MAX(IF('Raw Data'!$A$3:$A$927=$A52, 'Raw Data'!$T$3:$T$927))</f>
        <v>0</v>
      </c>
      <c r="S52" s="118">
        <f>IF( COUNTIF('Raw Data'!$A$3:$A$2927,$A52)=0,0,SUMIF('Raw Data'!$A$3:$A$2927, $A52,'Raw Data'!P$3:P$2927) / COUNTIF('Raw Data'!$A$3:$A$2927,$A52))</f>
        <v>0</v>
      </c>
      <c r="T52">
        <f>IF( COUNTIF('Raw Data'!$A$3:$A$2927,$A52)=0,0,SUMIF('Raw Data'!$A$3:$A$2927, $A52,'Raw Data'!Q$3:Q$2927) / COUNTIF('Raw Data'!$A$3:$A$2927,$A52))</f>
        <v>0</v>
      </c>
      <c r="U52">
        <f>IF( COUNTIF('Raw Data'!$A$3:$A$2927,$A52)=0,0,SUMIF('Raw Data'!$A$3:$A$2927, $A52,'Raw Data'!R$3:R$2927) / COUNTIF('Raw Data'!$A$3:$A$2927,$A52))</f>
        <v>0</v>
      </c>
      <c r="V52">
        <f>IF( COUNTIF('Raw Data'!$A$3:$A$2927,$A52)=0,0,SUMIF('Raw Data'!$A$3:$A$2927, $A52,'Raw Data'!S$3:S$2927) / COUNTIF('Raw Data'!$A$3:$A$2927,$A52))</f>
        <v>0</v>
      </c>
      <c r="W52">
        <f t="array" ref="W52">MAX(IF('Raw Data'!$A$3:$A$927=$A52, 'Raw Data'!$Y$3:$Y$927))</f>
        <v>4</v>
      </c>
      <c r="X52">
        <f>IF( COUNTIF('Raw Data'!$A$3:$A$2927,$A52)=0,0,SUMIF('Raw Data'!$A$3:$A$2927, $A52,'Raw Data'!U$3:U$2927) / COUNTIF('Raw Data'!$A$3:$A$2927,$A52))</f>
        <v>2.8571428571428572</v>
      </c>
      <c r="Y52">
        <f>IF( COUNTIF('Raw Data'!$A$3:$A$2927,$A52)=0,0,SUMIF('Raw Data'!$A$3:$A$2927, $A52,'Raw Data'!V$3:V$2927) / COUNTIF('Raw Data'!$A$3:$A$2927,$A52))</f>
        <v>0.5714285714285714</v>
      </c>
      <c r="Z52">
        <f>IF( COUNTIF('Raw Data'!$A$3:$A$2927,$A52)=0,0,SUMIF('Raw Data'!$A$3:$A$2927, $A52,'Raw Data'!W$3:W$2927) / COUNTIF('Raw Data'!$A$3:$A$2927,$A52))</f>
        <v>0</v>
      </c>
      <c r="AA52">
        <f>IF( COUNTIF('Raw Data'!$A$3:$A$2927,$A52)=0,0,SUMIF('Raw Data'!$A$3:$A$2927, $A52,'Raw Data'!X$3:X$2927) / COUNTIF('Raw Data'!$A$3:$A$2927,$A52))</f>
        <v>0</v>
      </c>
      <c r="AB52">
        <f>IF( COUNTIF('Raw Data'!$A$3:$A$2927,$A52)=0,0,SUMIF('Raw Data'!$A$3:$A$2927, $A52,'Raw Data'!AA$3:AA$2927) / COUNTIF('Raw Data'!$A$3:$A$2927,$A52))</f>
        <v>0</v>
      </c>
      <c r="AC52">
        <f>IF( COUNTIF('Raw Data'!$A$3:$A$2927,$A52)=0,0,SUMIF('Raw Data'!$A$3:$A$2927, $A52,'Raw Data'!AB$3:AB$2927) / COUNTIF('Raw Data'!$A$3:$A$2927,$A52))</f>
        <v>0</v>
      </c>
      <c r="AD52">
        <f>IF( COUNTIF('Raw Data'!$A$3:$A$2927,$A52)=0,0,SUMIF('Raw Data'!$A$3:$A$2927, $A52,'Raw Data'!AC$3:AC$2927) / COUNTIF('Raw Data'!$A$3:$A$2927,$A52))</f>
        <v>1</v>
      </c>
      <c r="AE52" s="117">
        <f>IF( COUNTIF('Raw Data'!$A$3:$A$2927,$A52)=0,0,SUMIF('Raw Data'!$A$3:$A$2927, $A52,'Raw Data'!AD$3:AD$2927) / COUNTIF('Raw Data'!$A$3:$A$2927,$A52))</f>
        <v>0</v>
      </c>
      <c r="AF52">
        <f>IF( COUNTIF('Raw Data'!$A$3:$A$2927,$A52)=0,0,SUMIF('Raw Data'!$A$3:$A$2927, $A52,'Raw Data'!AE$3:AE$2927) / COUNTIF('Raw Data'!$A$3:$A$2927,$A52))</f>
        <v>0</v>
      </c>
      <c r="AG52">
        <f>IF( COUNTIF('Raw Data'!$A$3:$A$2927,$A52)=0,0,SUMIF('Raw Data'!$A$3:$A$2927, $A52,'Raw Data'!AF$3:AF$2927) / COUNTIF('Raw Data'!$A$3:$A$2927,$A52))</f>
        <v>0</v>
      </c>
      <c r="AH52">
        <f>IF( COUNTIF('Raw Data'!$A$3:$A$2927,$A52)=0,0,SUMIF('Raw Data'!$A$3:$A$2927, $A52,'Raw Data'!AG$3:AG$2927) / COUNTIF('Raw Data'!$A$3:$A$2927,$A52))</f>
        <v>3</v>
      </c>
      <c r="AI52">
        <f>IF( COUNTIF('Raw Data'!$A$3:$A$2927,$A52)=0,0,SUMIF('Raw Data'!$A$3:$A$2927, $A52,'Raw Data'!AH$3:AH$2927) / COUNTIF('Raw Data'!$A$3:$A$2927,$A52))</f>
        <v>0</v>
      </c>
      <c r="AJ52" s="116">
        <f>COUNTIF('Raw Data'!A$3:A$2927, $A52)</f>
        <v>7</v>
      </c>
      <c r="AK52">
        <f>IFERROR(SUM(IF($E52 &gt;autoThreshold, auto), hatch * SUM($H52:$K52), cargo * SUM($M52:$P52),hatch * SUM( $S52:$V52), cargo * SUM($X52:$AA52), rocket23 * SUM($J52:$K52, $O52:$P52, $U52:$V52, $Z52:$AA52), IF($AD52 &gt; climbThreshold, climb), IF($AC52 &gt; assistThreshold, $AC52 * assist), $AH52 * penalty, dropHatch * $AI52, tippedBroke * SUM($AE52:$AF52),  IF( $E52 &lt; noAutoThreshold, noAuto), IF($C52 &lt; doesNothingThreshold, doesNothing, IF($AD52 &gt;1.45, 2) )), "h")</f>
        <v>2.2828571428571434</v>
      </c>
      <c r="AL52">
        <f>SUM(hHatch * SUM($H52:$K52), hHatch * SUM($S52:$V52), hRocket23 * SUM($J52:$K52), hRocket23 * SUM($U52:$V52), hSandstorm * SUM($H52:$K52), hPenalty * $AH52, hDropHatch * $AI52,hTippedBroke * SUM($AE52:$AF52), IF($E52 &lt; hNoAutoThreshold, hNoAuto), IF($AG52 &gt; hFloorHatchThreshold, hFloorHatch))</f>
        <v>-1.2857142857142858</v>
      </c>
      <c r="AM52">
        <f>SUM(cCargo * SUM($M52:$P52), cCargo *SUM( $X52:$AA52), cRocket23 * SUM($O52:$P52, $Z52:$AA52),cSandstorm * SUM($M52:$P52), cPenalty * $AH52, cTippedBroke * SUM($AE52:$AF52), IF($E52 &lt; cNoAutoThreshold, cNoAuto, 0))</f>
        <v>3.152857142857143</v>
      </c>
    </row>
    <row r="53" spans="1:39" ht="15.75" thickBot="1">
      <c r="A53">
        <v>5024</v>
      </c>
      <c r="B53" t="s">
        <v>425</v>
      </c>
      <c r="C53">
        <f>PRODUCT($E53,3)+PRODUCT(SUM($H53:$K53),2)+PRODUCT(SUM($M53:$P53),3)+PRODUCT(SUM($S53:$V53),2)+PRODUCT(SUM($X53:$AA53), 3)+IF($AC53 &gt; 2, PRODUCT(SUM($AC53, -1),6), PRODUCT($AC53,3)) + IF($AD53 &gt; 2, PRODUCT(SUM($AD53, -1),6), PRODUCT($AD53,3)) + PRODUCT($AH53, -1)</f>
        <v>0</v>
      </c>
      <c r="D53">
        <f>PRODUCT(SUM($H53:$I53), 2) + PRODUCT(SUM($M53:$N53),3) + PRODUCT(SUM($S53:$T53), 2) + PRODUCT(SUM($X53:$Y53), 3)</f>
        <v>0</v>
      </c>
      <c r="E53">
        <f>IF( COUNTIF('Raw Data'!$A$3:$A$2927,$A53)=0,0,SUMIF('Raw Data'!$A$3:$A$2927, $A53,'Raw Data'!D$3:D$2927) / COUNTIF('Raw Data'!$A$3:$A$2927,$A53))</f>
        <v>0</v>
      </c>
      <c r="F53">
        <f t="array" ref="F53">MAX(IF('Raw Data'!$A$3:$A$927=$A53, 'Raw Data'!$O$3:$O$927))</f>
        <v>0</v>
      </c>
      <c r="G53">
        <f t="array" ref="G53">MAX(IF('Raw Data'!$A$3:$A$927=$A53, 'Raw Data'!$I$3:$I$927))</f>
        <v>0</v>
      </c>
      <c r="H53">
        <f>IF( COUNTIF('Raw Data'!$A$3:$A$2927,$A53)=0,0,SUMIF('Raw Data'!$A$3:$A$2927, $A53,'Raw Data'!E$3:E$2927) / COUNTIF('Raw Data'!$A$3:$A$2927,$A53))</f>
        <v>0</v>
      </c>
      <c r="I53">
        <f>IF( COUNTIF('Raw Data'!$A$3:$A$2927,$A53)=0,0,SUMIF('Raw Data'!$A$3:$A$2927, $A53,'Raw Data'!F$3:F$2927) / COUNTIF('Raw Data'!$A$3:$A$2927,$A53))</f>
        <v>0</v>
      </c>
      <c r="J53">
        <f>IF( COUNTIF('Raw Data'!$A$3:$A$2927,$A53)=0,0,SUMIF('Raw Data'!$A$3:$A$2927, $A53,'Raw Data'!G$3:G$2927) / COUNTIF('Raw Data'!$A$3:$A$2927,$A53))</f>
        <v>0</v>
      </c>
      <c r="K53">
        <f>IF( COUNTIF('Raw Data'!$A$3:$A$2927,$A53)=0,0,SUMIF('Raw Data'!$A$3:$A$2927, $A53,'Raw Data'!H$3:H$2927) / COUNTIF('Raw Data'!$A$3:$A$2927,$A53))</f>
        <v>0</v>
      </c>
      <c r="L53">
        <f t="array" ref="L53">MAX(IF('Raw Data'!$A$3:$A$927=$A53, 'Raw Data'!$N$3:$N$927))</f>
        <v>0</v>
      </c>
      <c r="M53">
        <f>IF( COUNTIF('Raw Data'!$A$3:$A$2927,$A53)=0,0,SUMIF('Raw Data'!$A$3:$A$2927, $A53,'Raw Data'!J$3:J$2927) / COUNTIF('Raw Data'!$A$3:$A$2927,$A53))</f>
        <v>0</v>
      </c>
      <c r="N53">
        <f>IF( COUNTIF('Raw Data'!$A$3:$A$2927,$A53)=0,0,SUMIF('Raw Data'!$A$3:$A$2927, $A53,'Raw Data'!K$3:K$2927) / COUNTIF('Raw Data'!$A$3:$A$2927,$A53))</f>
        <v>0</v>
      </c>
      <c r="O53">
        <f>IF( COUNTIF('Raw Data'!$A$3:$A$2927,$A53)=0,0,SUMIF('Raw Data'!$A$3:$A$2927, $A53,'Raw Data'!L$3:L$2927) / COUNTIF('Raw Data'!$A$3:$A$2927,$A53))</f>
        <v>0</v>
      </c>
      <c r="P53" s="58">
        <f>IF( COUNTIF('Raw Data'!$A$3:$A$2927,$A53)=0,0,SUMIF('Raw Data'!$A$3:$A$2927, $A53,'Raw Data'!M$3:M$2927) / COUNTIF('Raw Data'!$A$3:$A$2927,$A53))</f>
        <v>0</v>
      </c>
      <c r="Q53">
        <f t="array" ref="Q53">MAX(IF('Raw Data'!$A$3:$A$927=$A53, 'Raw Data'!$Z$3:$Z$927))</f>
        <v>0</v>
      </c>
      <c r="R53">
        <f t="array" ref="R53">MAX(IF('Raw Data'!$A$3:$A$927=$A53, 'Raw Data'!$T$3:$T$927))</f>
        <v>0</v>
      </c>
      <c r="S53" s="118">
        <f>IF( COUNTIF('Raw Data'!$A$3:$A$2927,$A53)=0,0,SUMIF('Raw Data'!$A$3:$A$2927, $A53,'Raw Data'!P$3:P$2927) / COUNTIF('Raw Data'!$A$3:$A$2927,$A53))</f>
        <v>0</v>
      </c>
      <c r="T53">
        <f>IF( COUNTIF('Raw Data'!$A$3:$A$2927,$A53)=0,0,SUMIF('Raw Data'!$A$3:$A$2927, $A53,'Raw Data'!Q$3:Q$2927) / COUNTIF('Raw Data'!$A$3:$A$2927,$A53))</f>
        <v>0</v>
      </c>
      <c r="U53">
        <f>IF( COUNTIF('Raw Data'!$A$3:$A$2927,$A53)=0,0,SUMIF('Raw Data'!$A$3:$A$2927, $A53,'Raw Data'!R$3:R$2927) / COUNTIF('Raw Data'!$A$3:$A$2927,$A53))</f>
        <v>0</v>
      </c>
      <c r="V53">
        <f>IF( COUNTIF('Raw Data'!$A$3:$A$2927,$A53)=0,0,SUMIF('Raw Data'!$A$3:$A$2927, $A53,'Raw Data'!S$3:S$2927) / COUNTIF('Raw Data'!$A$3:$A$2927,$A53))</f>
        <v>0</v>
      </c>
      <c r="W53">
        <f t="array" ref="W53">MAX(IF('Raw Data'!$A$3:$A$927=$A53, 'Raw Data'!$Y$3:$Y$927))</f>
        <v>0</v>
      </c>
      <c r="X53">
        <f>IF( COUNTIF('Raw Data'!$A$3:$A$2927,$A53)=0,0,SUMIF('Raw Data'!$A$3:$A$2927, $A53,'Raw Data'!U$3:U$2927) / COUNTIF('Raw Data'!$A$3:$A$2927,$A53))</f>
        <v>0</v>
      </c>
      <c r="Y53">
        <f>IF( COUNTIF('Raw Data'!$A$3:$A$2927,$A53)=0,0,SUMIF('Raw Data'!$A$3:$A$2927, $A53,'Raw Data'!V$3:V$2927) / COUNTIF('Raw Data'!$A$3:$A$2927,$A53))</f>
        <v>0</v>
      </c>
      <c r="Z53">
        <f>IF( COUNTIF('Raw Data'!$A$3:$A$2927,$A53)=0,0,SUMIF('Raw Data'!$A$3:$A$2927, $A53,'Raw Data'!W$3:W$2927) / COUNTIF('Raw Data'!$A$3:$A$2927,$A53))</f>
        <v>0</v>
      </c>
      <c r="AA53">
        <f>IF( COUNTIF('Raw Data'!$A$3:$A$2927,$A53)=0,0,SUMIF('Raw Data'!$A$3:$A$2927, $A53,'Raw Data'!X$3:X$2927) / COUNTIF('Raw Data'!$A$3:$A$2927,$A53))</f>
        <v>0</v>
      </c>
      <c r="AB53">
        <f>IF( COUNTIF('Raw Data'!$A$3:$A$2927,$A53)=0,0,SUMIF('Raw Data'!$A$3:$A$2927, $A53,'Raw Data'!AA$3:AA$2927) / COUNTIF('Raw Data'!$A$3:$A$2927,$A53))</f>
        <v>0</v>
      </c>
      <c r="AC53">
        <f>IF( COUNTIF('Raw Data'!$A$3:$A$2927,$A53)=0,0,SUMIF('Raw Data'!$A$3:$A$2927, $A53,'Raw Data'!AB$3:AB$2927) / COUNTIF('Raw Data'!$A$3:$A$2927,$A53))</f>
        <v>0</v>
      </c>
      <c r="AD53">
        <f>IF( COUNTIF('Raw Data'!$A$3:$A$2927,$A53)=0,0,SUMIF('Raw Data'!$A$3:$A$2927, $A53,'Raw Data'!AC$3:AC$2927) / COUNTIF('Raw Data'!$A$3:$A$2927,$A53))</f>
        <v>0</v>
      </c>
      <c r="AE53" s="117">
        <f>IF( COUNTIF('Raw Data'!$A$3:$A$2927,$A53)=0,0,SUMIF('Raw Data'!$A$3:$A$2927, $A53,'Raw Data'!AD$3:AD$2927) / COUNTIF('Raw Data'!$A$3:$A$2927,$A53))</f>
        <v>0</v>
      </c>
      <c r="AF53">
        <f>IF( COUNTIF('Raw Data'!$A$3:$A$2927,$A53)=0,0,SUMIF('Raw Data'!$A$3:$A$2927, $A53,'Raw Data'!AE$3:AE$2927) / COUNTIF('Raw Data'!$A$3:$A$2927,$A53))</f>
        <v>0</v>
      </c>
      <c r="AG53">
        <f>IF( COUNTIF('Raw Data'!$A$3:$A$2927,$A53)=0,0,SUMIF('Raw Data'!$A$3:$A$2927, $A53,'Raw Data'!AF$3:AF$2927) / COUNTIF('Raw Data'!$A$3:$A$2927,$A53))</f>
        <v>0</v>
      </c>
      <c r="AH53">
        <f>IF( COUNTIF('Raw Data'!$A$3:$A$2927,$A53)=0,0,SUMIF('Raw Data'!$A$3:$A$2927, $A53,'Raw Data'!AG$3:AG$2927) / COUNTIF('Raw Data'!$A$3:$A$2927,$A53))</f>
        <v>0</v>
      </c>
      <c r="AI53">
        <f>IF( COUNTIF('Raw Data'!$A$3:$A$2927,$A53)=0,0,SUMIF('Raw Data'!$A$3:$A$2927, $A53,'Raw Data'!AH$3:AH$2927) / COUNTIF('Raw Data'!$A$3:$A$2927,$A53))</f>
        <v>0</v>
      </c>
      <c r="AJ53" s="116">
        <f>COUNTIF('Raw Data'!A$3:A$2927, $A53)</f>
        <v>0</v>
      </c>
      <c r="AK53">
        <f>IFERROR(SUM(IF($E53 &gt;autoThreshold, auto), hatch * SUM($H53:$K53), cargo * SUM($M53:$P53),hatch * SUM( $S53:$V53), cargo * SUM($X53:$AA53), rocket23 * SUM($J53:$K53, $O53:$P53, $U53:$V53, $Z53:$AA53), IF($AD53 &gt; climbThreshold, climb), IF($AC53 &gt; assistThreshold, $AC53 * assist), $AH53 * penalty, dropHatch * $AI53, tippedBroke * SUM($AE53:$AF53),  IF( $E53 &lt; noAutoThreshold, noAuto), IF($C53 &lt; doesNothingThreshold, doesNothing, IF($AD53 &gt;1.45, 2) )), "h")</f>
        <v>-21</v>
      </c>
      <c r="AL53">
        <f>SUM(hHatch * SUM($H53:$K53), hHatch * SUM($S53:$V53), hRocket23 * SUM($J53:$K53), hRocket23 * SUM($U53:$V53), hSandstorm * SUM($H53:$K53), hPenalty * $AH53, hDropHatch * $AI53,hTippedBroke * SUM($AE53:$AF53), IF($E53 &lt; hNoAutoThreshold, hNoAuto), IF($AG53 &gt; hFloorHatchThreshold, hFloorHatch))</f>
        <v>-1.5</v>
      </c>
      <c r="AM53">
        <f>SUM(cCargo * SUM($M53:$P53), cCargo *SUM( $X53:$AA53), cRocket23 * SUM($O53:$P53, $Z53:$AA53),cSandstorm * SUM($M53:$P53), cPenalty * $AH53, cTippedBroke * SUM($AE53:$AF53), IF($E53 &lt; cNoAutoThreshold, cNoAuto, 0))</f>
        <v>-1</v>
      </c>
    </row>
    <row r="54" spans="1:39" ht="15.75" thickBot="1">
      <c r="A54">
        <v>5031</v>
      </c>
      <c r="B54" t="s">
        <v>426</v>
      </c>
      <c r="C54">
        <f>PRODUCT($E54,3)+PRODUCT(SUM($H54:$K54),2)+PRODUCT(SUM($M54:$P54),3)+PRODUCT(SUM($S54:$V54),2)+PRODUCT(SUM($X54:$AA54), 3)+IF($AC54 &gt; 2, PRODUCT(SUM($AC54, -1),6), PRODUCT($AC54,3)) + IF($AD54 &gt; 2, PRODUCT(SUM($AD54, -1),6), PRODUCT($AD54,3)) + PRODUCT($AH54, -1)</f>
        <v>0</v>
      </c>
      <c r="D54">
        <f>PRODUCT(SUM($H54:$I54), 2) + PRODUCT(SUM($M54:$N54),3) + PRODUCT(SUM($S54:$T54), 2) + PRODUCT(SUM($X54:$Y54), 3)</f>
        <v>0</v>
      </c>
      <c r="E54">
        <f>IF( COUNTIF('Raw Data'!$A$3:$A$2927,$A54)=0,0,SUMIF('Raw Data'!$A$3:$A$2927, $A54,'Raw Data'!D$3:D$2927) / COUNTIF('Raw Data'!$A$3:$A$2927,$A54))</f>
        <v>0</v>
      </c>
      <c r="F54">
        <f t="array" ref="F54">MAX(IF('Raw Data'!$A$3:$A$927=$A54, 'Raw Data'!$O$3:$O$927))</f>
        <v>0</v>
      </c>
      <c r="G54">
        <f t="array" ref="G54">MAX(IF('Raw Data'!$A$3:$A$927=$A54, 'Raw Data'!$I$3:$I$927))</f>
        <v>0</v>
      </c>
      <c r="H54">
        <f>IF( COUNTIF('Raw Data'!$A$3:$A$2927,$A54)=0,0,SUMIF('Raw Data'!$A$3:$A$2927, $A54,'Raw Data'!E$3:E$2927) / COUNTIF('Raw Data'!$A$3:$A$2927,$A54))</f>
        <v>0</v>
      </c>
      <c r="I54">
        <f>IF( COUNTIF('Raw Data'!$A$3:$A$2927,$A54)=0,0,SUMIF('Raw Data'!$A$3:$A$2927, $A54,'Raw Data'!F$3:F$2927) / COUNTIF('Raw Data'!$A$3:$A$2927,$A54))</f>
        <v>0</v>
      </c>
      <c r="J54">
        <f>IF( COUNTIF('Raw Data'!$A$3:$A$2927,$A54)=0,0,SUMIF('Raw Data'!$A$3:$A$2927, $A54,'Raw Data'!G$3:G$2927) / COUNTIF('Raw Data'!$A$3:$A$2927,$A54))</f>
        <v>0</v>
      </c>
      <c r="K54">
        <f>IF( COUNTIF('Raw Data'!$A$3:$A$2927,$A54)=0,0,SUMIF('Raw Data'!$A$3:$A$2927, $A54,'Raw Data'!H$3:H$2927) / COUNTIF('Raw Data'!$A$3:$A$2927,$A54))</f>
        <v>0</v>
      </c>
      <c r="L54">
        <f t="array" ref="L54">MAX(IF('Raw Data'!$A$3:$A$927=$A54, 'Raw Data'!$N$3:$N$927))</f>
        <v>0</v>
      </c>
      <c r="M54">
        <f>IF( COUNTIF('Raw Data'!$A$3:$A$2927,$A54)=0,0,SUMIF('Raw Data'!$A$3:$A$2927, $A54,'Raw Data'!J$3:J$2927) / COUNTIF('Raw Data'!$A$3:$A$2927,$A54))</f>
        <v>0</v>
      </c>
      <c r="N54">
        <f>IF( COUNTIF('Raw Data'!$A$3:$A$2927,$A54)=0,0,SUMIF('Raw Data'!$A$3:$A$2927, $A54,'Raw Data'!K$3:K$2927) / COUNTIF('Raw Data'!$A$3:$A$2927,$A54))</f>
        <v>0</v>
      </c>
      <c r="O54">
        <f>IF( COUNTIF('Raw Data'!$A$3:$A$2927,$A54)=0,0,SUMIF('Raw Data'!$A$3:$A$2927, $A54,'Raw Data'!L$3:L$2927) / COUNTIF('Raw Data'!$A$3:$A$2927,$A54))</f>
        <v>0</v>
      </c>
      <c r="P54" s="58">
        <f>IF( COUNTIF('Raw Data'!$A$3:$A$2927,$A54)=0,0,SUMIF('Raw Data'!$A$3:$A$2927, $A54,'Raw Data'!M$3:M$2927) / COUNTIF('Raw Data'!$A$3:$A$2927,$A54))</f>
        <v>0</v>
      </c>
      <c r="Q54">
        <f t="array" ref="Q54">MAX(IF('Raw Data'!$A$3:$A$927=$A54, 'Raw Data'!$Z$3:$Z$927))</f>
        <v>0</v>
      </c>
      <c r="R54">
        <f t="array" ref="R54">MAX(IF('Raw Data'!$A$3:$A$927=$A54, 'Raw Data'!$T$3:$T$927))</f>
        <v>0</v>
      </c>
      <c r="S54" s="118">
        <f>IF( COUNTIF('Raw Data'!$A$3:$A$2927,$A54)=0,0,SUMIF('Raw Data'!$A$3:$A$2927, $A54,'Raw Data'!P$3:P$2927) / COUNTIF('Raw Data'!$A$3:$A$2927,$A54))</f>
        <v>0</v>
      </c>
      <c r="T54">
        <f>IF( COUNTIF('Raw Data'!$A$3:$A$2927,$A54)=0,0,SUMIF('Raw Data'!$A$3:$A$2927, $A54,'Raw Data'!Q$3:Q$2927) / COUNTIF('Raw Data'!$A$3:$A$2927,$A54))</f>
        <v>0</v>
      </c>
      <c r="U54">
        <f>IF( COUNTIF('Raw Data'!$A$3:$A$2927,$A54)=0,0,SUMIF('Raw Data'!$A$3:$A$2927, $A54,'Raw Data'!R$3:R$2927) / COUNTIF('Raw Data'!$A$3:$A$2927,$A54))</f>
        <v>0</v>
      </c>
      <c r="V54">
        <f>IF( COUNTIF('Raw Data'!$A$3:$A$2927,$A54)=0,0,SUMIF('Raw Data'!$A$3:$A$2927, $A54,'Raw Data'!S$3:S$2927) / COUNTIF('Raw Data'!$A$3:$A$2927,$A54))</f>
        <v>0</v>
      </c>
      <c r="W54">
        <f t="array" ref="W54">MAX(IF('Raw Data'!$A$3:$A$927=$A54, 'Raw Data'!$Y$3:$Y$927))</f>
        <v>0</v>
      </c>
      <c r="X54">
        <f>IF( COUNTIF('Raw Data'!$A$3:$A$2927,$A54)=0,0,SUMIF('Raw Data'!$A$3:$A$2927, $A54,'Raw Data'!U$3:U$2927) / COUNTIF('Raw Data'!$A$3:$A$2927,$A54))</f>
        <v>0</v>
      </c>
      <c r="Y54">
        <f>IF( COUNTIF('Raw Data'!$A$3:$A$2927,$A54)=0,0,SUMIF('Raw Data'!$A$3:$A$2927, $A54,'Raw Data'!V$3:V$2927) / COUNTIF('Raw Data'!$A$3:$A$2927,$A54))</f>
        <v>0</v>
      </c>
      <c r="Z54">
        <f>IF( COUNTIF('Raw Data'!$A$3:$A$2927,$A54)=0,0,SUMIF('Raw Data'!$A$3:$A$2927, $A54,'Raw Data'!W$3:W$2927) / COUNTIF('Raw Data'!$A$3:$A$2927,$A54))</f>
        <v>0</v>
      </c>
      <c r="AA54">
        <f>IF( COUNTIF('Raw Data'!$A$3:$A$2927,$A54)=0,0,SUMIF('Raw Data'!$A$3:$A$2927, $A54,'Raw Data'!X$3:X$2927) / COUNTIF('Raw Data'!$A$3:$A$2927,$A54))</f>
        <v>0</v>
      </c>
      <c r="AB54">
        <f>IF( COUNTIF('Raw Data'!$A$3:$A$2927,$A54)=0,0,SUMIF('Raw Data'!$A$3:$A$2927, $A54,'Raw Data'!AA$3:AA$2927) / COUNTIF('Raw Data'!$A$3:$A$2927,$A54))</f>
        <v>0</v>
      </c>
      <c r="AC54">
        <f>IF( COUNTIF('Raw Data'!$A$3:$A$2927,$A54)=0,0,SUMIF('Raw Data'!$A$3:$A$2927, $A54,'Raw Data'!AB$3:AB$2927) / COUNTIF('Raw Data'!$A$3:$A$2927,$A54))</f>
        <v>0</v>
      </c>
      <c r="AD54">
        <f>IF( COUNTIF('Raw Data'!$A$3:$A$2927,$A54)=0,0,SUMIF('Raw Data'!$A$3:$A$2927, $A54,'Raw Data'!AC$3:AC$2927) / COUNTIF('Raw Data'!$A$3:$A$2927,$A54))</f>
        <v>0</v>
      </c>
      <c r="AE54" s="117">
        <f>IF( COUNTIF('Raw Data'!$A$3:$A$2927,$A54)=0,0,SUMIF('Raw Data'!$A$3:$A$2927, $A54,'Raw Data'!AD$3:AD$2927) / COUNTIF('Raw Data'!$A$3:$A$2927,$A54))</f>
        <v>0</v>
      </c>
      <c r="AF54">
        <f>IF( COUNTIF('Raw Data'!$A$3:$A$2927,$A54)=0,0,SUMIF('Raw Data'!$A$3:$A$2927, $A54,'Raw Data'!AE$3:AE$2927) / COUNTIF('Raw Data'!$A$3:$A$2927,$A54))</f>
        <v>0</v>
      </c>
      <c r="AG54">
        <f>IF( COUNTIF('Raw Data'!$A$3:$A$2927,$A54)=0,0,SUMIF('Raw Data'!$A$3:$A$2927, $A54,'Raw Data'!AF$3:AF$2927) / COUNTIF('Raw Data'!$A$3:$A$2927,$A54))</f>
        <v>0</v>
      </c>
      <c r="AH54">
        <f>IF( COUNTIF('Raw Data'!$A$3:$A$2927,$A54)=0,0,SUMIF('Raw Data'!$A$3:$A$2927, $A54,'Raw Data'!AG$3:AG$2927) / COUNTIF('Raw Data'!$A$3:$A$2927,$A54))</f>
        <v>0</v>
      </c>
      <c r="AI54">
        <f>IF( COUNTIF('Raw Data'!$A$3:$A$2927,$A54)=0,0,SUMIF('Raw Data'!$A$3:$A$2927, $A54,'Raw Data'!AH$3:AH$2927) / COUNTIF('Raw Data'!$A$3:$A$2927,$A54))</f>
        <v>0</v>
      </c>
      <c r="AJ54" s="116">
        <f>COUNTIF('Raw Data'!A$3:A$2927, $A54)</f>
        <v>0</v>
      </c>
      <c r="AK54">
        <f>IFERROR(SUM(IF($E54 &gt;autoThreshold, auto), hatch * SUM($H54:$K54), cargo * SUM($M54:$P54),hatch * SUM( $S54:$V54), cargo * SUM($X54:$AA54), rocket23 * SUM($J54:$K54, $O54:$P54, $U54:$V54, $Z54:$AA54), IF($AD54 &gt; climbThreshold, climb), IF($AC54 &gt; assistThreshold, $AC54 * assist), $AH54 * penalty, dropHatch * $AI54, tippedBroke * SUM($AE54:$AF54),  IF( $E54 &lt; noAutoThreshold, noAuto), IF($C54 &lt; doesNothingThreshold, doesNothing, IF($AD54 &gt;1.45, 2) )), "h")</f>
        <v>-21</v>
      </c>
      <c r="AL54">
        <f>SUM(hHatch * SUM($H54:$K54), hHatch * SUM($S54:$V54), hRocket23 * SUM($J54:$K54), hRocket23 * SUM($U54:$V54), hSandstorm * SUM($H54:$K54), hPenalty * $AH54, hDropHatch * $AI54,hTippedBroke * SUM($AE54:$AF54), IF($E54 &lt; hNoAutoThreshold, hNoAuto), IF($AG54 &gt; hFloorHatchThreshold, hFloorHatch))</f>
        <v>-1.5</v>
      </c>
      <c r="AM54">
        <f>SUM(cCargo * SUM($M54:$P54), cCargo *SUM( $X54:$AA54), cRocket23 * SUM($O54:$P54, $Z54:$AA54),cSandstorm * SUM($M54:$P54), cPenalty * $AH54, cTippedBroke * SUM($AE54:$AF54), IF($E54 &lt; cNoAutoThreshold, cNoAuto, 0))</f>
        <v>-1</v>
      </c>
    </row>
    <row r="55" spans="1:39" ht="15.75" thickBot="1">
      <c r="A55">
        <v>5036</v>
      </c>
      <c r="B55" t="s">
        <v>217</v>
      </c>
      <c r="C55">
        <f>PRODUCT($E55,3)+PRODUCT(SUM($H55:$K55),2)+PRODUCT(SUM($M55:$P55),3)+PRODUCT(SUM($S55:$V55),2)+PRODUCT(SUM($X55:$AA55), 3)+IF($AC55 &gt; 2, PRODUCT(SUM($AC55, -1),6), PRODUCT($AC55,3)) + IF($AD55 &gt; 2, PRODUCT(SUM($AD55, -1),6), PRODUCT($AD55,3)) + PRODUCT($AH55, -1)</f>
        <v>15.399999999999999</v>
      </c>
      <c r="D55">
        <f>PRODUCT(SUM($H55:$I55), 2) + PRODUCT(SUM($M55:$N55),3) + PRODUCT(SUM($S55:$T55), 2) + PRODUCT(SUM($X55:$Y55), 3)</f>
        <v>11.299999999999999</v>
      </c>
      <c r="E55">
        <f>IF( COUNTIF('Raw Data'!$A$3:$A$2927,$A55)=0,0,SUMIF('Raw Data'!$A$3:$A$2927, $A55,'Raw Data'!D$3:D$2927) / COUNTIF('Raw Data'!$A$3:$A$2927,$A55))</f>
        <v>1</v>
      </c>
      <c r="F55">
        <f t="array" ref="F55">MAX(IF('Raw Data'!$A$3:$A$927=$A55, 'Raw Data'!$O$3:$O$927))</f>
        <v>1</v>
      </c>
      <c r="G55">
        <f t="array" ref="G55">MAX(IF('Raw Data'!$A$3:$A$927=$A55, 'Raw Data'!$I$3:$I$927))</f>
        <v>0</v>
      </c>
      <c r="H55">
        <f>IF( COUNTIF('Raw Data'!$A$3:$A$2927,$A55)=0,0,SUMIF('Raw Data'!$A$3:$A$2927, $A55,'Raw Data'!E$3:E$2927) / COUNTIF('Raw Data'!$A$3:$A$2927,$A55))</f>
        <v>0</v>
      </c>
      <c r="I55">
        <f>IF( COUNTIF('Raw Data'!$A$3:$A$2927,$A55)=0,0,SUMIF('Raw Data'!$A$3:$A$2927, $A55,'Raw Data'!F$3:F$2927) / COUNTIF('Raw Data'!$A$3:$A$2927,$A55))</f>
        <v>0</v>
      </c>
      <c r="J55">
        <f>IF( COUNTIF('Raw Data'!$A$3:$A$2927,$A55)=0,0,SUMIF('Raw Data'!$A$3:$A$2927, $A55,'Raw Data'!G$3:G$2927) / COUNTIF('Raw Data'!$A$3:$A$2927,$A55))</f>
        <v>0</v>
      </c>
      <c r="K55">
        <f>IF( COUNTIF('Raw Data'!$A$3:$A$2927,$A55)=0,0,SUMIF('Raw Data'!$A$3:$A$2927, $A55,'Raw Data'!H$3:H$2927) / COUNTIF('Raw Data'!$A$3:$A$2927,$A55))</f>
        <v>0</v>
      </c>
      <c r="L55">
        <f t="array" ref="L55">MAX(IF('Raw Data'!$A$3:$A$927=$A55, 'Raw Data'!$N$3:$N$927))</f>
        <v>1</v>
      </c>
      <c r="M55">
        <f>IF( COUNTIF('Raw Data'!$A$3:$A$2927,$A55)=0,0,SUMIF('Raw Data'!$A$3:$A$2927, $A55,'Raw Data'!J$3:J$2927) / COUNTIF('Raw Data'!$A$3:$A$2927,$A55))</f>
        <v>0.1</v>
      </c>
      <c r="N55">
        <f>IF( COUNTIF('Raw Data'!$A$3:$A$2927,$A55)=0,0,SUMIF('Raw Data'!$A$3:$A$2927, $A55,'Raw Data'!K$3:K$2927) / COUNTIF('Raw Data'!$A$3:$A$2927,$A55))</f>
        <v>0</v>
      </c>
      <c r="O55">
        <f>IF( COUNTIF('Raw Data'!$A$3:$A$2927,$A55)=0,0,SUMIF('Raw Data'!$A$3:$A$2927, $A55,'Raw Data'!L$3:L$2927) / COUNTIF('Raw Data'!$A$3:$A$2927,$A55))</f>
        <v>0</v>
      </c>
      <c r="P55" s="58">
        <f>IF( COUNTIF('Raw Data'!$A$3:$A$2927,$A55)=0,0,SUMIF('Raw Data'!$A$3:$A$2927, $A55,'Raw Data'!M$3:M$2927) / COUNTIF('Raw Data'!$A$3:$A$2927,$A55))</f>
        <v>0</v>
      </c>
      <c r="Q55">
        <f t="array" ref="Q55">MAX(IF('Raw Data'!$A$3:$A$927=$A55, 'Raw Data'!$Z$3:$Z$927))</f>
        <v>5</v>
      </c>
      <c r="R55">
        <f t="array" ref="R55">MAX(IF('Raw Data'!$A$3:$A$927=$A55, 'Raw Data'!$T$3:$T$927))</f>
        <v>2</v>
      </c>
      <c r="S55" s="118">
        <f>IF( COUNTIF('Raw Data'!$A$3:$A$2927,$A55)=0,0,SUMIF('Raw Data'!$A$3:$A$2927, $A55,'Raw Data'!P$3:P$2927) / COUNTIF('Raw Data'!$A$3:$A$2927,$A55))</f>
        <v>0.4</v>
      </c>
      <c r="T55">
        <f>IF( COUNTIF('Raw Data'!$A$3:$A$2927,$A55)=0,0,SUMIF('Raw Data'!$A$3:$A$2927, $A55,'Raw Data'!Q$3:Q$2927) / COUNTIF('Raw Data'!$A$3:$A$2927,$A55))</f>
        <v>0</v>
      </c>
      <c r="U55">
        <f>IF( COUNTIF('Raw Data'!$A$3:$A$2927,$A55)=0,0,SUMIF('Raw Data'!$A$3:$A$2927, $A55,'Raw Data'!R$3:R$2927) / COUNTIF('Raw Data'!$A$3:$A$2927,$A55))</f>
        <v>0</v>
      </c>
      <c r="V55">
        <f>IF( COUNTIF('Raw Data'!$A$3:$A$2927,$A55)=0,0,SUMIF('Raw Data'!$A$3:$A$2927, $A55,'Raw Data'!S$3:S$2927) / COUNTIF('Raw Data'!$A$3:$A$2927,$A55))</f>
        <v>0</v>
      </c>
      <c r="W55">
        <f t="array" ref="W55">MAX(IF('Raw Data'!$A$3:$A$927=$A55, 'Raw Data'!$Y$3:$Y$927))</f>
        <v>5</v>
      </c>
      <c r="X55">
        <f>IF( COUNTIF('Raw Data'!$A$3:$A$2927,$A55)=0,0,SUMIF('Raw Data'!$A$3:$A$2927, $A55,'Raw Data'!U$3:U$2927) / COUNTIF('Raw Data'!$A$3:$A$2927,$A55))</f>
        <v>3.4</v>
      </c>
      <c r="Y55">
        <f>IF( COUNTIF('Raw Data'!$A$3:$A$2927,$A55)=0,0,SUMIF('Raw Data'!$A$3:$A$2927, $A55,'Raw Data'!V$3:V$2927) / COUNTIF('Raw Data'!$A$3:$A$2927,$A55))</f>
        <v>0</v>
      </c>
      <c r="Z55">
        <f>IF( COUNTIF('Raw Data'!$A$3:$A$2927,$A55)=0,0,SUMIF('Raw Data'!$A$3:$A$2927, $A55,'Raw Data'!W$3:W$2927) / COUNTIF('Raw Data'!$A$3:$A$2927,$A55))</f>
        <v>0</v>
      </c>
      <c r="AA55">
        <f>IF( COUNTIF('Raw Data'!$A$3:$A$2927,$A55)=0,0,SUMIF('Raw Data'!$A$3:$A$2927, $A55,'Raw Data'!X$3:X$2927) / COUNTIF('Raw Data'!$A$3:$A$2927,$A55))</f>
        <v>0</v>
      </c>
      <c r="AB55">
        <f>IF( COUNTIF('Raw Data'!$A$3:$A$2927,$A55)=0,0,SUMIF('Raw Data'!$A$3:$A$2927, $A55,'Raw Data'!AA$3:AA$2927) / COUNTIF('Raw Data'!$A$3:$A$2927,$A55))</f>
        <v>11.5</v>
      </c>
      <c r="AC55">
        <f>IF( COUNTIF('Raw Data'!$A$3:$A$2927,$A55)=0,0,SUMIF('Raw Data'!$A$3:$A$2927, $A55,'Raw Data'!AB$3:AB$2927) / COUNTIF('Raw Data'!$A$3:$A$2927,$A55))</f>
        <v>0</v>
      </c>
      <c r="AD55">
        <f>IF( COUNTIF('Raw Data'!$A$3:$A$2927,$A55)=0,0,SUMIF('Raw Data'!$A$3:$A$2927, $A55,'Raw Data'!AC$3:AC$2927) / COUNTIF('Raw Data'!$A$3:$A$2927,$A55))</f>
        <v>0.8</v>
      </c>
      <c r="AE55" s="117">
        <f>IF( COUNTIF('Raw Data'!$A$3:$A$2927,$A55)=0,0,SUMIF('Raw Data'!$A$3:$A$2927, $A55,'Raw Data'!AD$3:AD$2927) / COUNTIF('Raw Data'!$A$3:$A$2927,$A55))</f>
        <v>0</v>
      </c>
      <c r="AF55">
        <f>IF( COUNTIF('Raw Data'!$A$3:$A$2927,$A55)=0,0,SUMIF('Raw Data'!$A$3:$A$2927, $A55,'Raw Data'!AE$3:AE$2927) / COUNTIF('Raw Data'!$A$3:$A$2927,$A55))</f>
        <v>0</v>
      </c>
      <c r="AG55">
        <f>IF( COUNTIF('Raw Data'!$A$3:$A$2927,$A55)=0,0,SUMIF('Raw Data'!$A$3:$A$2927, $A55,'Raw Data'!AF$3:AF$2927) / COUNTIF('Raw Data'!$A$3:$A$2927,$A55))</f>
        <v>0</v>
      </c>
      <c r="AH55">
        <f>IF( COUNTIF('Raw Data'!$A$3:$A$2927,$A55)=0,0,SUMIF('Raw Data'!$A$3:$A$2927, $A55,'Raw Data'!AG$3:AG$2927) / COUNTIF('Raw Data'!$A$3:$A$2927,$A55))</f>
        <v>1.3</v>
      </c>
      <c r="AI55">
        <f>IF( COUNTIF('Raw Data'!$A$3:$A$2927,$A55)=0,0,SUMIF('Raw Data'!$A$3:$A$2927, $A55,'Raw Data'!AH$3:AH$2927) / COUNTIF('Raw Data'!$A$3:$A$2927,$A55))</f>
        <v>0.3</v>
      </c>
      <c r="AJ55" s="116">
        <f>COUNTIF('Raw Data'!A$3:A$2927, $A55)</f>
        <v>10</v>
      </c>
      <c r="AK55">
        <f>IFERROR(SUM(IF($E55 &gt;autoThreshold, auto), hatch * SUM($H55:$K55), cargo * SUM($M55:$P55),hatch * SUM( $S55:$V55), cargo * SUM($X55:$AA55), rocket23 * SUM($J55:$K55, $O55:$P55, $U55:$V55, $Z55:$AA55), IF($AD55 &gt; climbThreshold, climb), IF($AC55 &gt; assistThreshold, $AC55 * assist), $AH55 * penalty, dropHatch * $AI55, tippedBroke * SUM($AE55:$AF55),  IF( $E55 &lt; noAutoThreshold, noAuto), IF($C55 &lt; doesNothingThreshold, doesNothing, IF($AD55 &gt;1.45, 2) )), "h")</f>
        <v>1.4600000000000004</v>
      </c>
      <c r="AL55">
        <f>SUM(hHatch * SUM($H55:$K55), hHatch * SUM($S55:$V55), hRocket23 * SUM($J55:$K55), hRocket23 * SUM($U55:$V55), hSandstorm * SUM($H55:$K55), hPenalty * $AH55, hDropHatch * $AI55,hTippedBroke * SUM($AE55:$AF55), IF($E55 &lt; hNoAutoThreshold, hNoAuto), IF($AG55 &gt; hFloorHatchThreshold, hFloorHatch))</f>
        <v>-0.85</v>
      </c>
      <c r="AM55">
        <f>SUM(cCargo * SUM($M55:$P55), cCargo *SUM( $X55:$AA55), cRocket23 * SUM($O55:$P55, $Z55:$AA55),cSandstorm * SUM($M55:$P55), cPenalty * $AH55, cTippedBroke * SUM($AE55:$AF55), IF($E55 &lt; cNoAutoThreshold, cNoAuto, 0))</f>
        <v>3.0960000000000001</v>
      </c>
    </row>
    <row r="56" spans="1:39" ht="15.75" thickBot="1">
      <c r="A56">
        <v>5039</v>
      </c>
      <c r="B56" t="s">
        <v>427</v>
      </c>
      <c r="C56">
        <f>PRODUCT($E56,3)+PRODUCT(SUM($H56:$K56),2)+PRODUCT(SUM($M56:$P56),3)+PRODUCT(SUM($S56:$V56),2)+PRODUCT(SUM($X56:$AA56), 3)+IF($AC56 &gt; 2, PRODUCT(SUM($AC56, -1),6), PRODUCT($AC56,3)) + IF($AD56 &gt; 2, PRODUCT(SUM($AD56, -1),6), PRODUCT($AD56,3)) + PRODUCT($AH56, -1)</f>
        <v>0</v>
      </c>
      <c r="D56">
        <f>PRODUCT(SUM($H56:$I56), 2) + PRODUCT(SUM($M56:$N56),3) + PRODUCT(SUM($S56:$T56), 2) + PRODUCT(SUM($X56:$Y56), 3)</f>
        <v>0</v>
      </c>
      <c r="E56">
        <f>IF( COUNTIF('Raw Data'!$A$3:$A$2927,$A56)=0,0,SUMIF('Raw Data'!$A$3:$A$2927, $A56,'Raw Data'!D$3:D$2927) / COUNTIF('Raw Data'!$A$3:$A$2927,$A56))</f>
        <v>0</v>
      </c>
      <c r="F56">
        <f t="array" ref="F56">MAX(IF('Raw Data'!$A$3:$A$927=$A56, 'Raw Data'!$O$3:$O$927))</f>
        <v>0</v>
      </c>
      <c r="G56">
        <f t="array" ref="G56">MAX(IF('Raw Data'!$A$3:$A$927=$A56, 'Raw Data'!$I$3:$I$927))</f>
        <v>0</v>
      </c>
      <c r="H56">
        <f>IF( COUNTIF('Raw Data'!$A$3:$A$2927,$A56)=0,0,SUMIF('Raw Data'!$A$3:$A$2927, $A56,'Raw Data'!E$3:E$2927) / COUNTIF('Raw Data'!$A$3:$A$2927,$A56))</f>
        <v>0</v>
      </c>
      <c r="I56">
        <f>IF( COUNTIF('Raw Data'!$A$3:$A$2927,$A56)=0,0,SUMIF('Raw Data'!$A$3:$A$2927, $A56,'Raw Data'!F$3:F$2927) / COUNTIF('Raw Data'!$A$3:$A$2927,$A56))</f>
        <v>0</v>
      </c>
      <c r="J56">
        <f>IF( COUNTIF('Raw Data'!$A$3:$A$2927,$A56)=0,0,SUMIF('Raw Data'!$A$3:$A$2927, $A56,'Raw Data'!G$3:G$2927) / COUNTIF('Raw Data'!$A$3:$A$2927,$A56))</f>
        <v>0</v>
      </c>
      <c r="K56">
        <f>IF( COUNTIF('Raw Data'!$A$3:$A$2927,$A56)=0,0,SUMIF('Raw Data'!$A$3:$A$2927, $A56,'Raw Data'!H$3:H$2927) / COUNTIF('Raw Data'!$A$3:$A$2927,$A56))</f>
        <v>0</v>
      </c>
      <c r="L56">
        <f t="array" ref="L56">MAX(IF('Raw Data'!$A$3:$A$927=$A56, 'Raw Data'!$N$3:$N$927))</f>
        <v>0</v>
      </c>
      <c r="M56">
        <f>IF( COUNTIF('Raw Data'!$A$3:$A$2927,$A56)=0,0,SUMIF('Raw Data'!$A$3:$A$2927, $A56,'Raw Data'!J$3:J$2927) / COUNTIF('Raw Data'!$A$3:$A$2927,$A56))</f>
        <v>0</v>
      </c>
      <c r="N56">
        <f>IF( COUNTIF('Raw Data'!$A$3:$A$2927,$A56)=0,0,SUMIF('Raw Data'!$A$3:$A$2927, $A56,'Raw Data'!K$3:K$2927) / COUNTIF('Raw Data'!$A$3:$A$2927,$A56))</f>
        <v>0</v>
      </c>
      <c r="O56">
        <f>IF( COUNTIF('Raw Data'!$A$3:$A$2927,$A56)=0,0,SUMIF('Raw Data'!$A$3:$A$2927, $A56,'Raw Data'!L$3:L$2927) / COUNTIF('Raw Data'!$A$3:$A$2927,$A56))</f>
        <v>0</v>
      </c>
      <c r="P56" s="58">
        <f>IF( COUNTIF('Raw Data'!$A$3:$A$2927,$A56)=0,0,SUMIF('Raw Data'!$A$3:$A$2927, $A56,'Raw Data'!M$3:M$2927) / COUNTIF('Raw Data'!$A$3:$A$2927,$A56))</f>
        <v>0</v>
      </c>
      <c r="Q56">
        <f t="array" ref="Q56">MAX(IF('Raw Data'!$A$3:$A$927=$A56, 'Raw Data'!$Z$3:$Z$927))</f>
        <v>0</v>
      </c>
      <c r="R56">
        <f t="array" ref="R56">MAX(IF('Raw Data'!$A$3:$A$927=$A56, 'Raw Data'!$T$3:$T$927))</f>
        <v>0</v>
      </c>
      <c r="S56" s="118">
        <f>IF( COUNTIF('Raw Data'!$A$3:$A$2927,$A56)=0,0,SUMIF('Raw Data'!$A$3:$A$2927, $A56,'Raw Data'!P$3:P$2927) / COUNTIF('Raw Data'!$A$3:$A$2927,$A56))</f>
        <v>0</v>
      </c>
      <c r="T56">
        <f>IF( COUNTIF('Raw Data'!$A$3:$A$2927,$A56)=0,0,SUMIF('Raw Data'!$A$3:$A$2927, $A56,'Raw Data'!Q$3:Q$2927) / COUNTIF('Raw Data'!$A$3:$A$2927,$A56))</f>
        <v>0</v>
      </c>
      <c r="U56">
        <f>IF( COUNTIF('Raw Data'!$A$3:$A$2927,$A56)=0,0,SUMIF('Raw Data'!$A$3:$A$2927, $A56,'Raw Data'!R$3:R$2927) / COUNTIF('Raw Data'!$A$3:$A$2927,$A56))</f>
        <v>0</v>
      </c>
      <c r="V56">
        <f>IF( COUNTIF('Raw Data'!$A$3:$A$2927,$A56)=0,0,SUMIF('Raw Data'!$A$3:$A$2927, $A56,'Raw Data'!S$3:S$2927) / COUNTIF('Raw Data'!$A$3:$A$2927,$A56))</f>
        <v>0</v>
      </c>
      <c r="W56">
        <f t="array" ref="W56">MAX(IF('Raw Data'!$A$3:$A$927=$A56, 'Raw Data'!$Y$3:$Y$927))</f>
        <v>0</v>
      </c>
      <c r="X56">
        <f>IF( COUNTIF('Raw Data'!$A$3:$A$2927,$A56)=0,0,SUMIF('Raw Data'!$A$3:$A$2927, $A56,'Raw Data'!U$3:U$2927) / COUNTIF('Raw Data'!$A$3:$A$2927,$A56))</f>
        <v>0</v>
      </c>
      <c r="Y56">
        <f>IF( COUNTIF('Raw Data'!$A$3:$A$2927,$A56)=0,0,SUMIF('Raw Data'!$A$3:$A$2927, $A56,'Raw Data'!V$3:V$2927) / COUNTIF('Raw Data'!$A$3:$A$2927,$A56))</f>
        <v>0</v>
      </c>
      <c r="Z56">
        <f>IF( COUNTIF('Raw Data'!$A$3:$A$2927,$A56)=0,0,SUMIF('Raw Data'!$A$3:$A$2927, $A56,'Raw Data'!W$3:W$2927) / COUNTIF('Raw Data'!$A$3:$A$2927,$A56))</f>
        <v>0</v>
      </c>
      <c r="AA56">
        <f>IF( COUNTIF('Raw Data'!$A$3:$A$2927,$A56)=0,0,SUMIF('Raw Data'!$A$3:$A$2927, $A56,'Raw Data'!X$3:X$2927) / COUNTIF('Raw Data'!$A$3:$A$2927,$A56))</f>
        <v>0</v>
      </c>
      <c r="AB56">
        <f>IF( COUNTIF('Raw Data'!$A$3:$A$2927,$A56)=0,0,SUMIF('Raw Data'!$A$3:$A$2927, $A56,'Raw Data'!AA$3:AA$2927) / COUNTIF('Raw Data'!$A$3:$A$2927,$A56))</f>
        <v>0</v>
      </c>
      <c r="AC56">
        <f>IF( COUNTIF('Raw Data'!$A$3:$A$2927,$A56)=0,0,SUMIF('Raw Data'!$A$3:$A$2927, $A56,'Raw Data'!AB$3:AB$2927) / COUNTIF('Raw Data'!$A$3:$A$2927,$A56))</f>
        <v>0</v>
      </c>
      <c r="AD56">
        <f>IF( COUNTIF('Raw Data'!$A$3:$A$2927,$A56)=0,0,SUMIF('Raw Data'!$A$3:$A$2927, $A56,'Raw Data'!AC$3:AC$2927) / COUNTIF('Raw Data'!$A$3:$A$2927,$A56))</f>
        <v>0</v>
      </c>
      <c r="AE56" s="117">
        <f>IF( COUNTIF('Raw Data'!$A$3:$A$2927,$A56)=0,0,SUMIF('Raw Data'!$A$3:$A$2927, $A56,'Raw Data'!AD$3:AD$2927) / COUNTIF('Raw Data'!$A$3:$A$2927,$A56))</f>
        <v>0</v>
      </c>
      <c r="AF56">
        <f>IF( COUNTIF('Raw Data'!$A$3:$A$2927,$A56)=0,0,SUMIF('Raw Data'!$A$3:$A$2927, $A56,'Raw Data'!AE$3:AE$2927) / COUNTIF('Raw Data'!$A$3:$A$2927,$A56))</f>
        <v>0</v>
      </c>
      <c r="AG56">
        <f>IF( COUNTIF('Raw Data'!$A$3:$A$2927,$A56)=0,0,SUMIF('Raw Data'!$A$3:$A$2927, $A56,'Raw Data'!AF$3:AF$2927) / COUNTIF('Raw Data'!$A$3:$A$2927,$A56))</f>
        <v>0</v>
      </c>
      <c r="AH56">
        <f>IF( COUNTIF('Raw Data'!$A$3:$A$2927,$A56)=0,0,SUMIF('Raw Data'!$A$3:$A$2927, $A56,'Raw Data'!AG$3:AG$2927) / COUNTIF('Raw Data'!$A$3:$A$2927,$A56))</f>
        <v>0</v>
      </c>
      <c r="AI56">
        <f>IF( COUNTIF('Raw Data'!$A$3:$A$2927,$A56)=0,0,SUMIF('Raw Data'!$A$3:$A$2927, $A56,'Raw Data'!AH$3:AH$2927) / COUNTIF('Raw Data'!$A$3:$A$2927,$A56))</f>
        <v>0</v>
      </c>
      <c r="AJ56" s="116">
        <f>COUNTIF('Raw Data'!A$3:A$2927, $A56)</f>
        <v>0</v>
      </c>
      <c r="AK56">
        <f>IFERROR(SUM(IF($E56 &gt;autoThreshold, auto), hatch * SUM($H56:$K56), cargo * SUM($M56:$P56),hatch * SUM( $S56:$V56), cargo * SUM($X56:$AA56), rocket23 * SUM($J56:$K56, $O56:$P56, $U56:$V56, $Z56:$AA56), IF($AD56 &gt; climbThreshold, climb), IF($AC56 &gt; assistThreshold, $AC56 * assist), $AH56 * penalty, dropHatch * $AI56, tippedBroke * SUM($AE56:$AF56),  IF( $E56 &lt; noAutoThreshold, noAuto), IF($C56 &lt; doesNothingThreshold, doesNothing, IF($AD56 &gt;1.45, 2) )), "h")</f>
        <v>-21</v>
      </c>
      <c r="AL56">
        <f>SUM(hHatch * SUM($H56:$K56), hHatch * SUM($S56:$V56), hRocket23 * SUM($J56:$K56), hRocket23 * SUM($U56:$V56), hSandstorm * SUM($H56:$K56), hPenalty * $AH56, hDropHatch * $AI56,hTippedBroke * SUM($AE56:$AF56), IF($E56 &lt; hNoAutoThreshold, hNoAuto), IF($AG56 &gt; hFloorHatchThreshold, hFloorHatch))</f>
        <v>-1.5</v>
      </c>
      <c r="AM56">
        <f>SUM(cCargo * SUM($M56:$P56), cCargo *SUM( $X56:$AA56), cRocket23 * SUM($O56:$P56, $Z56:$AA56),cSandstorm * SUM($M56:$P56), cPenalty * $AH56, cTippedBroke * SUM($AE56:$AF56), IF($E56 &lt; cNoAutoThreshold, cNoAuto, 0))</f>
        <v>-1</v>
      </c>
    </row>
    <row r="57" spans="1:39" ht="15.75" thickBot="1">
      <c r="A57">
        <v>5076</v>
      </c>
      <c r="B57" t="s">
        <v>428</v>
      </c>
      <c r="C57">
        <f>PRODUCT($E57,3)+PRODUCT(SUM($H57:$K57),2)+PRODUCT(SUM($M57:$P57),3)+PRODUCT(SUM($S57:$V57),2)+PRODUCT(SUM($X57:$AA57), 3)+IF($AC57 &gt; 2, PRODUCT(SUM($AC57, -1),6), PRODUCT($AC57,3)) + IF($AD57 &gt; 2, PRODUCT(SUM($AD57, -1),6), PRODUCT($AD57,3)) + PRODUCT($AH57, -1)</f>
        <v>0</v>
      </c>
      <c r="D57">
        <f>PRODUCT(SUM($H57:$I57), 2) + PRODUCT(SUM($M57:$N57),3) + PRODUCT(SUM($S57:$T57), 2) + PRODUCT(SUM($X57:$Y57), 3)</f>
        <v>0</v>
      </c>
      <c r="E57">
        <f>IF( COUNTIF('Raw Data'!$A$3:$A$2927,$A57)=0,0,SUMIF('Raw Data'!$A$3:$A$2927, $A57,'Raw Data'!D$3:D$2927) / COUNTIF('Raw Data'!$A$3:$A$2927,$A57))</f>
        <v>0</v>
      </c>
      <c r="F57">
        <f t="array" ref="F57">MAX(IF('Raw Data'!$A$3:$A$927=$A57, 'Raw Data'!$O$3:$O$927))</f>
        <v>0</v>
      </c>
      <c r="G57">
        <f t="array" ref="G57">MAX(IF('Raw Data'!$A$3:$A$927=$A57, 'Raw Data'!$I$3:$I$927))</f>
        <v>0</v>
      </c>
      <c r="H57">
        <f>IF( COUNTIF('Raw Data'!$A$3:$A$2927,$A57)=0,0,SUMIF('Raw Data'!$A$3:$A$2927, $A57,'Raw Data'!E$3:E$2927) / COUNTIF('Raw Data'!$A$3:$A$2927,$A57))</f>
        <v>0</v>
      </c>
      <c r="I57">
        <f>IF( COUNTIF('Raw Data'!$A$3:$A$2927,$A57)=0,0,SUMIF('Raw Data'!$A$3:$A$2927, $A57,'Raw Data'!F$3:F$2927) / COUNTIF('Raw Data'!$A$3:$A$2927,$A57))</f>
        <v>0</v>
      </c>
      <c r="J57">
        <f>IF( COUNTIF('Raw Data'!$A$3:$A$2927,$A57)=0,0,SUMIF('Raw Data'!$A$3:$A$2927, $A57,'Raw Data'!G$3:G$2927) / COUNTIF('Raw Data'!$A$3:$A$2927,$A57))</f>
        <v>0</v>
      </c>
      <c r="K57">
        <f>IF( COUNTIF('Raw Data'!$A$3:$A$2927,$A57)=0,0,SUMIF('Raw Data'!$A$3:$A$2927, $A57,'Raw Data'!H$3:H$2927) / COUNTIF('Raw Data'!$A$3:$A$2927,$A57))</f>
        <v>0</v>
      </c>
      <c r="L57">
        <f t="array" ref="L57">MAX(IF('Raw Data'!$A$3:$A$927=$A57, 'Raw Data'!$N$3:$N$927))</f>
        <v>0</v>
      </c>
      <c r="M57">
        <f>IF( COUNTIF('Raw Data'!$A$3:$A$2927,$A57)=0,0,SUMIF('Raw Data'!$A$3:$A$2927, $A57,'Raw Data'!J$3:J$2927) / COUNTIF('Raw Data'!$A$3:$A$2927,$A57))</f>
        <v>0</v>
      </c>
      <c r="N57">
        <f>IF( COUNTIF('Raw Data'!$A$3:$A$2927,$A57)=0,0,SUMIF('Raw Data'!$A$3:$A$2927, $A57,'Raw Data'!K$3:K$2927) / COUNTIF('Raw Data'!$A$3:$A$2927,$A57))</f>
        <v>0</v>
      </c>
      <c r="O57">
        <f>IF( COUNTIF('Raw Data'!$A$3:$A$2927,$A57)=0,0,SUMIF('Raw Data'!$A$3:$A$2927, $A57,'Raw Data'!L$3:L$2927) / COUNTIF('Raw Data'!$A$3:$A$2927,$A57))</f>
        <v>0</v>
      </c>
      <c r="P57" s="58">
        <f>IF( COUNTIF('Raw Data'!$A$3:$A$2927,$A57)=0,0,SUMIF('Raw Data'!$A$3:$A$2927, $A57,'Raw Data'!M$3:M$2927) / COUNTIF('Raw Data'!$A$3:$A$2927,$A57))</f>
        <v>0</v>
      </c>
      <c r="Q57">
        <f t="array" ref="Q57">MAX(IF('Raw Data'!$A$3:$A$927=$A57, 'Raw Data'!$Z$3:$Z$927))</f>
        <v>0</v>
      </c>
      <c r="R57">
        <f t="array" ref="R57">MAX(IF('Raw Data'!$A$3:$A$927=$A57, 'Raw Data'!$T$3:$T$927))</f>
        <v>0</v>
      </c>
      <c r="S57" s="118">
        <f>IF( COUNTIF('Raw Data'!$A$3:$A$2927,$A57)=0,0,SUMIF('Raw Data'!$A$3:$A$2927, $A57,'Raw Data'!P$3:P$2927) / COUNTIF('Raw Data'!$A$3:$A$2927,$A57))</f>
        <v>0</v>
      </c>
      <c r="T57">
        <f>IF( COUNTIF('Raw Data'!$A$3:$A$2927,$A57)=0,0,SUMIF('Raw Data'!$A$3:$A$2927, $A57,'Raw Data'!Q$3:Q$2927) / COUNTIF('Raw Data'!$A$3:$A$2927,$A57))</f>
        <v>0</v>
      </c>
      <c r="U57">
        <f>IF( COUNTIF('Raw Data'!$A$3:$A$2927,$A57)=0,0,SUMIF('Raw Data'!$A$3:$A$2927, $A57,'Raw Data'!R$3:R$2927) / COUNTIF('Raw Data'!$A$3:$A$2927,$A57))</f>
        <v>0</v>
      </c>
      <c r="V57">
        <f>IF( COUNTIF('Raw Data'!$A$3:$A$2927,$A57)=0,0,SUMIF('Raw Data'!$A$3:$A$2927, $A57,'Raw Data'!S$3:S$2927) / COUNTIF('Raw Data'!$A$3:$A$2927,$A57))</f>
        <v>0</v>
      </c>
      <c r="W57">
        <f t="array" ref="W57">MAX(IF('Raw Data'!$A$3:$A$927=$A57, 'Raw Data'!$Y$3:$Y$927))</f>
        <v>0</v>
      </c>
      <c r="X57">
        <f>IF( COUNTIF('Raw Data'!$A$3:$A$2927,$A57)=0,0,SUMIF('Raw Data'!$A$3:$A$2927, $A57,'Raw Data'!U$3:U$2927) / COUNTIF('Raw Data'!$A$3:$A$2927,$A57))</f>
        <v>0</v>
      </c>
      <c r="Y57">
        <f>IF( COUNTIF('Raw Data'!$A$3:$A$2927,$A57)=0,0,SUMIF('Raw Data'!$A$3:$A$2927, $A57,'Raw Data'!V$3:V$2927) / COUNTIF('Raw Data'!$A$3:$A$2927,$A57))</f>
        <v>0</v>
      </c>
      <c r="Z57">
        <f>IF( COUNTIF('Raw Data'!$A$3:$A$2927,$A57)=0,0,SUMIF('Raw Data'!$A$3:$A$2927, $A57,'Raw Data'!W$3:W$2927) / COUNTIF('Raw Data'!$A$3:$A$2927,$A57))</f>
        <v>0</v>
      </c>
      <c r="AA57">
        <f>IF( COUNTIF('Raw Data'!$A$3:$A$2927,$A57)=0,0,SUMIF('Raw Data'!$A$3:$A$2927, $A57,'Raw Data'!X$3:X$2927) / COUNTIF('Raw Data'!$A$3:$A$2927,$A57))</f>
        <v>0</v>
      </c>
      <c r="AB57">
        <f>IF( COUNTIF('Raw Data'!$A$3:$A$2927,$A57)=0,0,SUMIF('Raw Data'!$A$3:$A$2927, $A57,'Raw Data'!AA$3:AA$2927) / COUNTIF('Raw Data'!$A$3:$A$2927,$A57))</f>
        <v>0</v>
      </c>
      <c r="AC57">
        <f>IF( COUNTIF('Raw Data'!$A$3:$A$2927,$A57)=0,0,SUMIF('Raw Data'!$A$3:$A$2927, $A57,'Raw Data'!AB$3:AB$2927) / COUNTIF('Raw Data'!$A$3:$A$2927,$A57))</f>
        <v>0</v>
      </c>
      <c r="AD57">
        <f>IF( COUNTIF('Raw Data'!$A$3:$A$2927,$A57)=0,0,SUMIF('Raw Data'!$A$3:$A$2927, $A57,'Raw Data'!AC$3:AC$2927) / COUNTIF('Raw Data'!$A$3:$A$2927,$A57))</f>
        <v>0</v>
      </c>
      <c r="AE57" s="117">
        <f>IF( COUNTIF('Raw Data'!$A$3:$A$2927,$A57)=0,0,SUMIF('Raw Data'!$A$3:$A$2927, $A57,'Raw Data'!AD$3:AD$2927) / COUNTIF('Raw Data'!$A$3:$A$2927,$A57))</f>
        <v>0</v>
      </c>
      <c r="AF57">
        <f>IF( COUNTIF('Raw Data'!$A$3:$A$2927,$A57)=0,0,SUMIF('Raw Data'!$A$3:$A$2927, $A57,'Raw Data'!AE$3:AE$2927) / COUNTIF('Raw Data'!$A$3:$A$2927,$A57))</f>
        <v>0</v>
      </c>
      <c r="AG57">
        <f>IF( COUNTIF('Raw Data'!$A$3:$A$2927,$A57)=0,0,SUMIF('Raw Data'!$A$3:$A$2927, $A57,'Raw Data'!AF$3:AF$2927) / COUNTIF('Raw Data'!$A$3:$A$2927,$A57))</f>
        <v>0</v>
      </c>
      <c r="AH57">
        <f>IF( COUNTIF('Raw Data'!$A$3:$A$2927,$A57)=0,0,SUMIF('Raw Data'!$A$3:$A$2927, $A57,'Raw Data'!AG$3:AG$2927) / COUNTIF('Raw Data'!$A$3:$A$2927,$A57))</f>
        <v>0</v>
      </c>
      <c r="AI57">
        <f>IF( COUNTIF('Raw Data'!$A$3:$A$2927,$A57)=0,0,SUMIF('Raw Data'!$A$3:$A$2927, $A57,'Raw Data'!AH$3:AH$2927) / COUNTIF('Raw Data'!$A$3:$A$2927,$A57))</f>
        <v>0</v>
      </c>
      <c r="AJ57" s="116">
        <f>COUNTIF('Raw Data'!A$3:A$2927, $A57)</f>
        <v>0</v>
      </c>
      <c r="AK57">
        <f>IFERROR(SUM(IF($E57 &gt;autoThreshold, auto), hatch * SUM($H57:$K57), cargo * SUM($M57:$P57),hatch * SUM( $S57:$V57), cargo * SUM($X57:$AA57), rocket23 * SUM($J57:$K57, $O57:$P57, $U57:$V57, $Z57:$AA57), IF($AD57 &gt; climbThreshold, climb), IF($AC57 &gt; assistThreshold, $AC57 * assist), $AH57 * penalty, dropHatch * $AI57, tippedBroke * SUM($AE57:$AF57),  IF( $E57 &lt; noAutoThreshold, noAuto), IF($C57 &lt; doesNothingThreshold, doesNothing, IF($AD57 &gt;1.45, 2) )), "h")</f>
        <v>-21</v>
      </c>
      <c r="AL57">
        <f>SUM(hHatch * SUM($H57:$K57), hHatch * SUM($S57:$V57), hRocket23 * SUM($J57:$K57), hRocket23 * SUM($U57:$V57), hSandstorm * SUM($H57:$K57), hPenalty * $AH57, hDropHatch * $AI57,hTippedBroke * SUM($AE57:$AF57), IF($E57 &lt; hNoAutoThreshold, hNoAuto), IF($AG57 &gt; hFloorHatchThreshold, hFloorHatch))</f>
        <v>-1.5</v>
      </c>
      <c r="AM57">
        <f>SUM(cCargo * SUM($M57:$P57), cCargo *SUM( $X57:$AA57), cRocket23 * SUM($O57:$P57, $Z57:$AA57),cSandstorm * SUM($M57:$P57), cPenalty * $AH57, cTippedBroke * SUM($AE57:$AF57), IF($E57 &lt; cNoAutoThreshold, cNoAuto, 0))</f>
        <v>-1</v>
      </c>
    </row>
    <row r="58" spans="1:39" ht="15.75" thickBot="1">
      <c r="A58">
        <v>5288</v>
      </c>
      <c r="B58" t="s">
        <v>486</v>
      </c>
      <c r="C58">
        <f>PRODUCT($E58,3)+PRODUCT(SUM($H58:$K58),2)+PRODUCT(SUM($M58:$P58),3)+PRODUCT(SUM($S58:$V58),2)+PRODUCT(SUM($X58:$AA58), 3)+IF($AC58 &gt; 2, PRODUCT(SUM($AC58, -1),6), PRODUCT($AC58,3)) + IF($AD58 &gt; 2, PRODUCT(SUM($AD58, -1),6), PRODUCT($AD58,3)) + PRODUCT($AH58, -1)</f>
        <v>0</v>
      </c>
      <c r="D58">
        <f>PRODUCT(SUM($H58:$I58), 2) + PRODUCT(SUM($M58:$N58),3) + PRODUCT(SUM($S58:$T58), 2) + PRODUCT(SUM($X58:$Y58), 3)</f>
        <v>0</v>
      </c>
      <c r="E58">
        <f>IF( COUNTIF('Raw Data'!$A$3:$A$2927,$A58)=0,0,SUMIF('Raw Data'!$A$3:$A$2927, $A58,'Raw Data'!D$3:D$2927) / COUNTIF('Raw Data'!$A$3:$A$2927,$A58))</f>
        <v>0</v>
      </c>
      <c r="F58">
        <f t="array" ref="F58">MAX(IF('Raw Data'!$A$3:$A$927=$A58, 'Raw Data'!$O$3:$O$927))</f>
        <v>0</v>
      </c>
      <c r="G58">
        <f t="array" ref="G58">MAX(IF('Raw Data'!$A$3:$A$927=$A58, 'Raw Data'!$I$3:$I$927))</f>
        <v>0</v>
      </c>
      <c r="H58">
        <f>IF( COUNTIF('Raw Data'!$A$3:$A$2927,$A58)=0,0,SUMIF('Raw Data'!$A$3:$A$2927, $A58,'Raw Data'!E$3:E$2927) / COUNTIF('Raw Data'!$A$3:$A$2927,$A58))</f>
        <v>0</v>
      </c>
      <c r="I58">
        <f>IF( COUNTIF('Raw Data'!$A$3:$A$2927,$A58)=0,0,SUMIF('Raw Data'!$A$3:$A$2927, $A58,'Raw Data'!F$3:F$2927) / COUNTIF('Raw Data'!$A$3:$A$2927,$A58))</f>
        <v>0</v>
      </c>
      <c r="J58">
        <f>IF( COUNTIF('Raw Data'!$A$3:$A$2927,$A58)=0,0,SUMIF('Raw Data'!$A$3:$A$2927, $A58,'Raw Data'!G$3:G$2927) / COUNTIF('Raw Data'!$A$3:$A$2927,$A58))</f>
        <v>0</v>
      </c>
      <c r="K58">
        <f>IF( COUNTIF('Raw Data'!$A$3:$A$2927,$A58)=0,0,SUMIF('Raw Data'!$A$3:$A$2927, $A58,'Raw Data'!H$3:H$2927) / COUNTIF('Raw Data'!$A$3:$A$2927,$A58))</f>
        <v>0</v>
      </c>
      <c r="L58">
        <f t="array" ref="L58">MAX(IF('Raw Data'!$A$3:$A$927=$A58, 'Raw Data'!$N$3:$N$927))</f>
        <v>0</v>
      </c>
      <c r="M58">
        <f>IF( COUNTIF('Raw Data'!$A$3:$A$2927,$A58)=0,0,SUMIF('Raw Data'!$A$3:$A$2927, $A58,'Raw Data'!J$3:J$2927) / COUNTIF('Raw Data'!$A$3:$A$2927,$A58))</f>
        <v>0</v>
      </c>
      <c r="N58">
        <f>IF( COUNTIF('Raw Data'!$A$3:$A$2927,$A58)=0,0,SUMIF('Raw Data'!$A$3:$A$2927, $A58,'Raw Data'!K$3:K$2927) / COUNTIF('Raw Data'!$A$3:$A$2927,$A58))</f>
        <v>0</v>
      </c>
      <c r="O58">
        <f>IF( COUNTIF('Raw Data'!$A$3:$A$2927,$A58)=0,0,SUMIF('Raw Data'!$A$3:$A$2927, $A58,'Raw Data'!L$3:L$2927) / COUNTIF('Raw Data'!$A$3:$A$2927,$A58))</f>
        <v>0</v>
      </c>
      <c r="P58" s="58">
        <f>IF( COUNTIF('Raw Data'!$A$3:$A$2927,$A58)=0,0,SUMIF('Raw Data'!$A$3:$A$2927, $A58,'Raw Data'!M$3:M$2927) / COUNTIF('Raw Data'!$A$3:$A$2927,$A58))</f>
        <v>0</v>
      </c>
      <c r="Q58">
        <f t="array" ref="Q58">MAX(IF('Raw Data'!$A$3:$A$927=$A58, 'Raw Data'!$Z$3:$Z$927))</f>
        <v>0</v>
      </c>
      <c r="R58">
        <f t="array" ref="R58">MAX(IF('Raw Data'!$A$3:$A$927=$A58, 'Raw Data'!$T$3:$T$927))</f>
        <v>0</v>
      </c>
      <c r="S58" s="118">
        <f>IF( COUNTIF('Raw Data'!$A$3:$A$2927,$A58)=0,0,SUMIF('Raw Data'!$A$3:$A$2927, $A58,'Raw Data'!P$3:P$2927) / COUNTIF('Raw Data'!$A$3:$A$2927,$A58))</f>
        <v>0</v>
      </c>
      <c r="T58">
        <f>IF( COUNTIF('Raw Data'!$A$3:$A$2927,$A58)=0,0,SUMIF('Raw Data'!$A$3:$A$2927, $A58,'Raw Data'!Q$3:Q$2927) / COUNTIF('Raw Data'!$A$3:$A$2927,$A58))</f>
        <v>0</v>
      </c>
      <c r="U58">
        <f>IF( COUNTIF('Raw Data'!$A$3:$A$2927,$A58)=0,0,SUMIF('Raw Data'!$A$3:$A$2927, $A58,'Raw Data'!R$3:R$2927) / COUNTIF('Raw Data'!$A$3:$A$2927,$A58))</f>
        <v>0</v>
      </c>
      <c r="V58">
        <f>IF( COUNTIF('Raw Data'!$A$3:$A$2927,$A58)=0,0,SUMIF('Raw Data'!$A$3:$A$2927, $A58,'Raw Data'!S$3:S$2927) / COUNTIF('Raw Data'!$A$3:$A$2927,$A58))</f>
        <v>0</v>
      </c>
      <c r="W58">
        <f t="array" ref="W58">MAX(IF('Raw Data'!$A$3:$A$927=$A58, 'Raw Data'!$Y$3:$Y$927))</f>
        <v>0</v>
      </c>
      <c r="X58">
        <f>IF( COUNTIF('Raw Data'!$A$3:$A$2927,$A58)=0,0,SUMIF('Raw Data'!$A$3:$A$2927, $A58,'Raw Data'!U$3:U$2927) / COUNTIF('Raw Data'!$A$3:$A$2927,$A58))</f>
        <v>0</v>
      </c>
      <c r="Y58">
        <f>IF( COUNTIF('Raw Data'!$A$3:$A$2927,$A58)=0,0,SUMIF('Raw Data'!$A$3:$A$2927, $A58,'Raw Data'!V$3:V$2927) / COUNTIF('Raw Data'!$A$3:$A$2927,$A58))</f>
        <v>0</v>
      </c>
      <c r="Z58">
        <f>IF( COUNTIF('Raw Data'!$A$3:$A$2927,$A58)=0,0,SUMIF('Raw Data'!$A$3:$A$2927, $A58,'Raw Data'!W$3:W$2927) / COUNTIF('Raw Data'!$A$3:$A$2927,$A58))</f>
        <v>0</v>
      </c>
      <c r="AA58">
        <f>IF( COUNTIF('Raw Data'!$A$3:$A$2927,$A58)=0,0,SUMIF('Raw Data'!$A$3:$A$2927, $A58,'Raw Data'!X$3:X$2927) / COUNTIF('Raw Data'!$A$3:$A$2927,$A58))</f>
        <v>0</v>
      </c>
      <c r="AB58">
        <f>IF( COUNTIF('Raw Data'!$A$3:$A$2927,$A58)=0,0,SUMIF('Raw Data'!$A$3:$A$2927, $A58,'Raw Data'!AA$3:AA$2927) / COUNTIF('Raw Data'!$A$3:$A$2927,$A58))</f>
        <v>0</v>
      </c>
      <c r="AC58">
        <f>IF( COUNTIF('Raw Data'!$A$3:$A$2927,$A58)=0,0,SUMIF('Raw Data'!$A$3:$A$2927, $A58,'Raw Data'!AB$3:AB$2927) / COUNTIF('Raw Data'!$A$3:$A$2927,$A58))</f>
        <v>0</v>
      </c>
      <c r="AD58">
        <f>IF( COUNTIF('Raw Data'!$A$3:$A$2927,$A58)=0,0,SUMIF('Raw Data'!$A$3:$A$2927, $A58,'Raw Data'!AC$3:AC$2927) / COUNTIF('Raw Data'!$A$3:$A$2927,$A58))</f>
        <v>0</v>
      </c>
      <c r="AE58" s="117">
        <f>IF( COUNTIF('Raw Data'!$A$3:$A$2927,$A58)=0,0,SUMIF('Raw Data'!$A$3:$A$2927, $A58,'Raw Data'!AD$3:AD$2927) / COUNTIF('Raw Data'!$A$3:$A$2927,$A58))</f>
        <v>0</v>
      </c>
      <c r="AF58">
        <f>IF( COUNTIF('Raw Data'!$A$3:$A$2927,$A58)=0,0,SUMIF('Raw Data'!$A$3:$A$2927, $A58,'Raw Data'!AE$3:AE$2927) / COUNTIF('Raw Data'!$A$3:$A$2927,$A58))</f>
        <v>0</v>
      </c>
      <c r="AG58">
        <f>IF( COUNTIF('Raw Data'!$A$3:$A$2927,$A58)=0,0,SUMIF('Raw Data'!$A$3:$A$2927, $A58,'Raw Data'!AF$3:AF$2927) / COUNTIF('Raw Data'!$A$3:$A$2927,$A58))</f>
        <v>0</v>
      </c>
      <c r="AH58">
        <f>IF( COUNTIF('Raw Data'!$A$3:$A$2927,$A58)=0,0,SUMIF('Raw Data'!$A$3:$A$2927, $A58,'Raw Data'!AG$3:AG$2927) / COUNTIF('Raw Data'!$A$3:$A$2927,$A58))</f>
        <v>0</v>
      </c>
      <c r="AI58">
        <f>IF( COUNTIF('Raw Data'!$A$3:$A$2927,$A58)=0,0,SUMIF('Raw Data'!$A$3:$A$2927, $A58,'Raw Data'!AH$3:AH$2927) / COUNTIF('Raw Data'!$A$3:$A$2927,$A58))</f>
        <v>0</v>
      </c>
      <c r="AJ58" s="116">
        <f>COUNTIF('Raw Data'!A$3:A$2927, $A58)</f>
        <v>0</v>
      </c>
      <c r="AK58">
        <f>IFERROR(SUM(IF($E58 &gt;autoThreshold, auto), hatch * SUM($H58:$K58), cargo * SUM($M58:$P58),hatch * SUM( $S58:$V58), cargo * SUM($X58:$AA58), rocket23 * SUM($J58:$K58, $O58:$P58, $U58:$V58, $Z58:$AA58), IF($AD58 &gt; climbThreshold, climb), IF($AC58 &gt; assistThreshold, $AC58 * assist), $AH58 * penalty, dropHatch * $AI58, tippedBroke * SUM($AE58:$AF58),  IF( $E58 &lt; noAutoThreshold, noAuto), IF($C58 &lt; doesNothingThreshold, doesNothing, IF($AD58 &gt;1.45, 2) )), "h")</f>
        <v>-21</v>
      </c>
      <c r="AL58">
        <f>SUM(hHatch * SUM($H58:$K58), hHatch * SUM($S58:$V58), hRocket23 * SUM($J58:$K58), hRocket23 * SUM($U58:$V58), hSandstorm * SUM($H58:$K58), hPenalty * $AH58, hDropHatch * $AI58,hTippedBroke * SUM($AE58:$AF58), IF($E58 &lt; hNoAutoThreshold, hNoAuto), IF($AG58 &gt; hFloorHatchThreshold, hFloorHatch))</f>
        <v>-1.5</v>
      </c>
      <c r="AM58">
        <f>SUM(cCargo * SUM($M58:$P58), cCargo *SUM( $X58:$AA58), cRocket23 * SUM($O58:$P58, $Z58:$AA58),cSandstorm * SUM($M58:$P58), cPenalty * $AH58, cTippedBroke * SUM($AE58:$AF58), IF($E58 &lt; cNoAutoThreshold, cNoAuto, 0))</f>
        <v>-1</v>
      </c>
    </row>
    <row r="59" spans="1:39" ht="15.75" thickBot="1">
      <c r="A59">
        <v>5406</v>
      </c>
      <c r="B59" t="s">
        <v>429</v>
      </c>
      <c r="C59">
        <f>PRODUCT($E59,3)+PRODUCT(SUM($H59:$K59),2)+PRODUCT(SUM($M59:$P59),3)+PRODUCT(SUM($S59:$V59),2)+PRODUCT(SUM($X59:$AA59), 3)+IF($AC59 &gt; 2, PRODUCT(SUM($AC59, -1),6), PRODUCT($AC59,3)) + IF($AD59 &gt; 2, PRODUCT(SUM($AD59, -1),6), PRODUCT($AD59,3)) + PRODUCT($AH59, -1)</f>
        <v>34</v>
      </c>
      <c r="D59">
        <f>PRODUCT(SUM($H59:$I59), 2) + PRODUCT(SUM($M59:$N59),3) + PRODUCT(SUM($S59:$T59), 2) + PRODUCT(SUM($X59:$Y59), 3)</f>
        <v>15</v>
      </c>
      <c r="E59">
        <f>IF( COUNTIF('Raw Data'!$A$3:$A$2927,$A59)=0,0,SUMIF('Raw Data'!$A$3:$A$2927, $A59,'Raw Data'!D$3:D$2927) / COUNTIF('Raw Data'!$A$3:$A$2927,$A59))</f>
        <v>1</v>
      </c>
      <c r="F59">
        <f t="array" ref="F59">MAX(IF('Raw Data'!$A$3:$A$927=$A59, 'Raw Data'!$O$3:$O$927))</f>
        <v>1</v>
      </c>
      <c r="G59">
        <f t="array" ref="G59">MAX(IF('Raw Data'!$A$3:$A$927=$A59, 'Raw Data'!$I$3:$I$927))</f>
        <v>1</v>
      </c>
      <c r="H59">
        <f>IF( COUNTIF('Raw Data'!$A$3:$A$2927,$A59)=0,0,SUMIF('Raw Data'!$A$3:$A$2927, $A59,'Raw Data'!E$3:E$2927) / COUNTIF('Raw Data'!$A$3:$A$2927,$A59))</f>
        <v>0</v>
      </c>
      <c r="I59">
        <f>IF( COUNTIF('Raw Data'!$A$3:$A$2927,$A59)=0,0,SUMIF('Raw Data'!$A$3:$A$2927, $A59,'Raw Data'!F$3:F$2927) / COUNTIF('Raw Data'!$A$3:$A$2927,$A59))</f>
        <v>0</v>
      </c>
      <c r="J59">
        <f>IF( COUNTIF('Raw Data'!$A$3:$A$2927,$A59)=0,0,SUMIF('Raw Data'!$A$3:$A$2927, $A59,'Raw Data'!G$3:G$2927) / COUNTIF('Raw Data'!$A$3:$A$2927,$A59))</f>
        <v>1</v>
      </c>
      <c r="K59">
        <f>IF( COUNTIF('Raw Data'!$A$3:$A$2927,$A59)=0,0,SUMIF('Raw Data'!$A$3:$A$2927, $A59,'Raw Data'!H$3:H$2927) / COUNTIF('Raw Data'!$A$3:$A$2927,$A59))</f>
        <v>0</v>
      </c>
      <c r="L59">
        <f t="array" ref="L59">MAX(IF('Raw Data'!$A$3:$A$927=$A59, 'Raw Data'!$N$3:$N$927))</f>
        <v>0</v>
      </c>
      <c r="M59">
        <f>IF( COUNTIF('Raw Data'!$A$3:$A$2927,$A59)=0,0,SUMIF('Raw Data'!$A$3:$A$2927, $A59,'Raw Data'!J$3:J$2927) / COUNTIF('Raw Data'!$A$3:$A$2927,$A59))</f>
        <v>0</v>
      </c>
      <c r="N59">
        <f>IF( COUNTIF('Raw Data'!$A$3:$A$2927,$A59)=0,0,SUMIF('Raw Data'!$A$3:$A$2927, $A59,'Raw Data'!K$3:K$2927) / COUNTIF('Raw Data'!$A$3:$A$2927,$A59))</f>
        <v>0</v>
      </c>
      <c r="O59">
        <f>IF( COUNTIF('Raw Data'!$A$3:$A$2927,$A59)=0,0,SUMIF('Raw Data'!$A$3:$A$2927, $A59,'Raw Data'!L$3:L$2927) / COUNTIF('Raw Data'!$A$3:$A$2927,$A59))</f>
        <v>0</v>
      </c>
      <c r="P59" s="58">
        <f>IF( COUNTIF('Raw Data'!$A$3:$A$2927,$A59)=0,0,SUMIF('Raw Data'!$A$3:$A$2927, $A59,'Raw Data'!M$3:M$2927) / COUNTIF('Raw Data'!$A$3:$A$2927,$A59))</f>
        <v>0</v>
      </c>
      <c r="Q59">
        <f t="array" ref="Q59">MAX(IF('Raw Data'!$A$3:$A$927=$A59, 'Raw Data'!$Z$3:$Z$927))</f>
        <v>6</v>
      </c>
      <c r="R59">
        <f t="array" ref="R59">MAX(IF('Raw Data'!$A$3:$A$927=$A59, 'Raw Data'!$T$3:$T$927))</f>
        <v>1</v>
      </c>
      <c r="S59" s="118">
        <f>IF( COUNTIF('Raw Data'!$A$3:$A$2927,$A59)=0,0,SUMIF('Raw Data'!$A$3:$A$2927, $A59,'Raw Data'!P$3:P$2927) / COUNTIF('Raw Data'!$A$3:$A$2927,$A59))</f>
        <v>0</v>
      </c>
      <c r="T59">
        <f>IF( COUNTIF('Raw Data'!$A$3:$A$2927,$A59)=0,0,SUMIF('Raw Data'!$A$3:$A$2927, $A59,'Raw Data'!Q$3:Q$2927) / COUNTIF('Raw Data'!$A$3:$A$2927,$A59))</f>
        <v>0</v>
      </c>
      <c r="U59">
        <f>IF( COUNTIF('Raw Data'!$A$3:$A$2927,$A59)=0,0,SUMIF('Raw Data'!$A$3:$A$2927, $A59,'Raw Data'!R$3:R$2927) / COUNTIF('Raw Data'!$A$3:$A$2927,$A59))</f>
        <v>1</v>
      </c>
      <c r="V59">
        <f>IF( COUNTIF('Raw Data'!$A$3:$A$2927,$A59)=0,0,SUMIF('Raw Data'!$A$3:$A$2927, $A59,'Raw Data'!S$3:S$2927) / COUNTIF('Raw Data'!$A$3:$A$2927,$A59))</f>
        <v>0</v>
      </c>
      <c r="W59">
        <f t="array" ref="W59">MAX(IF('Raw Data'!$A$3:$A$927=$A59, 'Raw Data'!$Y$3:$Y$927))</f>
        <v>5</v>
      </c>
      <c r="X59">
        <f>IF( COUNTIF('Raw Data'!$A$3:$A$2927,$A59)=0,0,SUMIF('Raw Data'!$A$3:$A$2927, $A59,'Raw Data'!U$3:U$2927) / COUNTIF('Raw Data'!$A$3:$A$2927,$A59))</f>
        <v>5</v>
      </c>
      <c r="Y59">
        <f>IF( COUNTIF('Raw Data'!$A$3:$A$2927,$A59)=0,0,SUMIF('Raw Data'!$A$3:$A$2927, $A59,'Raw Data'!V$3:V$2927) / COUNTIF('Raw Data'!$A$3:$A$2927,$A59))</f>
        <v>0</v>
      </c>
      <c r="Z59">
        <f>IF( COUNTIF('Raw Data'!$A$3:$A$2927,$A59)=0,0,SUMIF('Raw Data'!$A$3:$A$2927, $A59,'Raw Data'!W$3:W$2927) / COUNTIF('Raw Data'!$A$3:$A$2927,$A59))</f>
        <v>0</v>
      </c>
      <c r="AA59">
        <f>IF( COUNTIF('Raw Data'!$A$3:$A$2927,$A59)=0,0,SUMIF('Raw Data'!$A$3:$A$2927, $A59,'Raw Data'!X$3:X$2927) / COUNTIF('Raw Data'!$A$3:$A$2927,$A59))</f>
        <v>0</v>
      </c>
      <c r="AB59">
        <f>IF( COUNTIF('Raw Data'!$A$3:$A$2927,$A59)=0,0,SUMIF('Raw Data'!$A$3:$A$2927, $A59,'Raw Data'!AA$3:AA$2927) / COUNTIF('Raw Data'!$A$3:$A$2927,$A59))</f>
        <v>0</v>
      </c>
      <c r="AC59">
        <f>IF( COUNTIF('Raw Data'!$A$3:$A$2927,$A59)=0,0,SUMIF('Raw Data'!$A$3:$A$2927, $A59,'Raw Data'!AB$3:AB$2927) / COUNTIF('Raw Data'!$A$3:$A$2927,$A59))</f>
        <v>0</v>
      </c>
      <c r="AD59">
        <f>IF( COUNTIF('Raw Data'!$A$3:$A$2927,$A59)=0,0,SUMIF('Raw Data'!$A$3:$A$2927, $A59,'Raw Data'!AC$3:AC$2927) / COUNTIF('Raw Data'!$A$3:$A$2927,$A59))</f>
        <v>3</v>
      </c>
      <c r="AE59" s="117">
        <f>IF( COUNTIF('Raw Data'!$A$3:$A$2927,$A59)=0,0,SUMIF('Raw Data'!$A$3:$A$2927, $A59,'Raw Data'!AD$3:AD$2927) / COUNTIF('Raw Data'!$A$3:$A$2927,$A59))</f>
        <v>0</v>
      </c>
      <c r="AF59">
        <f>IF( COUNTIF('Raw Data'!$A$3:$A$2927,$A59)=0,0,SUMIF('Raw Data'!$A$3:$A$2927, $A59,'Raw Data'!AE$3:AE$2927) / COUNTIF('Raw Data'!$A$3:$A$2927,$A59))</f>
        <v>0</v>
      </c>
      <c r="AG59">
        <f>IF( COUNTIF('Raw Data'!$A$3:$A$2927,$A59)=0,0,SUMIF('Raw Data'!$A$3:$A$2927, $A59,'Raw Data'!AF$3:AF$2927) / COUNTIF('Raw Data'!$A$3:$A$2927,$A59))</f>
        <v>0</v>
      </c>
      <c r="AH59">
        <f>IF( COUNTIF('Raw Data'!$A$3:$A$2927,$A59)=0,0,SUMIF('Raw Data'!$A$3:$A$2927, $A59,'Raw Data'!AG$3:AG$2927) / COUNTIF('Raw Data'!$A$3:$A$2927,$A59))</f>
        <v>0</v>
      </c>
      <c r="AI59">
        <f>IF( COUNTIF('Raw Data'!$A$3:$A$2927,$A59)=0,0,SUMIF('Raw Data'!$A$3:$A$2927, $A59,'Raw Data'!AH$3:AH$2927) / COUNTIF('Raw Data'!$A$3:$A$2927,$A59))</f>
        <v>0</v>
      </c>
      <c r="AJ59" s="116">
        <f>COUNTIF('Raw Data'!A$3:A$2927, $A59)</f>
        <v>1</v>
      </c>
      <c r="AK59">
        <f>IFERROR(SUM(IF($E59 &gt;autoThreshold, auto), hatch * SUM($H59:$K59), cargo * SUM($M59:$P59),hatch * SUM( $S59:$V59), cargo * SUM($X59:$AA59), rocket23 * SUM($J59:$K59, $O59:$P59, $U59:$V59, $Z59:$AA59), IF($AD59 &gt; climbThreshold, climb), IF($AC59 &gt; assistThreshold, $AC59 * assist), $AH59 * penalty, dropHatch * $AI59, tippedBroke * SUM($AE59:$AF59),  IF( $E59 &lt; noAutoThreshold, noAuto), IF($C59 &lt; doesNothingThreshold, doesNothing, IF($AD59 &gt;1.45, 2) )), "h")</f>
        <v>13.3</v>
      </c>
      <c r="AL59">
        <f>SUM(hHatch * SUM($H59:$K59), hHatch * SUM($S59:$V59), hRocket23 * SUM($J59:$K59), hRocket23 * SUM($U59:$V59), hSandstorm * SUM($H59:$K59), hPenalty * $AH59, hDropHatch * $AI59,hTippedBroke * SUM($AE59:$AF59), IF($E59 &lt; hNoAutoThreshold, hNoAuto), IF($AG59 &gt; hFloorHatchThreshold, hFloorHatch))</f>
        <v>3.5</v>
      </c>
      <c r="AM59">
        <f>SUM(cCargo * SUM($M59:$P59), cCargo *SUM( $X59:$AA59), cRocket23 * SUM($O59:$P59, $Z59:$AA59),cSandstorm * SUM($M59:$P59), cPenalty * $AH59, cTippedBroke * SUM($AE59:$AF59), IF($E59 &lt; cNoAutoThreshold, cNoAuto, 0))</f>
        <v>5</v>
      </c>
    </row>
    <row r="60" spans="1:39" ht="15.75" thickBot="1">
      <c r="A60">
        <v>5409</v>
      </c>
      <c r="B60" t="s">
        <v>218</v>
      </c>
      <c r="C60">
        <f>PRODUCT($E60,3)+PRODUCT(SUM($H60:$K60),2)+PRODUCT(SUM($M60:$P60),3)+PRODUCT(SUM($S60:$V60),2)+PRODUCT(SUM($X60:$AA60), 3)+IF($AC60 &gt; 2, PRODUCT(SUM($AC60, -1),6), PRODUCT($AC60,3)) + IF($AD60 &gt; 2, PRODUCT(SUM($AD60, -1),6), PRODUCT($AD60,3)) + PRODUCT($AH60, -1)</f>
        <v>13.222222222222221</v>
      </c>
      <c r="D60">
        <f>PRODUCT(SUM($H60:$I60), 2) + PRODUCT(SUM($M60:$N60),3) + PRODUCT(SUM($S60:$T60), 2) + PRODUCT(SUM($X60:$Y60), 3)</f>
        <v>7</v>
      </c>
      <c r="E60">
        <f>IF( COUNTIF('Raw Data'!$A$3:$A$2927,$A60)=0,0,SUMIF('Raw Data'!$A$3:$A$2927, $A60,'Raw Data'!D$3:D$2927) / COUNTIF('Raw Data'!$A$3:$A$2927,$A60))</f>
        <v>1.4444444444444444</v>
      </c>
      <c r="F60">
        <f t="array" ref="F60">MAX(IF('Raw Data'!$A$3:$A$927=$A60, 'Raw Data'!$O$3:$O$927))</f>
        <v>0</v>
      </c>
      <c r="G60">
        <f t="array" ref="G60">MAX(IF('Raw Data'!$A$3:$A$927=$A60, 'Raw Data'!$I$3:$I$927))</f>
        <v>0</v>
      </c>
      <c r="H60">
        <f>IF( COUNTIF('Raw Data'!$A$3:$A$2927,$A60)=0,0,SUMIF('Raw Data'!$A$3:$A$2927, $A60,'Raw Data'!E$3:E$2927) / COUNTIF('Raw Data'!$A$3:$A$2927,$A60))</f>
        <v>0</v>
      </c>
      <c r="I60">
        <f>IF( COUNTIF('Raw Data'!$A$3:$A$2927,$A60)=0,0,SUMIF('Raw Data'!$A$3:$A$2927, $A60,'Raw Data'!F$3:F$2927) / COUNTIF('Raw Data'!$A$3:$A$2927,$A60))</f>
        <v>0</v>
      </c>
      <c r="J60">
        <f>IF( COUNTIF('Raw Data'!$A$3:$A$2927,$A60)=0,0,SUMIF('Raw Data'!$A$3:$A$2927, $A60,'Raw Data'!G$3:G$2927) / COUNTIF('Raw Data'!$A$3:$A$2927,$A60))</f>
        <v>0</v>
      </c>
      <c r="K60">
        <f>IF( COUNTIF('Raw Data'!$A$3:$A$2927,$A60)=0,0,SUMIF('Raw Data'!$A$3:$A$2927, $A60,'Raw Data'!H$3:H$2927) / COUNTIF('Raw Data'!$A$3:$A$2927,$A60))</f>
        <v>0</v>
      </c>
      <c r="L60">
        <f t="array" ref="L60">MAX(IF('Raw Data'!$A$3:$A$927=$A60, 'Raw Data'!$N$3:$N$927))</f>
        <v>0</v>
      </c>
      <c r="M60">
        <f>IF( COUNTIF('Raw Data'!$A$3:$A$2927,$A60)=0,0,SUMIF('Raw Data'!$A$3:$A$2927, $A60,'Raw Data'!J$3:J$2927) / COUNTIF('Raw Data'!$A$3:$A$2927,$A60))</f>
        <v>0</v>
      </c>
      <c r="N60">
        <f>IF( COUNTIF('Raw Data'!$A$3:$A$2927,$A60)=0,0,SUMIF('Raw Data'!$A$3:$A$2927, $A60,'Raw Data'!K$3:K$2927) / COUNTIF('Raw Data'!$A$3:$A$2927,$A60))</f>
        <v>0</v>
      </c>
      <c r="O60">
        <f>IF( COUNTIF('Raw Data'!$A$3:$A$2927,$A60)=0,0,SUMIF('Raw Data'!$A$3:$A$2927, $A60,'Raw Data'!L$3:L$2927) / COUNTIF('Raw Data'!$A$3:$A$2927,$A60))</f>
        <v>0</v>
      </c>
      <c r="P60" s="58">
        <f>IF( COUNTIF('Raw Data'!$A$3:$A$2927,$A60)=0,0,SUMIF('Raw Data'!$A$3:$A$2927, $A60,'Raw Data'!M$3:M$2927) / COUNTIF('Raw Data'!$A$3:$A$2927,$A60))</f>
        <v>0</v>
      </c>
      <c r="Q60">
        <f t="array" ref="Q60">MAX(IF('Raw Data'!$A$3:$A$927=$A60, 'Raw Data'!$Z$3:$Z$927))</f>
        <v>7</v>
      </c>
      <c r="R60">
        <f t="array" ref="R60">MAX(IF('Raw Data'!$A$3:$A$927=$A60, 'Raw Data'!$T$3:$T$927))</f>
        <v>0</v>
      </c>
      <c r="S60" s="118">
        <f>IF( COUNTIF('Raw Data'!$A$3:$A$2927,$A60)=0,0,SUMIF('Raw Data'!$A$3:$A$2927, $A60,'Raw Data'!P$3:P$2927) / COUNTIF('Raw Data'!$A$3:$A$2927,$A60))</f>
        <v>0</v>
      </c>
      <c r="T60">
        <f>IF( COUNTIF('Raw Data'!$A$3:$A$2927,$A60)=0,0,SUMIF('Raw Data'!$A$3:$A$2927, $A60,'Raw Data'!Q$3:Q$2927) / COUNTIF('Raw Data'!$A$3:$A$2927,$A60))</f>
        <v>0</v>
      </c>
      <c r="U60">
        <f>IF( COUNTIF('Raw Data'!$A$3:$A$2927,$A60)=0,0,SUMIF('Raw Data'!$A$3:$A$2927, $A60,'Raw Data'!R$3:R$2927) / COUNTIF('Raw Data'!$A$3:$A$2927,$A60))</f>
        <v>0</v>
      </c>
      <c r="V60">
        <f>IF( COUNTIF('Raw Data'!$A$3:$A$2927,$A60)=0,0,SUMIF('Raw Data'!$A$3:$A$2927, $A60,'Raw Data'!S$3:S$2927) / COUNTIF('Raw Data'!$A$3:$A$2927,$A60))</f>
        <v>0</v>
      </c>
      <c r="W60">
        <f t="array" ref="W60">MAX(IF('Raw Data'!$A$3:$A$927=$A60, 'Raw Data'!$Y$3:$Y$927))</f>
        <v>7</v>
      </c>
      <c r="X60">
        <f>IF( COUNTIF('Raw Data'!$A$3:$A$2927,$A60)=0,0,SUMIF('Raw Data'!$A$3:$A$2927, $A60,'Raw Data'!U$3:U$2927) / COUNTIF('Raw Data'!$A$3:$A$2927,$A60))</f>
        <v>2.3333333333333335</v>
      </c>
      <c r="Y60">
        <f>IF( COUNTIF('Raw Data'!$A$3:$A$2927,$A60)=0,0,SUMIF('Raw Data'!$A$3:$A$2927, $A60,'Raw Data'!V$3:V$2927) / COUNTIF('Raw Data'!$A$3:$A$2927,$A60))</f>
        <v>0</v>
      </c>
      <c r="Z60">
        <f>IF( COUNTIF('Raw Data'!$A$3:$A$2927,$A60)=0,0,SUMIF('Raw Data'!$A$3:$A$2927, $A60,'Raw Data'!W$3:W$2927) / COUNTIF('Raw Data'!$A$3:$A$2927,$A60))</f>
        <v>0.22222222222222221</v>
      </c>
      <c r="AA60">
        <f>IF( COUNTIF('Raw Data'!$A$3:$A$2927,$A60)=0,0,SUMIF('Raw Data'!$A$3:$A$2927, $A60,'Raw Data'!X$3:X$2927) / COUNTIF('Raw Data'!$A$3:$A$2927,$A60))</f>
        <v>0.1111111111111111</v>
      </c>
      <c r="AB60">
        <f>IF( COUNTIF('Raw Data'!$A$3:$A$2927,$A60)=0,0,SUMIF('Raw Data'!$A$3:$A$2927, $A60,'Raw Data'!AA$3:AA$2927) / COUNTIF('Raw Data'!$A$3:$A$2927,$A60))</f>
        <v>4.2222222222222223</v>
      </c>
      <c r="AC60">
        <f>IF( COUNTIF('Raw Data'!$A$3:$A$2927,$A60)=0,0,SUMIF('Raw Data'!$A$3:$A$2927, $A60,'Raw Data'!AB$3:AB$2927) / COUNTIF('Raw Data'!$A$3:$A$2927,$A60))</f>
        <v>0</v>
      </c>
      <c r="AD60">
        <f>IF( COUNTIF('Raw Data'!$A$3:$A$2927,$A60)=0,0,SUMIF('Raw Data'!$A$3:$A$2927, $A60,'Raw Data'!AC$3:AC$2927) / COUNTIF('Raw Data'!$A$3:$A$2927,$A60))</f>
        <v>0.77777777777777779</v>
      </c>
      <c r="AE60" s="117">
        <f>IF( COUNTIF('Raw Data'!$A$3:$A$2927,$A60)=0,0,SUMIF('Raw Data'!$A$3:$A$2927, $A60,'Raw Data'!AD$3:AD$2927) / COUNTIF('Raw Data'!$A$3:$A$2927,$A60))</f>
        <v>0</v>
      </c>
      <c r="AF60">
        <f>IF( COUNTIF('Raw Data'!$A$3:$A$2927,$A60)=0,0,SUMIF('Raw Data'!$A$3:$A$2927, $A60,'Raw Data'!AE$3:AE$2927) / COUNTIF('Raw Data'!$A$3:$A$2927,$A60))</f>
        <v>0.1111111111111111</v>
      </c>
      <c r="AG60">
        <f>IF( COUNTIF('Raw Data'!$A$3:$A$2927,$A60)=0,0,SUMIF('Raw Data'!$A$3:$A$2927, $A60,'Raw Data'!AF$3:AF$2927) / COUNTIF('Raw Data'!$A$3:$A$2927,$A60))</f>
        <v>0</v>
      </c>
      <c r="AH60">
        <f>IF( COUNTIF('Raw Data'!$A$3:$A$2927,$A60)=0,0,SUMIF('Raw Data'!$A$3:$A$2927, $A60,'Raw Data'!AG$3:AG$2927) / COUNTIF('Raw Data'!$A$3:$A$2927,$A60))</f>
        <v>1.4444444444444444</v>
      </c>
      <c r="AI60">
        <f>IF( COUNTIF('Raw Data'!$A$3:$A$2927,$A60)=0,0,SUMIF('Raw Data'!$A$3:$A$2927, $A60,'Raw Data'!AH$3:AH$2927) / COUNTIF('Raw Data'!$A$3:$A$2927,$A60))</f>
        <v>0</v>
      </c>
      <c r="AJ60" s="116">
        <f>COUNTIF('Raw Data'!A$3:A$2927, $A60)</f>
        <v>9</v>
      </c>
      <c r="AK60">
        <f>IFERROR(SUM(IF($E60 &gt;autoThreshold, auto), hatch * SUM($H60:$K60), cargo * SUM($M60:$P60),hatch * SUM( $S60:$V60), cargo * SUM($X60:$AA60), rocket23 * SUM($J60:$K60, $O60:$P60, $U60:$V60, $Z60:$AA60), IF($AD60 &gt; climbThreshold, climb), IF($AC60 &gt; assistThreshold, $AC60 * assist), $AH60 * penalty, dropHatch * $AI60, tippedBroke * SUM($AE60:$AF60),  IF( $E60 &lt; noAutoThreshold, noAuto), IF($C60 &lt; doesNothingThreshold, doesNothing, IF($AD60 &gt;1.45, 2) )), "h")</f>
        <v>0.98222222222222266</v>
      </c>
      <c r="AL60">
        <f>SUM(hHatch * SUM($H60:$K60), hHatch * SUM($S60:$V60), hRocket23 * SUM($J60:$K60), hRocket23 * SUM($U60:$V60), hSandstorm * SUM($H60:$K60), hPenalty * $AH60, hDropHatch * $AI60,hTippedBroke * SUM($AE60:$AF60), IF($E60 &lt; hNoAutoThreshold, hNoAuto), IF($AG60 &gt; hFloorHatchThreshold, hFloorHatch))</f>
        <v>-0.94444444444444442</v>
      </c>
      <c r="AM60">
        <f>SUM(cCargo * SUM($M60:$P60), cCargo *SUM( $X60:$AA60), cRocket23 * SUM($O60:$P60, $Z60:$AA60),cSandstorm * SUM($M60:$P60), cPenalty * $AH60, cTippedBroke * SUM($AE60:$AF60), IF($E60 &lt; cNoAutoThreshold, cNoAuto, 0))</f>
        <v>2.1344444444444446</v>
      </c>
    </row>
    <row r="61" spans="1:39" ht="15.75" thickBot="1">
      <c r="A61">
        <v>5426</v>
      </c>
      <c r="B61" t="s">
        <v>219</v>
      </c>
      <c r="C61">
        <f>PRODUCT($E61,3)+PRODUCT(SUM($H61:$K61),2)+PRODUCT(SUM($M61:$P61),3)+PRODUCT(SUM($S61:$V61),2)+PRODUCT(SUM($X61:$AA61), 3)+IF($AC61 &gt; 2, PRODUCT(SUM($AC61, -1),6), PRODUCT($AC61,3)) + IF($AD61 &gt; 2, PRODUCT(SUM($AD61, -1),6), PRODUCT($AD61,3)) + PRODUCT($AH61, -1)</f>
        <v>9.9999999999999982</v>
      </c>
      <c r="D61">
        <f>PRODUCT(SUM($H61:$I61), 2) + PRODUCT(SUM($M61:$N61),3) + PRODUCT(SUM($S61:$T61), 2) + PRODUCT(SUM($X61:$Y61), 3)</f>
        <v>3.4</v>
      </c>
      <c r="E61">
        <f>IF( COUNTIF('Raw Data'!$A$3:$A$2927,$A61)=0,0,SUMIF('Raw Data'!$A$3:$A$2927, $A61,'Raw Data'!D$3:D$2927) / COUNTIF('Raw Data'!$A$3:$A$2927,$A61))</f>
        <v>1.8</v>
      </c>
      <c r="F61">
        <f t="array" ref="F61">MAX(IF('Raw Data'!$A$3:$A$927=$A61, 'Raw Data'!$O$3:$O$927))</f>
        <v>0</v>
      </c>
      <c r="G61">
        <f t="array" ref="G61">MAX(IF('Raw Data'!$A$3:$A$927=$A61, 'Raw Data'!$I$3:$I$927))</f>
        <v>0</v>
      </c>
      <c r="H61">
        <f>IF( COUNTIF('Raw Data'!$A$3:$A$2927,$A61)=0,0,SUMIF('Raw Data'!$A$3:$A$2927, $A61,'Raw Data'!E$3:E$2927) / COUNTIF('Raw Data'!$A$3:$A$2927,$A61))</f>
        <v>0</v>
      </c>
      <c r="I61">
        <f>IF( COUNTIF('Raw Data'!$A$3:$A$2927,$A61)=0,0,SUMIF('Raw Data'!$A$3:$A$2927, $A61,'Raw Data'!F$3:F$2927) / COUNTIF('Raw Data'!$A$3:$A$2927,$A61))</f>
        <v>0</v>
      </c>
      <c r="J61">
        <f>IF( COUNTIF('Raw Data'!$A$3:$A$2927,$A61)=0,0,SUMIF('Raw Data'!$A$3:$A$2927, $A61,'Raw Data'!G$3:G$2927) / COUNTIF('Raw Data'!$A$3:$A$2927,$A61))</f>
        <v>0</v>
      </c>
      <c r="K61">
        <f>IF( COUNTIF('Raw Data'!$A$3:$A$2927,$A61)=0,0,SUMIF('Raw Data'!$A$3:$A$2927, $A61,'Raw Data'!H$3:H$2927) / COUNTIF('Raw Data'!$A$3:$A$2927,$A61))</f>
        <v>0</v>
      </c>
      <c r="L61">
        <f t="array" ref="L61">MAX(IF('Raw Data'!$A$3:$A$927=$A61, 'Raw Data'!$N$3:$N$927))</f>
        <v>0</v>
      </c>
      <c r="M61">
        <f>IF( COUNTIF('Raw Data'!$A$3:$A$2927,$A61)=0,0,SUMIF('Raw Data'!$A$3:$A$2927, $A61,'Raw Data'!J$3:J$2927) / COUNTIF('Raw Data'!$A$3:$A$2927,$A61))</f>
        <v>0</v>
      </c>
      <c r="N61">
        <f>IF( COUNTIF('Raw Data'!$A$3:$A$2927,$A61)=0,0,SUMIF('Raw Data'!$A$3:$A$2927, $A61,'Raw Data'!K$3:K$2927) / COUNTIF('Raw Data'!$A$3:$A$2927,$A61))</f>
        <v>0</v>
      </c>
      <c r="O61">
        <f>IF( COUNTIF('Raw Data'!$A$3:$A$2927,$A61)=0,0,SUMIF('Raw Data'!$A$3:$A$2927, $A61,'Raw Data'!L$3:L$2927) / COUNTIF('Raw Data'!$A$3:$A$2927,$A61))</f>
        <v>0</v>
      </c>
      <c r="P61" s="58">
        <f>IF( COUNTIF('Raw Data'!$A$3:$A$2927,$A61)=0,0,SUMIF('Raw Data'!$A$3:$A$2927, $A61,'Raw Data'!M$3:M$2927) / COUNTIF('Raw Data'!$A$3:$A$2927,$A61))</f>
        <v>0</v>
      </c>
      <c r="Q61">
        <f t="array" ref="Q61">MAX(IF('Raw Data'!$A$3:$A$927=$A61, 'Raw Data'!$Z$3:$Z$927))</f>
        <v>5</v>
      </c>
      <c r="R61">
        <f t="array" ref="R61">MAX(IF('Raw Data'!$A$3:$A$927=$A61, 'Raw Data'!$T$3:$T$927))</f>
        <v>5</v>
      </c>
      <c r="S61" s="118">
        <f>IF( COUNTIF('Raw Data'!$A$3:$A$2927,$A61)=0,0,SUMIF('Raw Data'!$A$3:$A$2927, $A61,'Raw Data'!P$3:P$2927) / COUNTIF('Raw Data'!$A$3:$A$2927,$A61))</f>
        <v>0.2</v>
      </c>
      <c r="T61">
        <f>IF( COUNTIF('Raw Data'!$A$3:$A$2927,$A61)=0,0,SUMIF('Raw Data'!$A$3:$A$2927, $A61,'Raw Data'!Q$3:Q$2927) / COUNTIF('Raw Data'!$A$3:$A$2927,$A61))</f>
        <v>1.2</v>
      </c>
      <c r="U61">
        <f>IF( COUNTIF('Raw Data'!$A$3:$A$2927,$A61)=0,0,SUMIF('Raw Data'!$A$3:$A$2927, $A61,'Raw Data'!R$3:R$2927) / COUNTIF('Raw Data'!$A$3:$A$2927,$A61))</f>
        <v>0</v>
      </c>
      <c r="V61">
        <f>IF( COUNTIF('Raw Data'!$A$3:$A$2927,$A61)=0,0,SUMIF('Raw Data'!$A$3:$A$2927, $A61,'Raw Data'!S$3:S$2927) / COUNTIF('Raw Data'!$A$3:$A$2927,$A61))</f>
        <v>0</v>
      </c>
      <c r="W61">
        <f t="array" ref="W61">MAX(IF('Raw Data'!$A$3:$A$927=$A61, 'Raw Data'!$Y$3:$Y$927))</f>
        <v>2</v>
      </c>
      <c r="X61">
        <f>IF( COUNTIF('Raw Data'!$A$3:$A$2927,$A61)=0,0,SUMIF('Raw Data'!$A$3:$A$2927, $A61,'Raw Data'!U$3:U$2927) / COUNTIF('Raw Data'!$A$3:$A$2927,$A61))</f>
        <v>0</v>
      </c>
      <c r="Y61">
        <f>IF( COUNTIF('Raw Data'!$A$3:$A$2927,$A61)=0,0,SUMIF('Raw Data'!$A$3:$A$2927, $A61,'Raw Data'!V$3:V$2927) / COUNTIF('Raw Data'!$A$3:$A$2927,$A61))</f>
        <v>0.2</v>
      </c>
      <c r="Z61">
        <f>IF( COUNTIF('Raw Data'!$A$3:$A$2927,$A61)=0,0,SUMIF('Raw Data'!$A$3:$A$2927, $A61,'Raw Data'!W$3:W$2927) / COUNTIF('Raw Data'!$A$3:$A$2927,$A61))</f>
        <v>0</v>
      </c>
      <c r="AA61">
        <f>IF( COUNTIF('Raw Data'!$A$3:$A$2927,$A61)=0,0,SUMIF('Raw Data'!$A$3:$A$2927, $A61,'Raw Data'!X$3:X$2927) / COUNTIF('Raw Data'!$A$3:$A$2927,$A61))</f>
        <v>0</v>
      </c>
      <c r="AB61">
        <f>IF( COUNTIF('Raw Data'!$A$3:$A$2927,$A61)=0,0,SUMIF('Raw Data'!$A$3:$A$2927, $A61,'Raw Data'!AA$3:AA$2927) / COUNTIF('Raw Data'!$A$3:$A$2927,$A61))</f>
        <v>15.5</v>
      </c>
      <c r="AC61">
        <f>IF( COUNTIF('Raw Data'!$A$3:$A$2927,$A61)=0,0,SUMIF('Raw Data'!$A$3:$A$2927, $A61,'Raw Data'!AB$3:AB$2927) / COUNTIF('Raw Data'!$A$3:$A$2927,$A61))</f>
        <v>0</v>
      </c>
      <c r="AD61">
        <f>IF( COUNTIF('Raw Data'!$A$3:$A$2927,$A61)=0,0,SUMIF('Raw Data'!$A$3:$A$2927, $A61,'Raw Data'!AC$3:AC$2927) / COUNTIF('Raw Data'!$A$3:$A$2927,$A61))</f>
        <v>0.7</v>
      </c>
      <c r="AE61" s="117">
        <f>IF( COUNTIF('Raw Data'!$A$3:$A$2927,$A61)=0,0,SUMIF('Raw Data'!$A$3:$A$2927, $A61,'Raw Data'!AD$3:AD$2927) / COUNTIF('Raw Data'!$A$3:$A$2927,$A61))</f>
        <v>0</v>
      </c>
      <c r="AF61">
        <f>IF( COUNTIF('Raw Data'!$A$3:$A$2927,$A61)=0,0,SUMIF('Raw Data'!$A$3:$A$2927, $A61,'Raw Data'!AE$3:AE$2927) / COUNTIF('Raw Data'!$A$3:$A$2927,$A61))</f>
        <v>0.1</v>
      </c>
      <c r="AG61">
        <f>IF( COUNTIF('Raw Data'!$A$3:$A$2927,$A61)=0,0,SUMIF('Raw Data'!$A$3:$A$2927, $A61,'Raw Data'!AF$3:AF$2927) / COUNTIF('Raw Data'!$A$3:$A$2927,$A61))</f>
        <v>0</v>
      </c>
      <c r="AH61">
        <f>IF( COUNTIF('Raw Data'!$A$3:$A$2927,$A61)=0,0,SUMIF('Raw Data'!$A$3:$A$2927, $A61,'Raw Data'!AG$3:AG$2927) / COUNTIF('Raw Data'!$A$3:$A$2927,$A61))</f>
        <v>0.9</v>
      </c>
      <c r="AI61">
        <f>IF( COUNTIF('Raw Data'!$A$3:$A$2927,$A61)=0,0,SUMIF('Raw Data'!$A$3:$A$2927, $A61,'Raw Data'!AH$3:AH$2927) / COUNTIF('Raw Data'!$A$3:$A$2927,$A61))</f>
        <v>0.3</v>
      </c>
      <c r="AJ61" s="116">
        <f>COUNTIF('Raw Data'!A$3:A$2927, $A61)</f>
        <v>10</v>
      </c>
      <c r="AK61">
        <f>IFERROR(SUM(IF($E61 &gt;autoThreshold, auto), hatch * SUM($H61:$K61), cargo * SUM($M61:$P61),hatch * SUM( $S61:$V61), cargo * SUM($X61:$AA61), rocket23 * SUM($J61:$K61, $O61:$P61, $U61:$V61, $Z61:$AA61), IF($AD61 &gt; climbThreshold, climb), IF($AC61 &gt; assistThreshold, $AC61 * assist), $AH61 * penalty, dropHatch * $AI61, tippedBroke * SUM($AE61:$AF61),  IF( $E61 &lt; noAutoThreshold, noAuto), IF($C61 &lt; doesNothingThreshold, doesNothing, IF($AD61 &gt;1.45, 2) )), "h")</f>
        <v>1.2819999999999998</v>
      </c>
      <c r="AL61">
        <f>SUM(hHatch * SUM($H61:$K61), hHatch * SUM($S61:$V61), hRocket23 * SUM($J61:$K61), hRocket23 * SUM($U61:$V61), hSandstorm * SUM($H61:$K61), hPenalty * $AH61, hDropHatch * $AI61,hTippedBroke * SUM($AE61:$AF61), IF($E61 &lt; hNoAutoThreshold, hNoAuto), IF($AG61 &gt; hFloorHatchThreshold, hFloorHatch))</f>
        <v>0.14999999999999997</v>
      </c>
      <c r="AM61">
        <f>SUM(cCargo * SUM($M61:$P61), cCargo *SUM( $X61:$AA61), cRocket23 * SUM($O61:$P61, $Z61:$AA61),cSandstorm * SUM($M61:$P61), cPenalty * $AH61, cTippedBroke * SUM($AE61:$AF61), IF($E61 &lt; cNoAutoThreshold, cNoAuto, 0))</f>
        <v>-0.29700000000000004</v>
      </c>
    </row>
    <row r="62" spans="1:39" ht="15.75" thickBot="1">
      <c r="A62">
        <v>5596</v>
      </c>
      <c r="B62" t="s">
        <v>487</v>
      </c>
      <c r="C62">
        <f>PRODUCT($E62,3)+PRODUCT(SUM($H62:$K62),2)+PRODUCT(SUM($M62:$P62),3)+PRODUCT(SUM($S62:$V62),2)+PRODUCT(SUM($X62:$AA62), 3)+IF($AC62 &gt; 2, PRODUCT(SUM($AC62, -1),6), PRODUCT($AC62,3)) + IF($AD62 &gt; 2, PRODUCT(SUM($AD62, -1),6), PRODUCT($AD62,3)) + PRODUCT($AH62, -1)</f>
        <v>0</v>
      </c>
      <c r="D62">
        <f>PRODUCT(SUM($H62:$I62), 2) + PRODUCT(SUM($M62:$N62),3) + PRODUCT(SUM($S62:$T62), 2) + PRODUCT(SUM($X62:$Y62), 3)</f>
        <v>0</v>
      </c>
      <c r="E62">
        <f>IF( COUNTIF('Raw Data'!$A$3:$A$2927,$A62)=0,0,SUMIF('Raw Data'!$A$3:$A$2927, $A62,'Raw Data'!D$3:D$2927) / COUNTIF('Raw Data'!$A$3:$A$2927,$A62))</f>
        <v>0</v>
      </c>
      <c r="F62">
        <f t="array" ref="F62">MAX(IF('Raw Data'!$A$3:$A$927=$A62, 'Raw Data'!$O$3:$O$927))</f>
        <v>0</v>
      </c>
      <c r="G62">
        <f t="array" ref="G62">MAX(IF('Raw Data'!$A$3:$A$927=$A62, 'Raw Data'!$I$3:$I$927))</f>
        <v>0</v>
      </c>
      <c r="H62">
        <f>IF( COUNTIF('Raw Data'!$A$3:$A$2927,$A62)=0,0,SUMIF('Raw Data'!$A$3:$A$2927, $A62,'Raw Data'!E$3:E$2927) / COUNTIF('Raw Data'!$A$3:$A$2927,$A62))</f>
        <v>0</v>
      </c>
      <c r="I62">
        <f>IF( COUNTIF('Raw Data'!$A$3:$A$2927,$A62)=0,0,SUMIF('Raw Data'!$A$3:$A$2927, $A62,'Raw Data'!F$3:F$2927) / COUNTIF('Raw Data'!$A$3:$A$2927,$A62))</f>
        <v>0</v>
      </c>
      <c r="J62">
        <f>IF( COUNTIF('Raw Data'!$A$3:$A$2927,$A62)=0,0,SUMIF('Raw Data'!$A$3:$A$2927, $A62,'Raw Data'!G$3:G$2927) / COUNTIF('Raw Data'!$A$3:$A$2927,$A62))</f>
        <v>0</v>
      </c>
      <c r="K62">
        <f>IF( COUNTIF('Raw Data'!$A$3:$A$2927,$A62)=0,0,SUMIF('Raw Data'!$A$3:$A$2927, $A62,'Raw Data'!H$3:H$2927) / COUNTIF('Raw Data'!$A$3:$A$2927,$A62))</f>
        <v>0</v>
      </c>
      <c r="L62">
        <f t="array" ref="L62">MAX(IF('Raw Data'!$A$3:$A$927=$A62, 'Raw Data'!$N$3:$N$927))</f>
        <v>0</v>
      </c>
      <c r="M62">
        <f>IF( COUNTIF('Raw Data'!$A$3:$A$2927,$A62)=0,0,SUMIF('Raw Data'!$A$3:$A$2927, $A62,'Raw Data'!J$3:J$2927) / COUNTIF('Raw Data'!$A$3:$A$2927,$A62))</f>
        <v>0</v>
      </c>
      <c r="N62">
        <f>IF( COUNTIF('Raw Data'!$A$3:$A$2927,$A62)=0,0,SUMIF('Raw Data'!$A$3:$A$2927, $A62,'Raw Data'!K$3:K$2927) / COUNTIF('Raw Data'!$A$3:$A$2927,$A62))</f>
        <v>0</v>
      </c>
      <c r="O62">
        <f>IF( COUNTIF('Raw Data'!$A$3:$A$2927,$A62)=0,0,SUMIF('Raw Data'!$A$3:$A$2927, $A62,'Raw Data'!L$3:L$2927) / COUNTIF('Raw Data'!$A$3:$A$2927,$A62))</f>
        <v>0</v>
      </c>
      <c r="P62" s="58">
        <f>IF( COUNTIF('Raw Data'!$A$3:$A$2927,$A62)=0,0,SUMIF('Raw Data'!$A$3:$A$2927, $A62,'Raw Data'!M$3:M$2927) / COUNTIF('Raw Data'!$A$3:$A$2927,$A62))</f>
        <v>0</v>
      </c>
      <c r="Q62">
        <f t="array" ref="Q62">MAX(IF('Raw Data'!$A$3:$A$927=$A62, 'Raw Data'!$Z$3:$Z$927))</f>
        <v>0</v>
      </c>
      <c r="R62">
        <f t="array" ref="R62">MAX(IF('Raw Data'!$A$3:$A$927=$A62, 'Raw Data'!$T$3:$T$927))</f>
        <v>0</v>
      </c>
      <c r="S62" s="118">
        <f>IF( COUNTIF('Raw Data'!$A$3:$A$2927,$A62)=0,0,SUMIF('Raw Data'!$A$3:$A$2927, $A62,'Raw Data'!P$3:P$2927) / COUNTIF('Raw Data'!$A$3:$A$2927,$A62))</f>
        <v>0</v>
      </c>
      <c r="T62">
        <f>IF( COUNTIF('Raw Data'!$A$3:$A$2927,$A62)=0,0,SUMIF('Raw Data'!$A$3:$A$2927, $A62,'Raw Data'!Q$3:Q$2927) / COUNTIF('Raw Data'!$A$3:$A$2927,$A62))</f>
        <v>0</v>
      </c>
      <c r="U62">
        <f>IF( COUNTIF('Raw Data'!$A$3:$A$2927,$A62)=0,0,SUMIF('Raw Data'!$A$3:$A$2927, $A62,'Raw Data'!R$3:R$2927) / COUNTIF('Raw Data'!$A$3:$A$2927,$A62))</f>
        <v>0</v>
      </c>
      <c r="V62">
        <f>IF( COUNTIF('Raw Data'!$A$3:$A$2927,$A62)=0,0,SUMIF('Raw Data'!$A$3:$A$2927, $A62,'Raw Data'!S$3:S$2927) / COUNTIF('Raw Data'!$A$3:$A$2927,$A62))</f>
        <v>0</v>
      </c>
      <c r="W62">
        <f t="array" ref="W62">MAX(IF('Raw Data'!$A$3:$A$927=$A62, 'Raw Data'!$Y$3:$Y$927))</f>
        <v>0</v>
      </c>
      <c r="X62">
        <f>IF( COUNTIF('Raw Data'!$A$3:$A$2927,$A62)=0,0,SUMIF('Raw Data'!$A$3:$A$2927, $A62,'Raw Data'!U$3:U$2927) / COUNTIF('Raw Data'!$A$3:$A$2927,$A62))</f>
        <v>0</v>
      </c>
      <c r="Y62">
        <f>IF( COUNTIF('Raw Data'!$A$3:$A$2927,$A62)=0,0,SUMIF('Raw Data'!$A$3:$A$2927, $A62,'Raw Data'!V$3:V$2927) / COUNTIF('Raw Data'!$A$3:$A$2927,$A62))</f>
        <v>0</v>
      </c>
      <c r="Z62">
        <f>IF( COUNTIF('Raw Data'!$A$3:$A$2927,$A62)=0,0,SUMIF('Raw Data'!$A$3:$A$2927, $A62,'Raw Data'!W$3:W$2927) / COUNTIF('Raw Data'!$A$3:$A$2927,$A62))</f>
        <v>0</v>
      </c>
      <c r="AA62">
        <f>IF( COUNTIF('Raw Data'!$A$3:$A$2927,$A62)=0,0,SUMIF('Raw Data'!$A$3:$A$2927, $A62,'Raw Data'!X$3:X$2927) / COUNTIF('Raw Data'!$A$3:$A$2927,$A62))</f>
        <v>0</v>
      </c>
      <c r="AB62">
        <f>IF( COUNTIF('Raw Data'!$A$3:$A$2927,$A62)=0,0,SUMIF('Raw Data'!$A$3:$A$2927, $A62,'Raw Data'!AA$3:AA$2927) / COUNTIF('Raw Data'!$A$3:$A$2927,$A62))</f>
        <v>0</v>
      </c>
      <c r="AC62">
        <f>IF( COUNTIF('Raw Data'!$A$3:$A$2927,$A62)=0,0,SUMIF('Raw Data'!$A$3:$A$2927, $A62,'Raw Data'!AB$3:AB$2927) / COUNTIF('Raw Data'!$A$3:$A$2927,$A62))</f>
        <v>0</v>
      </c>
      <c r="AD62">
        <f>IF( COUNTIF('Raw Data'!$A$3:$A$2927,$A62)=0,0,SUMIF('Raw Data'!$A$3:$A$2927, $A62,'Raw Data'!AC$3:AC$2927) / COUNTIF('Raw Data'!$A$3:$A$2927,$A62))</f>
        <v>0</v>
      </c>
      <c r="AE62" s="117">
        <f>IF( COUNTIF('Raw Data'!$A$3:$A$2927,$A62)=0,0,SUMIF('Raw Data'!$A$3:$A$2927, $A62,'Raw Data'!AD$3:AD$2927) / COUNTIF('Raw Data'!$A$3:$A$2927,$A62))</f>
        <v>0</v>
      </c>
      <c r="AF62">
        <f>IF( COUNTIF('Raw Data'!$A$3:$A$2927,$A62)=0,0,SUMIF('Raw Data'!$A$3:$A$2927, $A62,'Raw Data'!AE$3:AE$2927) / COUNTIF('Raw Data'!$A$3:$A$2927,$A62))</f>
        <v>0</v>
      </c>
      <c r="AG62">
        <f>IF( COUNTIF('Raw Data'!$A$3:$A$2927,$A62)=0,0,SUMIF('Raw Data'!$A$3:$A$2927, $A62,'Raw Data'!AF$3:AF$2927) / COUNTIF('Raw Data'!$A$3:$A$2927,$A62))</f>
        <v>0</v>
      </c>
      <c r="AH62">
        <f>IF( COUNTIF('Raw Data'!$A$3:$A$2927,$A62)=0,0,SUMIF('Raw Data'!$A$3:$A$2927, $A62,'Raw Data'!AG$3:AG$2927) / COUNTIF('Raw Data'!$A$3:$A$2927,$A62))</f>
        <v>0</v>
      </c>
      <c r="AI62">
        <f>IF( COUNTIF('Raw Data'!$A$3:$A$2927,$A62)=0,0,SUMIF('Raw Data'!$A$3:$A$2927, $A62,'Raw Data'!AH$3:AH$2927) / COUNTIF('Raw Data'!$A$3:$A$2927,$A62))</f>
        <v>0</v>
      </c>
      <c r="AJ62" s="116">
        <f>COUNTIF('Raw Data'!A$3:A$2927, $A62)</f>
        <v>0</v>
      </c>
      <c r="AK62">
        <f>IFERROR(SUM(IF($E62 &gt;autoThreshold, auto), hatch * SUM($H62:$K62), cargo * SUM($M62:$P62),hatch * SUM( $S62:$V62), cargo * SUM($X62:$AA62), rocket23 * SUM($J62:$K62, $O62:$P62, $U62:$V62, $Z62:$AA62), IF($AD62 &gt; climbThreshold, climb), IF($AC62 &gt; assistThreshold, $AC62 * assist), $AH62 * penalty, dropHatch * $AI62, tippedBroke * SUM($AE62:$AF62),  IF( $E62 &lt; noAutoThreshold, noAuto), IF($C62 &lt; doesNothingThreshold, doesNothing, IF($AD62 &gt;1.45, 2) )), "h")</f>
        <v>-21</v>
      </c>
      <c r="AL62">
        <f>SUM(hHatch * SUM($H62:$K62), hHatch * SUM($S62:$V62), hRocket23 * SUM($J62:$K62), hRocket23 * SUM($U62:$V62), hSandstorm * SUM($H62:$K62), hPenalty * $AH62, hDropHatch * $AI62,hTippedBroke * SUM($AE62:$AF62), IF($E62 &lt; hNoAutoThreshold, hNoAuto), IF($AG62 &gt; hFloorHatchThreshold, hFloorHatch))</f>
        <v>-1.5</v>
      </c>
      <c r="AM62">
        <f>SUM(cCargo * SUM($M62:$P62), cCargo *SUM( $X62:$AA62), cRocket23 * SUM($O62:$P62, $Z62:$AA62),cSandstorm * SUM($M62:$P62), cPenalty * $AH62, cTippedBroke * SUM($AE62:$AF62), IF($E62 &lt; cNoAutoThreshold, cNoAuto, 0))</f>
        <v>-1</v>
      </c>
    </row>
    <row r="63" spans="1:39" ht="15.75" thickBot="1">
      <c r="A63">
        <v>5699</v>
      </c>
      <c r="B63" t="s">
        <v>488</v>
      </c>
      <c r="C63">
        <f>PRODUCT($E63,3)+PRODUCT(SUM($H63:$K63),2)+PRODUCT(SUM($M63:$P63),3)+PRODUCT(SUM($S63:$V63),2)+PRODUCT(SUM($X63:$AA63), 3)+IF($AC63 &gt; 2, PRODUCT(SUM($AC63, -1),6), PRODUCT($AC63,3)) + IF($AD63 &gt; 2, PRODUCT(SUM($AD63, -1),6), PRODUCT($AD63,3)) + PRODUCT($AH63, -1)</f>
        <v>0</v>
      </c>
      <c r="D63">
        <f>PRODUCT(SUM($H63:$I63), 2) + PRODUCT(SUM($M63:$N63),3) + PRODUCT(SUM($S63:$T63), 2) + PRODUCT(SUM($X63:$Y63), 3)</f>
        <v>0</v>
      </c>
      <c r="E63">
        <f>IF( COUNTIF('Raw Data'!$A$3:$A$2927,$A63)=0,0,SUMIF('Raw Data'!$A$3:$A$2927, $A63,'Raw Data'!D$3:D$2927) / COUNTIF('Raw Data'!$A$3:$A$2927,$A63))</f>
        <v>0</v>
      </c>
      <c r="F63">
        <f t="array" ref="F63">MAX(IF('Raw Data'!$A$3:$A$927=$A63, 'Raw Data'!$O$3:$O$927))</f>
        <v>0</v>
      </c>
      <c r="G63">
        <f t="array" ref="G63">MAX(IF('Raw Data'!$A$3:$A$927=$A63, 'Raw Data'!$I$3:$I$927))</f>
        <v>0</v>
      </c>
      <c r="H63">
        <f>IF( COUNTIF('Raw Data'!$A$3:$A$2927,$A63)=0,0,SUMIF('Raw Data'!$A$3:$A$2927, $A63,'Raw Data'!E$3:E$2927) / COUNTIF('Raw Data'!$A$3:$A$2927,$A63))</f>
        <v>0</v>
      </c>
      <c r="I63">
        <f>IF( COUNTIF('Raw Data'!$A$3:$A$2927,$A63)=0,0,SUMIF('Raw Data'!$A$3:$A$2927, $A63,'Raw Data'!F$3:F$2927) / COUNTIF('Raw Data'!$A$3:$A$2927,$A63))</f>
        <v>0</v>
      </c>
      <c r="J63">
        <f>IF( COUNTIF('Raw Data'!$A$3:$A$2927,$A63)=0,0,SUMIF('Raw Data'!$A$3:$A$2927, $A63,'Raw Data'!G$3:G$2927) / COUNTIF('Raw Data'!$A$3:$A$2927,$A63))</f>
        <v>0</v>
      </c>
      <c r="K63">
        <f>IF( COUNTIF('Raw Data'!$A$3:$A$2927,$A63)=0,0,SUMIF('Raw Data'!$A$3:$A$2927, $A63,'Raw Data'!H$3:H$2927) / COUNTIF('Raw Data'!$A$3:$A$2927,$A63))</f>
        <v>0</v>
      </c>
      <c r="L63">
        <f t="array" ref="L63">MAX(IF('Raw Data'!$A$3:$A$927=$A63, 'Raw Data'!$N$3:$N$927))</f>
        <v>0</v>
      </c>
      <c r="M63">
        <f>IF( COUNTIF('Raw Data'!$A$3:$A$2927,$A63)=0,0,SUMIF('Raw Data'!$A$3:$A$2927, $A63,'Raw Data'!J$3:J$2927) / COUNTIF('Raw Data'!$A$3:$A$2927,$A63))</f>
        <v>0</v>
      </c>
      <c r="N63">
        <f>IF( COUNTIF('Raw Data'!$A$3:$A$2927,$A63)=0,0,SUMIF('Raw Data'!$A$3:$A$2927, $A63,'Raw Data'!K$3:K$2927) / COUNTIF('Raw Data'!$A$3:$A$2927,$A63))</f>
        <v>0</v>
      </c>
      <c r="O63">
        <f>IF( COUNTIF('Raw Data'!$A$3:$A$2927,$A63)=0,0,SUMIF('Raw Data'!$A$3:$A$2927, $A63,'Raw Data'!L$3:L$2927) / COUNTIF('Raw Data'!$A$3:$A$2927,$A63))</f>
        <v>0</v>
      </c>
      <c r="P63" s="58">
        <f>IF( COUNTIF('Raw Data'!$A$3:$A$2927,$A63)=0,0,SUMIF('Raw Data'!$A$3:$A$2927, $A63,'Raw Data'!M$3:M$2927) / COUNTIF('Raw Data'!$A$3:$A$2927,$A63))</f>
        <v>0</v>
      </c>
      <c r="Q63">
        <f t="array" ref="Q63">MAX(IF('Raw Data'!$A$3:$A$927=$A63, 'Raw Data'!$Z$3:$Z$927))</f>
        <v>0</v>
      </c>
      <c r="R63">
        <f t="array" ref="R63">MAX(IF('Raw Data'!$A$3:$A$927=$A63, 'Raw Data'!$T$3:$T$927))</f>
        <v>0</v>
      </c>
      <c r="S63" s="118">
        <f>IF( COUNTIF('Raw Data'!$A$3:$A$2927,$A63)=0,0,SUMIF('Raw Data'!$A$3:$A$2927, $A63,'Raw Data'!P$3:P$2927) / COUNTIF('Raw Data'!$A$3:$A$2927,$A63))</f>
        <v>0</v>
      </c>
      <c r="T63">
        <f>IF( COUNTIF('Raw Data'!$A$3:$A$2927,$A63)=0,0,SUMIF('Raw Data'!$A$3:$A$2927, $A63,'Raw Data'!Q$3:Q$2927) / COUNTIF('Raw Data'!$A$3:$A$2927,$A63))</f>
        <v>0</v>
      </c>
      <c r="U63">
        <f>IF( COUNTIF('Raw Data'!$A$3:$A$2927,$A63)=0,0,SUMIF('Raw Data'!$A$3:$A$2927, $A63,'Raw Data'!R$3:R$2927) / COUNTIF('Raw Data'!$A$3:$A$2927,$A63))</f>
        <v>0</v>
      </c>
      <c r="V63">
        <f>IF( COUNTIF('Raw Data'!$A$3:$A$2927,$A63)=0,0,SUMIF('Raw Data'!$A$3:$A$2927, $A63,'Raw Data'!S$3:S$2927) / COUNTIF('Raw Data'!$A$3:$A$2927,$A63))</f>
        <v>0</v>
      </c>
      <c r="W63">
        <f t="array" ref="W63">MAX(IF('Raw Data'!$A$3:$A$927=$A63, 'Raw Data'!$Y$3:$Y$927))</f>
        <v>0</v>
      </c>
      <c r="X63">
        <f>IF( COUNTIF('Raw Data'!$A$3:$A$2927,$A63)=0,0,SUMIF('Raw Data'!$A$3:$A$2927, $A63,'Raw Data'!U$3:U$2927) / COUNTIF('Raw Data'!$A$3:$A$2927,$A63))</f>
        <v>0</v>
      </c>
      <c r="Y63">
        <f>IF( COUNTIF('Raw Data'!$A$3:$A$2927,$A63)=0,0,SUMIF('Raw Data'!$A$3:$A$2927, $A63,'Raw Data'!V$3:V$2927) / COUNTIF('Raw Data'!$A$3:$A$2927,$A63))</f>
        <v>0</v>
      </c>
      <c r="Z63">
        <f>IF( COUNTIF('Raw Data'!$A$3:$A$2927,$A63)=0,0,SUMIF('Raw Data'!$A$3:$A$2927, $A63,'Raw Data'!W$3:W$2927) / COUNTIF('Raw Data'!$A$3:$A$2927,$A63))</f>
        <v>0</v>
      </c>
      <c r="AA63">
        <f>IF( COUNTIF('Raw Data'!$A$3:$A$2927,$A63)=0,0,SUMIF('Raw Data'!$A$3:$A$2927, $A63,'Raw Data'!X$3:X$2927) / COUNTIF('Raw Data'!$A$3:$A$2927,$A63))</f>
        <v>0</v>
      </c>
      <c r="AB63">
        <f>IF( COUNTIF('Raw Data'!$A$3:$A$2927,$A63)=0,0,SUMIF('Raw Data'!$A$3:$A$2927, $A63,'Raw Data'!AA$3:AA$2927) / COUNTIF('Raw Data'!$A$3:$A$2927,$A63))</f>
        <v>0</v>
      </c>
      <c r="AC63">
        <f>IF( COUNTIF('Raw Data'!$A$3:$A$2927,$A63)=0,0,SUMIF('Raw Data'!$A$3:$A$2927, $A63,'Raw Data'!AB$3:AB$2927) / COUNTIF('Raw Data'!$A$3:$A$2927,$A63))</f>
        <v>0</v>
      </c>
      <c r="AD63">
        <f>IF( COUNTIF('Raw Data'!$A$3:$A$2927,$A63)=0,0,SUMIF('Raw Data'!$A$3:$A$2927, $A63,'Raw Data'!AC$3:AC$2927) / COUNTIF('Raw Data'!$A$3:$A$2927,$A63))</f>
        <v>0</v>
      </c>
      <c r="AE63" s="117">
        <f>IF( COUNTIF('Raw Data'!$A$3:$A$2927,$A63)=0,0,SUMIF('Raw Data'!$A$3:$A$2927, $A63,'Raw Data'!AD$3:AD$2927) / COUNTIF('Raw Data'!$A$3:$A$2927,$A63))</f>
        <v>0</v>
      </c>
      <c r="AF63">
        <f>IF( COUNTIF('Raw Data'!$A$3:$A$2927,$A63)=0,0,SUMIF('Raw Data'!$A$3:$A$2927, $A63,'Raw Data'!AE$3:AE$2927) / COUNTIF('Raw Data'!$A$3:$A$2927,$A63))</f>
        <v>0</v>
      </c>
      <c r="AG63">
        <f>IF( COUNTIF('Raw Data'!$A$3:$A$2927,$A63)=0,0,SUMIF('Raw Data'!$A$3:$A$2927, $A63,'Raw Data'!AF$3:AF$2927) / COUNTIF('Raw Data'!$A$3:$A$2927,$A63))</f>
        <v>0</v>
      </c>
      <c r="AH63">
        <f>IF( COUNTIF('Raw Data'!$A$3:$A$2927,$A63)=0,0,SUMIF('Raw Data'!$A$3:$A$2927, $A63,'Raw Data'!AG$3:AG$2927) / COUNTIF('Raw Data'!$A$3:$A$2927,$A63))</f>
        <v>0</v>
      </c>
      <c r="AI63">
        <f>IF( COUNTIF('Raw Data'!$A$3:$A$2927,$A63)=0,0,SUMIF('Raw Data'!$A$3:$A$2927, $A63,'Raw Data'!AH$3:AH$2927) / COUNTIF('Raw Data'!$A$3:$A$2927,$A63))</f>
        <v>0</v>
      </c>
      <c r="AJ63" s="116">
        <f>COUNTIF('Raw Data'!A$3:A$2927, $A63)</f>
        <v>0</v>
      </c>
      <c r="AK63">
        <f>IFERROR(SUM(IF($E63 &gt;autoThreshold, auto), hatch * SUM($H63:$K63), cargo * SUM($M63:$P63),hatch * SUM( $S63:$V63), cargo * SUM($X63:$AA63), rocket23 * SUM($J63:$K63, $O63:$P63, $U63:$V63, $Z63:$AA63), IF($AD63 &gt; climbThreshold, climb), IF($AC63 &gt; assistThreshold, $AC63 * assist), $AH63 * penalty, dropHatch * $AI63, tippedBroke * SUM($AE63:$AF63),  IF( $E63 &lt; noAutoThreshold, noAuto), IF($C63 &lt; doesNothingThreshold, doesNothing, IF($AD63 &gt;1.45, 2) )), "h")</f>
        <v>-21</v>
      </c>
      <c r="AL63">
        <f>SUM(hHatch * SUM($H63:$K63), hHatch * SUM($S63:$V63), hRocket23 * SUM($J63:$K63), hRocket23 * SUM($U63:$V63), hSandstorm * SUM($H63:$K63), hPenalty * $AH63, hDropHatch * $AI63,hTippedBroke * SUM($AE63:$AF63), IF($E63 &lt; hNoAutoThreshold, hNoAuto), IF($AG63 &gt; hFloorHatchThreshold, hFloorHatch))</f>
        <v>-1.5</v>
      </c>
      <c r="AM63">
        <f>SUM(cCargo * SUM($M63:$P63), cCargo *SUM( $X63:$AA63), cRocket23 * SUM($O63:$P63, $Z63:$AA63),cSandstorm * SUM($M63:$P63), cPenalty * $AH63, cTippedBroke * SUM($AE63:$AF63), IF($E63 &lt; cNoAutoThreshold, cNoAuto, 0))</f>
        <v>-1</v>
      </c>
    </row>
    <row r="64" spans="1:39" ht="15.75" thickBot="1">
      <c r="A64">
        <v>5719</v>
      </c>
      <c r="B64" t="s">
        <v>430</v>
      </c>
      <c r="C64">
        <f>PRODUCT($E64,3)+PRODUCT(SUM($H64:$K64),2)+PRODUCT(SUM($M64:$P64),3)+PRODUCT(SUM($S64:$V64),2)+PRODUCT(SUM($X64:$AA64), 3)+IF($AC64 &gt; 2, PRODUCT(SUM($AC64, -1),6), PRODUCT($AC64,3)) + IF($AD64 &gt; 2, PRODUCT(SUM($AD64, -1),6), PRODUCT($AD64,3)) + PRODUCT($AH64, -1)</f>
        <v>0</v>
      </c>
      <c r="D64">
        <f>PRODUCT(SUM($H64:$I64), 2) + PRODUCT(SUM($M64:$N64),3) + PRODUCT(SUM($S64:$T64), 2) + PRODUCT(SUM($X64:$Y64), 3)</f>
        <v>0</v>
      </c>
      <c r="E64">
        <f>IF( COUNTIF('Raw Data'!$A$3:$A$2927,$A64)=0,0,SUMIF('Raw Data'!$A$3:$A$2927, $A64,'Raw Data'!D$3:D$2927) / COUNTIF('Raw Data'!$A$3:$A$2927,$A64))</f>
        <v>0</v>
      </c>
      <c r="F64">
        <f t="array" ref="F64">MAX(IF('Raw Data'!$A$3:$A$927=$A64, 'Raw Data'!$O$3:$O$927))</f>
        <v>0</v>
      </c>
      <c r="G64">
        <f t="array" ref="G64">MAX(IF('Raw Data'!$A$3:$A$927=$A64, 'Raw Data'!$I$3:$I$927))</f>
        <v>0</v>
      </c>
      <c r="H64">
        <f>IF( COUNTIF('Raw Data'!$A$3:$A$2927,$A64)=0,0,SUMIF('Raw Data'!$A$3:$A$2927, $A64,'Raw Data'!E$3:E$2927) / COUNTIF('Raw Data'!$A$3:$A$2927,$A64))</f>
        <v>0</v>
      </c>
      <c r="I64">
        <f>IF( COUNTIF('Raw Data'!$A$3:$A$2927,$A64)=0,0,SUMIF('Raw Data'!$A$3:$A$2927, $A64,'Raw Data'!F$3:F$2927) / COUNTIF('Raw Data'!$A$3:$A$2927,$A64))</f>
        <v>0</v>
      </c>
      <c r="J64">
        <f>IF( COUNTIF('Raw Data'!$A$3:$A$2927,$A64)=0,0,SUMIF('Raw Data'!$A$3:$A$2927, $A64,'Raw Data'!G$3:G$2927) / COUNTIF('Raw Data'!$A$3:$A$2927,$A64))</f>
        <v>0</v>
      </c>
      <c r="K64">
        <f>IF( COUNTIF('Raw Data'!$A$3:$A$2927,$A64)=0,0,SUMIF('Raw Data'!$A$3:$A$2927, $A64,'Raw Data'!H$3:H$2927) / COUNTIF('Raw Data'!$A$3:$A$2927,$A64))</f>
        <v>0</v>
      </c>
      <c r="L64">
        <f t="array" ref="L64">MAX(IF('Raw Data'!$A$3:$A$927=$A64, 'Raw Data'!$N$3:$N$927))</f>
        <v>0</v>
      </c>
      <c r="M64">
        <f>IF( COUNTIF('Raw Data'!$A$3:$A$2927,$A64)=0,0,SUMIF('Raw Data'!$A$3:$A$2927, $A64,'Raw Data'!J$3:J$2927) / COUNTIF('Raw Data'!$A$3:$A$2927,$A64))</f>
        <v>0</v>
      </c>
      <c r="N64">
        <f>IF( COUNTIF('Raw Data'!$A$3:$A$2927,$A64)=0,0,SUMIF('Raw Data'!$A$3:$A$2927, $A64,'Raw Data'!K$3:K$2927) / COUNTIF('Raw Data'!$A$3:$A$2927,$A64))</f>
        <v>0</v>
      </c>
      <c r="O64">
        <f>IF( COUNTIF('Raw Data'!$A$3:$A$2927,$A64)=0,0,SUMIF('Raw Data'!$A$3:$A$2927, $A64,'Raw Data'!L$3:L$2927) / COUNTIF('Raw Data'!$A$3:$A$2927,$A64))</f>
        <v>0</v>
      </c>
      <c r="P64" s="58">
        <f>IF( COUNTIF('Raw Data'!$A$3:$A$2927,$A64)=0,0,SUMIF('Raw Data'!$A$3:$A$2927, $A64,'Raw Data'!M$3:M$2927) / COUNTIF('Raw Data'!$A$3:$A$2927,$A64))</f>
        <v>0</v>
      </c>
      <c r="Q64">
        <f t="array" ref="Q64">MAX(IF('Raw Data'!$A$3:$A$927=$A64, 'Raw Data'!$Z$3:$Z$927))</f>
        <v>0</v>
      </c>
      <c r="R64">
        <f t="array" ref="R64">MAX(IF('Raw Data'!$A$3:$A$927=$A64, 'Raw Data'!$T$3:$T$927))</f>
        <v>0</v>
      </c>
      <c r="S64" s="118">
        <f>IF( COUNTIF('Raw Data'!$A$3:$A$2927,$A64)=0,0,SUMIF('Raw Data'!$A$3:$A$2927, $A64,'Raw Data'!P$3:P$2927) / COUNTIF('Raw Data'!$A$3:$A$2927,$A64))</f>
        <v>0</v>
      </c>
      <c r="T64">
        <f>IF( COUNTIF('Raw Data'!$A$3:$A$2927,$A64)=0,0,SUMIF('Raw Data'!$A$3:$A$2927, $A64,'Raw Data'!Q$3:Q$2927) / COUNTIF('Raw Data'!$A$3:$A$2927,$A64))</f>
        <v>0</v>
      </c>
      <c r="U64">
        <f>IF( COUNTIF('Raw Data'!$A$3:$A$2927,$A64)=0,0,SUMIF('Raw Data'!$A$3:$A$2927, $A64,'Raw Data'!R$3:R$2927) / COUNTIF('Raw Data'!$A$3:$A$2927,$A64))</f>
        <v>0</v>
      </c>
      <c r="V64">
        <f>IF( COUNTIF('Raw Data'!$A$3:$A$2927,$A64)=0,0,SUMIF('Raw Data'!$A$3:$A$2927, $A64,'Raw Data'!S$3:S$2927) / COUNTIF('Raw Data'!$A$3:$A$2927,$A64))</f>
        <v>0</v>
      </c>
      <c r="W64">
        <f t="array" ref="W64">MAX(IF('Raw Data'!$A$3:$A$927=$A64, 'Raw Data'!$Y$3:$Y$927))</f>
        <v>0</v>
      </c>
      <c r="X64">
        <f>IF( COUNTIF('Raw Data'!$A$3:$A$2927,$A64)=0,0,SUMIF('Raw Data'!$A$3:$A$2927, $A64,'Raw Data'!U$3:U$2927) / COUNTIF('Raw Data'!$A$3:$A$2927,$A64))</f>
        <v>0</v>
      </c>
      <c r="Y64">
        <f>IF( COUNTIF('Raw Data'!$A$3:$A$2927,$A64)=0,0,SUMIF('Raw Data'!$A$3:$A$2927, $A64,'Raw Data'!V$3:V$2927) / COUNTIF('Raw Data'!$A$3:$A$2927,$A64))</f>
        <v>0</v>
      </c>
      <c r="Z64">
        <f>IF( COUNTIF('Raw Data'!$A$3:$A$2927,$A64)=0,0,SUMIF('Raw Data'!$A$3:$A$2927, $A64,'Raw Data'!W$3:W$2927) / COUNTIF('Raw Data'!$A$3:$A$2927,$A64))</f>
        <v>0</v>
      </c>
      <c r="AA64">
        <f>IF( COUNTIF('Raw Data'!$A$3:$A$2927,$A64)=0,0,SUMIF('Raw Data'!$A$3:$A$2927, $A64,'Raw Data'!X$3:X$2927) / COUNTIF('Raw Data'!$A$3:$A$2927,$A64))</f>
        <v>0</v>
      </c>
      <c r="AB64">
        <f>IF( COUNTIF('Raw Data'!$A$3:$A$2927,$A64)=0,0,SUMIF('Raw Data'!$A$3:$A$2927, $A64,'Raw Data'!AA$3:AA$2927) / COUNTIF('Raw Data'!$A$3:$A$2927,$A64))</f>
        <v>0</v>
      </c>
      <c r="AC64">
        <f>IF( COUNTIF('Raw Data'!$A$3:$A$2927,$A64)=0,0,SUMIF('Raw Data'!$A$3:$A$2927, $A64,'Raw Data'!AB$3:AB$2927) / COUNTIF('Raw Data'!$A$3:$A$2927,$A64))</f>
        <v>0</v>
      </c>
      <c r="AD64">
        <f>IF( COUNTIF('Raw Data'!$A$3:$A$2927,$A64)=0,0,SUMIF('Raw Data'!$A$3:$A$2927, $A64,'Raw Data'!AC$3:AC$2927) / COUNTIF('Raw Data'!$A$3:$A$2927,$A64))</f>
        <v>0</v>
      </c>
      <c r="AE64" s="117">
        <f>IF( COUNTIF('Raw Data'!$A$3:$A$2927,$A64)=0,0,SUMIF('Raw Data'!$A$3:$A$2927, $A64,'Raw Data'!AD$3:AD$2927) / COUNTIF('Raw Data'!$A$3:$A$2927,$A64))</f>
        <v>0</v>
      </c>
      <c r="AF64">
        <f>IF( COUNTIF('Raw Data'!$A$3:$A$2927,$A64)=0,0,SUMIF('Raw Data'!$A$3:$A$2927, $A64,'Raw Data'!AE$3:AE$2927) / COUNTIF('Raw Data'!$A$3:$A$2927,$A64))</f>
        <v>0</v>
      </c>
      <c r="AG64">
        <f>IF( COUNTIF('Raw Data'!$A$3:$A$2927,$A64)=0,0,SUMIF('Raw Data'!$A$3:$A$2927, $A64,'Raw Data'!AF$3:AF$2927) / COUNTIF('Raw Data'!$A$3:$A$2927,$A64))</f>
        <v>0</v>
      </c>
      <c r="AH64">
        <f>IF( COUNTIF('Raw Data'!$A$3:$A$2927,$A64)=0,0,SUMIF('Raw Data'!$A$3:$A$2927, $A64,'Raw Data'!AG$3:AG$2927) / COUNTIF('Raw Data'!$A$3:$A$2927,$A64))</f>
        <v>0</v>
      </c>
      <c r="AI64">
        <f>IF( COUNTIF('Raw Data'!$A$3:$A$2927,$A64)=0,0,SUMIF('Raw Data'!$A$3:$A$2927, $A64,'Raw Data'!AH$3:AH$2927) / COUNTIF('Raw Data'!$A$3:$A$2927,$A64))</f>
        <v>0</v>
      </c>
      <c r="AJ64" s="116">
        <f>COUNTIF('Raw Data'!A$3:A$2927, $A64)</f>
        <v>0</v>
      </c>
      <c r="AK64">
        <f>IFERROR(SUM(IF($E64 &gt;autoThreshold, auto), hatch * SUM($H64:$K64), cargo * SUM($M64:$P64),hatch * SUM( $S64:$V64), cargo * SUM($X64:$AA64), rocket23 * SUM($J64:$K64, $O64:$P64, $U64:$V64, $Z64:$AA64), IF($AD64 &gt; climbThreshold, climb), IF($AC64 &gt; assistThreshold, $AC64 * assist), $AH64 * penalty, dropHatch * $AI64, tippedBroke * SUM($AE64:$AF64),  IF( $E64 &lt; noAutoThreshold, noAuto), IF($C64 &lt; doesNothingThreshold, doesNothing, IF($AD64 &gt;1.45, 2) )), "h")</f>
        <v>-21</v>
      </c>
      <c r="AL64">
        <f>SUM(hHatch * SUM($H64:$K64), hHatch * SUM($S64:$V64), hRocket23 * SUM($J64:$K64), hRocket23 * SUM($U64:$V64), hSandstorm * SUM($H64:$K64), hPenalty * $AH64, hDropHatch * $AI64,hTippedBroke * SUM($AE64:$AF64), IF($E64 &lt; hNoAutoThreshold, hNoAuto), IF($AG64 &gt; hFloorHatchThreshold, hFloorHatch))</f>
        <v>-1.5</v>
      </c>
      <c r="AM64">
        <f>SUM(cCargo * SUM($M64:$P64), cCargo *SUM( $X64:$AA64), cRocket23 * SUM($O64:$P64, $Z64:$AA64),cSandstorm * SUM($M64:$P64), cPenalty * $AH64, cTippedBroke * SUM($AE64:$AF64), IF($E64 &lt; cNoAutoThreshold, cNoAuto, 0))</f>
        <v>-1</v>
      </c>
    </row>
    <row r="65" spans="1:39" ht="15.75" thickBot="1">
      <c r="A65">
        <v>5885</v>
      </c>
      <c r="B65" t="s">
        <v>220</v>
      </c>
      <c r="C65">
        <f>PRODUCT($E65,3)+PRODUCT(SUM($H65:$K65),2)+PRODUCT(SUM($M65:$P65),3)+PRODUCT(SUM($S65:$V65),2)+PRODUCT(SUM($X65:$AA65), 3)+IF($AC65 &gt; 2, PRODUCT(SUM($AC65, -1),6), PRODUCT($AC65,3)) + IF($AD65 &gt; 2, PRODUCT(SUM($AD65, -1),6), PRODUCT($AD65,3)) + PRODUCT($AH65, -1)</f>
        <v>23.666666666666664</v>
      </c>
      <c r="D65">
        <f>PRODUCT(SUM($H65:$I65), 2) + PRODUCT(SUM($M65:$N65),3) + PRODUCT(SUM($S65:$T65), 2) + PRODUCT(SUM($X65:$Y65), 3)</f>
        <v>8</v>
      </c>
      <c r="E65">
        <f>IF( COUNTIF('Raw Data'!$A$3:$A$2927,$A65)=0,0,SUMIF('Raw Data'!$A$3:$A$2927, $A65,'Raw Data'!D$3:D$2927) / COUNTIF('Raw Data'!$A$3:$A$2927,$A65))</f>
        <v>1.7777777777777777</v>
      </c>
      <c r="F65">
        <f t="array" ref="F65">MAX(IF('Raw Data'!$A$3:$A$927=$A65, 'Raw Data'!$O$3:$O$927))</f>
        <v>1</v>
      </c>
      <c r="G65">
        <f t="array" ref="G65">MAX(IF('Raw Data'!$A$3:$A$927=$A65, 'Raw Data'!$I$3:$I$927))</f>
        <v>1</v>
      </c>
      <c r="H65">
        <f>IF( COUNTIF('Raw Data'!$A$3:$A$2927,$A65)=0,0,SUMIF('Raw Data'!$A$3:$A$2927, $A65,'Raw Data'!E$3:E$2927) / COUNTIF('Raw Data'!$A$3:$A$2927,$A65))</f>
        <v>0.44444444444444442</v>
      </c>
      <c r="I65">
        <f>IF( COUNTIF('Raw Data'!$A$3:$A$2927,$A65)=0,0,SUMIF('Raw Data'!$A$3:$A$2927, $A65,'Raw Data'!F$3:F$2927) / COUNTIF('Raw Data'!$A$3:$A$2927,$A65))</f>
        <v>0</v>
      </c>
      <c r="J65">
        <f>IF( COUNTIF('Raw Data'!$A$3:$A$2927,$A65)=0,0,SUMIF('Raw Data'!$A$3:$A$2927, $A65,'Raw Data'!G$3:G$2927) / COUNTIF('Raw Data'!$A$3:$A$2927,$A65))</f>
        <v>0</v>
      </c>
      <c r="K65">
        <f>IF( COUNTIF('Raw Data'!$A$3:$A$2927,$A65)=0,0,SUMIF('Raw Data'!$A$3:$A$2927, $A65,'Raw Data'!H$3:H$2927) / COUNTIF('Raw Data'!$A$3:$A$2927,$A65))</f>
        <v>0</v>
      </c>
      <c r="L65">
        <f t="array" ref="L65">MAX(IF('Raw Data'!$A$3:$A$927=$A65, 'Raw Data'!$N$3:$N$927))</f>
        <v>0</v>
      </c>
      <c r="M65">
        <f>IF( COUNTIF('Raw Data'!$A$3:$A$2927,$A65)=0,0,SUMIF('Raw Data'!$A$3:$A$2927, $A65,'Raw Data'!J$3:J$2927) / COUNTIF('Raw Data'!$A$3:$A$2927,$A65))</f>
        <v>0</v>
      </c>
      <c r="N65">
        <f>IF( COUNTIF('Raw Data'!$A$3:$A$2927,$A65)=0,0,SUMIF('Raw Data'!$A$3:$A$2927, $A65,'Raw Data'!K$3:K$2927) / COUNTIF('Raw Data'!$A$3:$A$2927,$A65))</f>
        <v>0</v>
      </c>
      <c r="O65">
        <f>IF( COUNTIF('Raw Data'!$A$3:$A$2927,$A65)=0,0,SUMIF('Raw Data'!$A$3:$A$2927, $A65,'Raw Data'!L$3:L$2927) / COUNTIF('Raw Data'!$A$3:$A$2927,$A65))</f>
        <v>0</v>
      </c>
      <c r="P65" s="58">
        <f>IF( COUNTIF('Raw Data'!$A$3:$A$2927,$A65)=0,0,SUMIF('Raw Data'!$A$3:$A$2927, $A65,'Raw Data'!M$3:M$2927) / COUNTIF('Raw Data'!$A$3:$A$2927,$A65))</f>
        <v>0</v>
      </c>
      <c r="Q65">
        <f t="array" ref="Q65">MAX(IF('Raw Data'!$A$3:$A$927=$A65, 'Raw Data'!$Z$3:$Z$927))</f>
        <v>6</v>
      </c>
      <c r="R65">
        <f t="array" ref="R65">MAX(IF('Raw Data'!$A$3:$A$927=$A65, 'Raw Data'!$T$3:$T$927))</f>
        <v>6</v>
      </c>
      <c r="S65" s="118">
        <f>IF( COUNTIF('Raw Data'!$A$3:$A$2927,$A65)=0,0,SUMIF('Raw Data'!$A$3:$A$2927, $A65,'Raw Data'!P$3:P$2927) / COUNTIF('Raw Data'!$A$3:$A$2927,$A65))</f>
        <v>2.6666666666666665</v>
      </c>
      <c r="T65">
        <f>IF( COUNTIF('Raw Data'!$A$3:$A$2927,$A65)=0,0,SUMIF('Raw Data'!$A$3:$A$2927, $A65,'Raw Data'!Q$3:Q$2927) / COUNTIF('Raw Data'!$A$3:$A$2927,$A65))</f>
        <v>0.88888888888888884</v>
      </c>
      <c r="U65">
        <f>IF( COUNTIF('Raw Data'!$A$3:$A$2927,$A65)=0,0,SUMIF('Raw Data'!$A$3:$A$2927, $A65,'Raw Data'!R$3:R$2927) / COUNTIF('Raw Data'!$A$3:$A$2927,$A65))</f>
        <v>0</v>
      </c>
      <c r="V65">
        <f>IF( COUNTIF('Raw Data'!$A$3:$A$2927,$A65)=0,0,SUMIF('Raw Data'!$A$3:$A$2927, $A65,'Raw Data'!S$3:S$2927) / COUNTIF('Raw Data'!$A$3:$A$2927,$A65))</f>
        <v>0</v>
      </c>
      <c r="W65">
        <f t="array" ref="W65">MAX(IF('Raw Data'!$A$3:$A$927=$A65, 'Raw Data'!$Y$3:$Y$927))</f>
        <v>0</v>
      </c>
      <c r="X65">
        <f>IF( COUNTIF('Raw Data'!$A$3:$A$2927,$A65)=0,0,SUMIF('Raw Data'!$A$3:$A$2927, $A65,'Raw Data'!U$3:U$2927) / COUNTIF('Raw Data'!$A$3:$A$2927,$A65))</f>
        <v>0</v>
      </c>
      <c r="Y65">
        <f>IF( COUNTIF('Raw Data'!$A$3:$A$2927,$A65)=0,0,SUMIF('Raw Data'!$A$3:$A$2927, $A65,'Raw Data'!V$3:V$2927) / COUNTIF('Raw Data'!$A$3:$A$2927,$A65))</f>
        <v>0</v>
      </c>
      <c r="Z65">
        <f>IF( COUNTIF('Raw Data'!$A$3:$A$2927,$A65)=0,0,SUMIF('Raw Data'!$A$3:$A$2927, $A65,'Raw Data'!W$3:W$2927) / COUNTIF('Raw Data'!$A$3:$A$2927,$A65))</f>
        <v>0</v>
      </c>
      <c r="AA65">
        <f>IF( COUNTIF('Raw Data'!$A$3:$A$2927,$A65)=0,0,SUMIF('Raw Data'!$A$3:$A$2927, $A65,'Raw Data'!X$3:X$2927) / COUNTIF('Raw Data'!$A$3:$A$2927,$A65))</f>
        <v>0</v>
      </c>
      <c r="AB65">
        <f>IF( COUNTIF('Raw Data'!$A$3:$A$2927,$A65)=0,0,SUMIF('Raw Data'!$A$3:$A$2927, $A65,'Raw Data'!AA$3:AA$2927) / COUNTIF('Raw Data'!$A$3:$A$2927,$A65))</f>
        <v>0</v>
      </c>
      <c r="AC65">
        <f>IF( COUNTIF('Raw Data'!$A$3:$A$2927,$A65)=0,0,SUMIF('Raw Data'!$A$3:$A$2927, $A65,'Raw Data'!AB$3:AB$2927) / COUNTIF('Raw Data'!$A$3:$A$2927,$A65))</f>
        <v>0</v>
      </c>
      <c r="AD65">
        <f>IF( COUNTIF('Raw Data'!$A$3:$A$2927,$A65)=0,0,SUMIF('Raw Data'!$A$3:$A$2927, $A65,'Raw Data'!AC$3:AC$2927) / COUNTIF('Raw Data'!$A$3:$A$2927,$A65))</f>
        <v>3</v>
      </c>
      <c r="AE65" s="117">
        <f>IF( COUNTIF('Raw Data'!$A$3:$A$2927,$A65)=0,0,SUMIF('Raw Data'!$A$3:$A$2927, $A65,'Raw Data'!AD$3:AD$2927) / COUNTIF('Raw Data'!$A$3:$A$2927,$A65))</f>
        <v>0</v>
      </c>
      <c r="AF65">
        <f>IF( COUNTIF('Raw Data'!$A$3:$A$2927,$A65)=0,0,SUMIF('Raw Data'!$A$3:$A$2927, $A65,'Raw Data'!AE$3:AE$2927) / COUNTIF('Raw Data'!$A$3:$A$2927,$A65))</f>
        <v>0</v>
      </c>
      <c r="AG65">
        <f>IF( COUNTIF('Raw Data'!$A$3:$A$2927,$A65)=0,0,SUMIF('Raw Data'!$A$3:$A$2927, $A65,'Raw Data'!AF$3:AF$2927) / COUNTIF('Raw Data'!$A$3:$A$2927,$A65))</f>
        <v>0</v>
      </c>
      <c r="AH65">
        <f>IF( COUNTIF('Raw Data'!$A$3:$A$2927,$A65)=0,0,SUMIF('Raw Data'!$A$3:$A$2927, $A65,'Raw Data'!AG$3:AG$2927) / COUNTIF('Raw Data'!$A$3:$A$2927,$A65))</f>
        <v>1.6666666666666667</v>
      </c>
      <c r="AI65">
        <f>IF( COUNTIF('Raw Data'!$A$3:$A$2927,$A65)=0,0,SUMIF('Raw Data'!$A$3:$A$2927, $A65,'Raw Data'!AH$3:AH$2927) / COUNTIF('Raw Data'!$A$3:$A$2927,$A65))</f>
        <v>0.44444444444444442</v>
      </c>
      <c r="AJ65" s="116">
        <f>COUNTIF('Raw Data'!A$3:A$2927, $A65)</f>
        <v>9</v>
      </c>
      <c r="AK65">
        <f>IFERROR(SUM(IF($E65 &gt;autoThreshold, auto), hatch * SUM($H65:$K65), cargo * SUM($M65:$P65),hatch * SUM( $S65:$V65), cargo * SUM($X65:$AA65), rocket23 * SUM($J65:$K65, $O65:$P65, $U65:$V65, $Z65:$AA65), IF($AD65 &gt; climbThreshold, climb), IF($AC65 &gt; assistThreshold, $AC65 * assist), $AH65 * penalty, dropHatch * $AI65, tippedBroke * SUM($AE65:$AF65),  IF( $E65 &lt; noAutoThreshold, noAuto), IF($C65 &lt; doesNothingThreshold, doesNothing, IF($AD65 &gt;1.45, 2) )), "h")</f>
        <v>10.277777777777777</v>
      </c>
      <c r="AL65">
        <f>SUM(hHatch * SUM($H65:$K65), hHatch * SUM($S65:$V65), hRocket23 * SUM($J65:$K65), hRocket23 * SUM($U65:$V65), hSandstorm * SUM($H65:$K65), hPenalty * $AH65, hDropHatch * $AI65,hTippedBroke * SUM($AE65:$AF65), IF($E65 &lt; hNoAutoThreshold, hNoAuto), IF($AG65 &gt; hFloorHatchThreshold, hFloorHatch))</f>
        <v>2.5</v>
      </c>
      <c r="AM65">
        <f>SUM(cCargo * SUM($M65:$P65), cCargo *SUM( $X65:$AA65), cRocket23 * SUM($O65:$P65, $Z65:$AA65),cSandstorm * SUM($M65:$P65), cPenalty * $AH65, cTippedBroke * SUM($AE65:$AF65), IF($E65 &lt; cNoAutoThreshold, cNoAuto, 0))</f>
        <v>-0.55000000000000004</v>
      </c>
    </row>
    <row r="66" spans="1:39" ht="15.75" thickBot="1">
      <c r="A66">
        <v>5911</v>
      </c>
      <c r="B66" t="s">
        <v>431</v>
      </c>
      <c r="C66">
        <f>PRODUCT($E66,3)+PRODUCT(SUM($H66:$K66),2)+PRODUCT(SUM($M66:$P66),3)+PRODUCT(SUM($S66:$V66),2)+PRODUCT(SUM($X66:$AA66), 3)+IF($AC66 &gt; 2, PRODUCT(SUM($AC66, -1),6), PRODUCT($AC66,3)) + IF($AD66 &gt; 2, PRODUCT(SUM($AD66, -1),6), PRODUCT($AD66,3)) + PRODUCT($AH66, -1)</f>
        <v>0</v>
      </c>
      <c r="D66">
        <f>PRODUCT(SUM($H66:$I66), 2) + PRODUCT(SUM($M66:$N66),3) + PRODUCT(SUM($S66:$T66), 2) + PRODUCT(SUM($X66:$Y66), 3)</f>
        <v>0</v>
      </c>
      <c r="E66">
        <f>IF( COUNTIF('Raw Data'!$A$3:$A$2927,$A66)=0,0,SUMIF('Raw Data'!$A$3:$A$2927, $A66,'Raw Data'!D$3:D$2927) / COUNTIF('Raw Data'!$A$3:$A$2927,$A66))</f>
        <v>0</v>
      </c>
      <c r="F66">
        <f t="array" ref="F66">MAX(IF('Raw Data'!$A$3:$A$927=$A66, 'Raw Data'!$O$3:$O$927))</f>
        <v>0</v>
      </c>
      <c r="G66">
        <f t="array" ref="G66">MAX(IF('Raw Data'!$A$3:$A$927=$A66, 'Raw Data'!$I$3:$I$927))</f>
        <v>0</v>
      </c>
      <c r="H66">
        <f>IF( COUNTIF('Raw Data'!$A$3:$A$2927,$A66)=0,0,SUMIF('Raw Data'!$A$3:$A$2927, $A66,'Raw Data'!E$3:E$2927) / COUNTIF('Raw Data'!$A$3:$A$2927,$A66))</f>
        <v>0</v>
      </c>
      <c r="I66">
        <f>IF( COUNTIF('Raw Data'!$A$3:$A$2927,$A66)=0,0,SUMIF('Raw Data'!$A$3:$A$2927, $A66,'Raw Data'!F$3:F$2927) / COUNTIF('Raw Data'!$A$3:$A$2927,$A66))</f>
        <v>0</v>
      </c>
      <c r="J66">
        <f>IF( COUNTIF('Raw Data'!$A$3:$A$2927,$A66)=0,0,SUMIF('Raw Data'!$A$3:$A$2927, $A66,'Raw Data'!G$3:G$2927) / COUNTIF('Raw Data'!$A$3:$A$2927,$A66))</f>
        <v>0</v>
      </c>
      <c r="K66">
        <f>IF( COUNTIF('Raw Data'!$A$3:$A$2927,$A66)=0,0,SUMIF('Raw Data'!$A$3:$A$2927, $A66,'Raw Data'!H$3:H$2927) / COUNTIF('Raw Data'!$A$3:$A$2927,$A66))</f>
        <v>0</v>
      </c>
      <c r="L66">
        <f t="array" ref="L66">MAX(IF('Raw Data'!$A$3:$A$927=$A66, 'Raw Data'!$N$3:$N$927))</f>
        <v>0</v>
      </c>
      <c r="M66">
        <f>IF( COUNTIF('Raw Data'!$A$3:$A$2927,$A66)=0,0,SUMIF('Raw Data'!$A$3:$A$2927, $A66,'Raw Data'!J$3:J$2927) / COUNTIF('Raw Data'!$A$3:$A$2927,$A66))</f>
        <v>0</v>
      </c>
      <c r="N66">
        <f>IF( COUNTIF('Raw Data'!$A$3:$A$2927,$A66)=0,0,SUMIF('Raw Data'!$A$3:$A$2927, $A66,'Raw Data'!K$3:K$2927) / COUNTIF('Raw Data'!$A$3:$A$2927,$A66))</f>
        <v>0</v>
      </c>
      <c r="O66">
        <f>IF( COUNTIF('Raw Data'!$A$3:$A$2927,$A66)=0,0,SUMIF('Raw Data'!$A$3:$A$2927, $A66,'Raw Data'!L$3:L$2927) / COUNTIF('Raw Data'!$A$3:$A$2927,$A66))</f>
        <v>0</v>
      </c>
      <c r="P66" s="58">
        <f>IF( COUNTIF('Raw Data'!$A$3:$A$2927,$A66)=0,0,SUMIF('Raw Data'!$A$3:$A$2927, $A66,'Raw Data'!M$3:M$2927) / COUNTIF('Raw Data'!$A$3:$A$2927,$A66))</f>
        <v>0</v>
      </c>
      <c r="Q66">
        <f t="array" ref="Q66">MAX(IF('Raw Data'!$A$3:$A$927=$A66, 'Raw Data'!$Z$3:$Z$927))</f>
        <v>0</v>
      </c>
      <c r="R66">
        <f t="array" ref="R66">MAX(IF('Raw Data'!$A$3:$A$927=$A66, 'Raw Data'!$T$3:$T$927))</f>
        <v>0</v>
      </c>
      <c r="S66" s="118">
        <f>IF( COUNTIF('Raw Data'!$A$3:$A$2927,$A66)=0,0,SUMIF('Raw Data'!$A$3:$A$2927, $A66,'Raw Data'!P$3:P$2927) / COUNTIF('Raw Data'!$A$3:$A$2927,$A66))</f>
        <v>0</v>
      </c>
      <c r="T66">
        <f>IF( COUNTIF('Raw Data'!$A$3:$A$2927,$A66)=0,0,SUMIF('Raw Data'!$A$3:$A$2927, $A66,'Raw Data'!Q$3:Q$2927) / COUNTIF('Raw Data'!$A$3:$A$2927,$A66))</f>
        <v>0</v>
      </c>
      <c r="U66">
        <f>IF( COUNTIF('Raw Data'!$A$3:$A$2927,$A66)=0,0,SUMIF('Raw Data'!$A$3:$A$2927, $A66,'Raw Data'!R$3:R$2927) / COUNTIF('Raw Data'!$A$3:$A$2927,$A66))</f>
        <v>0</v>
      </c>
      <c r="V66">
        <f>IF( COUNTIF('Raw Data'!$A$3:$A$2927,$A66)=0,0,SUMIF('Raw Data'!$A$3:$A$2927, $A66,'Raw Data'!S$3:S$2927) / COUNTIF('Raw Data'!$A$3:$A$2927,$A66))</f>
        <v>0</v>
      </c>
      <c r="W66">
        <f t="array" ref="W66">MAX(IF('Raw Data'!$A$3:$A$927=$A66, 'Raw Data'!$Y$3:$Y$927))</f>
        <v>0</v>
      </c>
      <c r="X66">
        <f>IF( COUNTIF('Raw Data'!$A$3:$A$2927,$A66)=0,0,SUMIF('Raw Data'!$A$3:$A$2927, $A66,'Raw Data'!U$3:U$2927) / COUNTIF('Raw Data'!$A$3:$A$2927,$A66))</f>
        <v>0</v>
      </c>
      <c r="Y66">
        <f>IF( COUNTIF('Raw Data'!$A$3:$A$2927,$A66)=0,0,SUMIF('Raw Data'!$A$3:$A$2927, $A66,'Raw Data'!V$3:V$2927) / COUNTIF('Raw Data'!$A$3:$A$2927,$A66))</f>
        <v>0</v>
      </c>
      <c r="Z66">
        <f>IF( COUNTIF('Raw Data'!$A$3:$A$2927,$A66)=0,0,SUMIF('Raw Data'!$A$3:$A$2927, $A66,'Raw Data'!W$3:W$2927) / COUNTIF('Raw Data'!$A$3:$A$2927,$A66))</f>
        <v>0</v>
      </c>
      <c r="AA66">
        <f>IF( COUNTIF('Raw Data'!$A$3:$A$2927,$A66)=0,0,SUMIF('Raw Data'!$A$3:$A$2927, $A66,'Raw Data'!X$3:X$2927) / COUNTIF('Raw Data'!$A$3:$A$2927,$A66))</f>
        <v>0</v>
      </c>
      <c r="AB66">
        <f>IF( COUNTIF('Raw Data'!$A$3:$A$2927,$A66)=0,0,SUMIF('Raw Data'!$A$3:$A$2927, $A66,'Raw Data'!AA$3:AA$2927) / COUNTIF('Raw Data'!$A$3:$A$2927,$A66))</f>
        <v>0</v>
      </c>
      <c r="AC66">
        <f>IF( COUNTIF('Raw Data'!$A$3:$A$2927,$A66)=0,0,SUMIF('Raw Data'!$A$3:$A$2927, $A66,'Raw Data'!AB$3:AB$2927) / COUNTIF('Raw Data'!$A$3:$A$2927,$A66))</f>
        <v>0</v>
      </c>
      <c r="AD66">
        <f>IF( COUNTIF('Raw Data'!$A$3:$A$2927,$A66)=0,0,SUMIF('Raw Data'!$A$3:$A$2927, $A66,'Raw Data'!AC$3:AC$2927) / COUNTIF('Raw Data'!$A$3:$A$2927,$A66))</f>
        <v>0</v>
      </c>
      <c r="AE66" s="117">
        <f>IF( COUNTIF('Raw Data'!$A$3:$A$2927,$A66)=0,0,SUMIF('Raw Data'!$A$3:$A$2927, $A66,'Raw Data'!AD$3:AD$2927) / COUNTIF('Raw Data'!$A$3:$A$2927,$A66))</f>
        <v>0</v>
      </c>
      <c r="AF66">
        <f>IF( COUNTIF('Raw Data'!$A$3:$A$2927,$A66)=0,0,SUMIF('Raw Data'!$A$3:$A$2927, $A66,'Raw Data'!AE$3:AE$2927) / COUNTIF('Raw Data'!$A$3:$A$2927,$A66))</f>
        <v>0</v>
      </c>
      <c r="AG66">
        <f>IF( COUNTIF('Raw Data'!$A$3:$A$2927,$A66)=0,0,SUMIF('Raw Data'!$A$3:$A$2927, $A66,'Raw Data'!AF$3:AF$2927) / COUNTIF('Raw Data'!$A$3:$A$2927,$A66))</f>
        <v>0</v>
      </c>
      <c r="AH66">
        <f>IF( COUNTIF('Raw Data'!$A$3:$A$2927,$A66)=0,0,SUMIF('Raw Data'!$A$3:$A$2927, $A66,'Raw Data'!AG$3:AG$2927) / COUNTIF('Raw Data'!$A$3:$A$2927,$A66))</f>
        <v>0</v>
      </c>
      <c r="AI66">
        <f>IF( COUNTIF('Raw Data'!$A$3:$A$2927,$A66)=0,0,SUMIF('Raw Data'!$A$3:$A$2927, $A66,'Raw Data'!AH$3:AH$2927) / COUNTIF('Raw Data'!$A$3:$A$2927,$A66))</f>
        <v>0</v>
      </c>
      <c r="AJ66" s="116">
        <f>COUNTIF('Raw Data'!A$3:A$2927, $A66)</f>
        <v>0</v>
      </c>
      <c r="AK66">
        <f>IFERROR(SUM(IF($E66 &gt;autoThreshold, auto), hatch * SUM($H66:$K66), cargo * SUM($M66:$P66),hatch * SUM( $S66:$V66), cargo * SUM($X66:$AA66), rocket23 * SUM($J66:$K66, $O66:$P66, $U66:$V66, $Z66:$AA66), IF($AD66 &gt; climbThreshold, climb), IF($AC66 &gt; assistThreshold, $AC66 * assist), $AH66 * penalty, dropHatch * $AI66, tippedBroke * SUM($AE66:$AF66),  IF( $E66 &lt; noAutoThreshold, noAuto), IF($C66 &lt; doesNothingThreshold, doesNothing, IF($AD66 &gt;1.45, 2) )), "h")</f>
        <v>-21</v>
      </c>
      <c r="AL66">
        <f>SUM(hHatch * SUM($H66:$K66), hHatch * SUM($S66:$V66), hRocket23 * SUM($J66:$K66), hRocket23 * SUM($U66:$V66), hSandstorm * SUM($H66:$K66), hPenalty * $AH66, hDropHatch * $AI66,hTippedBroke * SUM($AE66:$AF66), IF($E66 &lt; hNoAutoThreshold, hNoAuto), IF($AG66 &gt; hFloorHatchThreshold, hFloorHatch))</f>
        <v>-1.5</v>
      </c>
      <c r="AM66">
        <f>SUM(cCargo * SUM($M66:$P66), cCargo *SUM( $X66:$AA66), cRocket23 * SUM($O66:$P66, $Z66:$AA66),cSandstorm * SUM($M66:$P66), cPenalty * $AH66, cTippedBroke * SUM($AE66:$AF66), IF($E66 &lt; cNoAutoThreshold, cNoAuto, 0))</f>
        <v>-1</v>
      </c>
    </row>
    <row r="67" spans="1:39" ht="15.75" thickBot="1">
      <c r="A67">
        <v>5921</v>
      </c>
      <c r="B67" t="s">
        <v>489</v>
      </c>
      <c r="C67">
        <f>PRODUCT($E67,3)+PRODUCT(SUM($H67:$K67),2)+PRODUCT(SUM($M67:$P67),3)+PRODUCT(SUM($S67:$V67),2)+PRODUCT(SUM($X67:$AA67), 3)+IF($AC67 &gt; 2, PRODUCT(SUM($AC67, -1),6), PRODUCT($AC67,3)) + IF($AD67 &gt; 2, PRODUCT(SUM($AD67, -1),6), PRODUCT($AD67,3)) + PRODUCT($AH67, -1)</f>
        <v>0</v>
      </c>
      <c r="D67">
        <f>PRODUCT(SUM($H67:$I67), 2) + PRODUCT(SUM($M67:$N67),3) + PRODUCT(SUM($S67:$T67), 2) + PRODUCT(SUM($X67:$Y67), 3)</f>
        <v>0</v>
      </c>
      <c r="E67">
        <f>IF( COUNTIF('Raw Data'!$A$3:$A$2927,$A67)=0,0,SUMIF('Raw Data'!$A$3:$A$2927, $A67,'Raw Data'!D$3:D$2927) / COUNTIF('Raw Data'!$A$3:$A$2927,$A67))</f>
        <v>0</v>
      </c>
      <c r="F67">
        <f t="array" ref="F67">MAX(IF('Raw Data'!$A$3:$A$927=$A67, 'Raw Data'!$O$3:$O$927))</f>
        <v>0</v>
      </c>
      <c r="G67">
        <f t="array" ref="G67">MAX(IF('Raw Data'!$A$3:$A$927=$A67, 'Raw Data'!$I$3:$I$927))</f>
        <v>0</v>
      </c>
      <c r="H67">
        <f>IF( COUNTIF('Raw Data'!$A$3:$A$2927,$A67)=0,0,SUMIF('Raw Data'!$A$3:$A$2927, $A67,'Raw Data'!E$3:E$2927) / COUNTIF('Raw Data'!$A$3:$A$2927,$A67))</f>
        <v>0</v>
      </c>
      <c r="I67">
        <f>IF( COUNTIF('Raw Data'!$A$3:$A$2927,$A67)=0,0,SUMIF('Raw Data'!$A$3:$A$2927, $A67,'Raw Data'!F$3:F$2927) / COUNTIF('Raw Data'!$A$3:$A$2927,$A67))</f>
        <v>0</v>
      </c>
      <c r="J67">
        <f>IF( COUNTIF('Raw Data'!$A$3:$A$2927,$A67)=0,0,SUMIF('Raw Data'!$A$3:$A$2927, $A67,'Raw Data'!G$3:G$2927) / COUNTIF('Raw Data'!$A$3:$A$2927,$A67))</f>
        <v>0</v>
      </c>
      <c r="K67">
        <f>IF( COUNTIF('Raw Data'!$A$3:$A$2927,$A67)=0,0,SUMIF('Raw Data'!$A$3:$A$2927, $A67,'Raw Data'!H$3:H$2927) / COUNTIF('Raw Data'!$A$3:$A$2927,$A67))</f>
        <v>0</v>
      </c>
      <c r="L67">
        <f t="array" ref="L67">MAX(IF('Raw Data'!$A$3:$A$927=$A67, 'Raw Data'!$N$3:$N$927))</f>
        <v>0</v>
      </c>
      <c r="M67">
        <f>IF( COUNTIF('Raw Data'!$A$3:$A$2927,$A67)=0,0,SUMIF('Raw Data'!$A$3:$A$2927, $A67,'Raw Data'!J$3:J$2927) / COUNTIF('Raw Data'!$A$3:$A$2927,$A67))</f>
        <v>0</v>
      </c>
      <c r="N67">
        <f>IF( COUNTIF('Raw Data'!$A$3:$A$2927,$A67)=0,0,SUMIF('Raw Data'!$A$3:$A$2927, $A67,'Raw Data'!K$3:K$2927) / COUNTIF('Raw Data'!$A$3:$A$2927,$A67))</f>
        <v>0</v>
      </c>
      <c r="O67">
        <f>IF( COUNTIF('Raw Data'!$A$3:$A$2927,$A67)=0,0,SUMIF('Raw Data'!$A$3:$A$2927, $A67,'Raw Data'!L$3:L$2927) / COUNTIF('Raw Data'!$A$3:$A$2927,$A67))</f>
        <v>0</v>
      </c>
      <c r="P67" s="58">
        <f>IF( COUNTIF('Raw Data'!$A$3:$A$2927,$A67)=0,0,SUMIF('Raw Data'!$A$3:$A$2927, $A67,'Raw Data'!M$3:M$2927) / COUNTIF('Raw Data'!$A$3:$A$2927,$A67))</f>
        <v>0</v>
      </c>
      <c r="Q67">
        <f t="array" ref="Q67">MAX(IF('Raw Data'!$A$3:$A$927=$A67, 'Raw Data'!$Z$3:$Z$927))</f>
        <v>0</v>
      </c>
      <c r="R67">
        <f t="array" ref="R67">MAX(IF('Raw Data'!$A$3:$A$927=$A67, 'Raw Data'!$T$3:$T$927))</f>
        <v>0</v>
      </c>
      <c r="S67" s="118">
        <f>IF( COUNTIF('Raw Data'!$A$3:$A$2927,$A67)=0,0,SUMIF('Raw Data'!$A$3:$A$2927, $A67,'Raw Data'!P$3:P$2927) / COUNTIF('Raw Data'!$A$3:$A$2927,$A67))</f>
        <v>0</v>
      </c>
      <c r="T67">
        <f>IF( COUNTIF('Raw Data'!$A$3:$A$2927,$A67)=0,0,SUMIF('Raw Data'!$A$3:$A$2927, $A67,'Raw Data'!Q$3:Q$2927) / COUNTIF('Raw Data'!$A$3:$A$2927,$A67))</f>
        <v>0</v>
      </c>
      <c r="U67">
        <f>IF( COUNTIF('Raw Data'!$A$3:$A$2927,$A67)=0,0,SUMIF('Raw Data'!$A$3:$A$2927, $A67,'Raw Data'!R$3:R$2927) / COUNTIF('Raw Data'!$A$3:$A$2927,$A67))</f>
        <v>0</v>
      </c>
      <c r="V67">
        <f>IF( COUNTIF('Raw Data'!$A$3:$A$2927,$A67)=0,0,SUMIF('Raw Data'!$A$3:$A$2927, $A67,'Raw Data'!S$3:S$2927) / COUNTIF('Raw Data'!$A$3:$A$2927,$A67))</f>
        <v>0</v>
      </c>
      <c r="W67">
        <f t="array" ref="W67">MAX(IF('Raw Data'!$A$3:$A$927=$A67, 'Raw Data'!$Y$3:$Y$927))</f>
        <v>0</v>
      </c>
      <c r="X67">
        <f>IF( COUNTIF('Raw Data'!$A$3:$A$2927,$A67)=0,0,SUMIF('Raw Data'!$A$3:$A$2927, $A67,'Raw Data'!U$3:U$2927) / COUNTIF('Raw Data'!$A$3:$A$2927,$A67))</f>
        <v>0</v>
      </c>
      <c r="Y67">
        <f>IF( COUNTIF('Raw Data'!$A$3:$A$2927,$A67)=0,0,SUMIF('Raw Data'!$A$3:$A$2927, $A67,'Raw Data'!V$3:V$2927) / COUNTIF('Raw Data'!$A$3:$A$2927,$A67))</f>
        <v>0</v>
      </c>
      <c r="Z67">
        <f>IF( COUNTIF('Raw Data'!$A$3:$A$2927,$A67)=0,0,SUMIF('Raw Data'!$A$3:$A$2927, $A67,'Raw Data'!W$3:W$2927) / COUNTIF('Raw Data'!$A$3:$A$2927,$A67))</f>
        <v>0</v>
      </c>
      <c r="AA67">
        <f>IF( COUNTIF('Raw Data'!$A$3:$A$2927,$A67)=0,0,SUMIF('Raw Data'!$A$3:$A$2927, $A67,'Raw Data'!X$3:X$2927) / COUNTIF('Raw Data'!$A$3:$A$2927,$A67))</f>
        <v>0</v>
      </c>
      <c r="AB67">
        <f>IF( COUNTIF('Raw Data'!$A$3:$A$2927,$A67)=0,0,SUMIF('Raw Data'!$A$3:$A$2927, $A67,'Raw Data'!AA$3:AA$2927) / COUNTIF('Raw Data'!$A$3:$A$2927,$A67))</f>
        <v>0</v>
      </c>
      <c r="AC67">
        <f>IF( COUNTIF('Raw Data'!$A$3:$A$2927,$A67)=0,0,SUMIF('Raw Data'!$A$3:$A$2927, $A67,'Raw Data'!AB$3:AB$2927) / COUNTIF('Raw Data'!$A$3:$A$2927,$A67))</f>
        <v>0</v>
      </c>
      <c r="AD67">
        <f>IF( COUNTIF('Raw Data'!$A$3:$A$2927,$A67)=0,0,SUMIF('Raw Data'!$A$3:$A$2927, $A67,'Raw Data'!AC$3:AC$2927) / COUNTIF('Raw Data'!$A$3:$A$2927,$A67))</f>
        <v>0</v>
      </c>
      <c r="AE67" s="117">
        <f>IF( COUNTIF('Raw Data'!$A$3:$A$2927,$A67)=0,0,SUMIF('Raw Data'!$A$3:$A$2927, $A67,'Raw Data'!AD$3:AD$2927) / COUNTIF('Raw Data'!$A$3:$A$2927,$A67))</f>
        <v>0</v>
      </c>
      <c r="AF67">
        <f>IF( COUNTIF('Raw Data'!$A$3:$A$2927,$A67)=0,0,SUMIF('Raw Data'!$A$3:$A$2927, $A67,'Raw Data'!AE$3:AE$2927) / COUNTIF('Raw Data'!$A$3:$A$2927,$A67))</f>
        <v>0</v>
      </c>
      <c r="AG67">
        <f>IF( COUNTIF('Raw Data'!$A$3:$A$2927,$A67)=0,0,SUMIF('Raw Data'!$A$3:$A$2927, $A67,'Raw Data'!AF$3:AF$2927) / COUNTIF('Raw Data'!$A$3:$A$2927,$A67))</f>
        <v>0</v>
      </c>
      <c r="AH67">
        <f>IF( COUNTIF('Raw Data'!$A$3:$A$2927,$A67)=0,0,SUMIF('Raw Data'!$A$3:$A$2927, $A67,'Raw Data'!AG$3:AG$2927) / COUNTIF('Raw Data'!$A$3:$A$2927,$A67))</f>
        <v>0</v>
      </c>
      <c r="AI67">
        <f>IF( COUNTIF('Raw Data'!$A$3:$A$2927,$A67)=0,0,SUMIF('Raw Data'!$A$3:$A$2927, $A67,'Raw Data'!AH$3:AH$2927) / COUNTIF('Raw Data'!$A$3:$A$2927,$A67))</f>
        <v>0</v>
      </c>
      <c r="AJ67" s="116">
        <f>COUNTIF('Raw Data'!A$3:A$2927, $A67)</f>
        <v>0</v>
      </c>
      <c r="AK67">
        <f>IFERROR(SUM(IF($E67 &gt;autoThreshold, auto), hatch * SUM($H67:$K67), cargo * SUM($M67:$P67),hatch * SUM( $S67:$V67), cargo * SUM($X67:$AA67), rocket23 * SUM($J67:$K67, $O67:$P67, $U67:$V67, $Z67:$AA67), IF($AD67 &gt; climbThreshold, climb), IF($AC67 &gt; assistThreshold, $AC67 * assist), $AH67 * penalty, dropHatch * $AI67, tippedBroke * SUM($AE67:$AF67),  IF( $E67 &lt; noAutoThreshold, noAuto), IF($C67 &lt; doesNothingThreshold, doesNothing, IF($AD67 &gt;1.45, 2) )), "h")</f>
        <v>-21</v>
      </c>
      <c r="AL67">
        <f>SUM(hHatch * SUM($H67:$K67), hHatch * SUM($S67:$V67), hRocket23 * SUM($J67:$K67), hRocket23 * SUM($U67:$V67), hSandstorm * SUM($H67:$K67), hPenalty * $AH67, hDropHatch * $AI67,hTippedBroke * SUM($AE67:$AF67), IF($E67 &lt; hNoAutoThreshold, hNoAuto), IF($AG67 &gt; hFloorHatchThreshold, hFloorHatch))</f>
        <v>-1.5</v>
      </c>
      <c r="AM67">
        <f>SUM(cCargo * SUM($M67:$P67), cCargo *SUM( $X67:$AA67), cRocket23 * SUM($O67:$P67, $Z67:$AA67),cSandstorm * SUM($M67:$P67), cPenalty * $AH67, cTippedBroke * SUM($AE67:$AF67), IF($E67 &lt; cNoAutoThreshold, cNoAuto, 0))</f>
        <v>-1</v>
      </c>
    </row>
    <row r="68" spans="1:39" ht="15.75" thickBot="1">
      <c r="A68">
        <v>6070</v>
      </c>
      <c r="B68" t="s">
        <v>221</v>
      </c>
      <c r="C68">
        <f>PRODUCT($E68,3)+PRODUCT(SUM($H68:$K68),2)+PRODUCT(SUM($M68:$P68),3)+PRODUCT(SUM($S68:$V68),2)+PRODUCT(SUM($X68:$AA68), 3)+IF($AC68 &gt; 2, PRODUCT(SUM($AC68, -1),6), PRODUCT($AC68,3)) + IF($AD68 &gt; 2, PRODUCT(SUM($AD68, -1),6), PRODUCT($AD68,3)) + PRODUCT($AH68, -1)</f>
        <v>8.7272727272727266</v>
      </c>
      <c r="D68">
        <f>PRODUCT(SUM($H68:$I68), 2) + PRODUCT(SUM($M68:$N68),3) + PRODUCT(SUM($S68:$T68), 2) + PRODUCT(SUM($X68:$Y68), 3)</f>
        <v>3.6363636363636362</v>
      </c>
      <c r="E68">
        <f>IF( COUNTIF('Raw Data'!$A$3:$A$2927,$A68)=0,0,SUMIF('Raw Data'!$A$3:$A$2927, $A68,'Raw Data'!D$3:D$2927) / COUNTIF('Raw Data'!$A$3:$A$2927,$A68))</f>
        <v>1.3636363636363635</v>
      </c>
      <c r="F68">
        <f t="array" ref="F68">MAX(IF('Raw Data'!$A$3:$A$927=$A68, 'Raw Data'!$O$3:$O$927))</f>
        <v>1</v>
      </c>
      <c r="G68">
        <f t="array" ref="G68">MAX(IF('Raw Data'!$A$3:$A$927=$A68, 'Raw Data'!$I$3:$I$927))</f>
        <v>1</v>
      </c>
      <c r="H68">
        <f>IF( COUNTIF('Raw Data'!$A$3:$A$2927,$A68)=0,0,SUMIF('Raw Data'!$A$3:$A$2927, $A68,'Raw Data'!E$3:E$2927) / COUNTIF('Raw Data'!$A$3:$A$2927,$A68))</f>
        <v>0.27272727272727271</v>
      </c>
      <c r="I68">
        <f>IF( COUNTIF('Raw Data'!$A$3:$A$2927,$A68)=0,0,SUMIF('Raw Data'!$A$3:$A$2927, $A68,'Raw Data'!F$3:F$2927) / COUNTIF('Raw Data'!$A$3:$A$2927,$A68))</f>
        <v>0</v>
      </c>
      <c r="J68">
        <f>IF( COUNTIF('Raw Data'!$A$3:$A$2927,$A68)=0,0,SUMIF('Raw Data'!$A$3:$A$2927, $A68,'Raw Data'!G$3:G$2927) / COUNTIF('Raw Data'!$A$3:$A$2927,$A68))</f>
        <v>0</v>
      </c>
      <c r="K68">
        <f>IF( COUNTIF('Raw Data'!$A$3:$A$2927,$A68)=0,0,SUMIF('Raw Data'!$A$3:$A$2927, $A68,'Raw Data'!H$3:H$2927) / COUNTIF('Raw Data'!$A$3:$A$2927,$A68))</f>
        <v>0</v>
      </c>
      <c r="L68">
        <f t="array" ref="L68">MAX(IF('Raw Data'!$A$3:$A$927=$A68, 'Raw Data'!$N$3:$N$927))</f>
        <v>0</v>
      </c>
      <c r="M68">
        <f>IF( COUNTIF('Raw Data'!$A$3:$A$2927,$A68)=0,0,SUMIF('Raw Data'!$A$3:$A$2927, $A68,'Raw Data'!J$3:J$2927) / COUNTIF('Raw Data'!$A$3:$A$2927,$A68))</f>
        <v>0</v>
      </c>
      <c r="N68">
        <f>IF( COUNTIF('Raw Data'!$A$3:$A$2927,$A68)=0,0,SUMIF('Raw Data'!$A$3:$A$2927, $A68,'Raw Data'!K$3:K$2927) / COUNTIF('Raw Data'!$A$3:$A$2927,$A68))</f>
        <v>0</v>
      </c>
      <c r="O68">
        <f>IF( COUNTIF('Raw Data'!$A$3:$A$2927,$A68)=0,0,SUMIF('Raw Data'!$A$3:$A$2927, $A68,'Raw Data'!L$3:L$2927) / COUNTIF('Raw Data'!$A$3:$A$2927,$A68))</f>
        <v>0</v>
      </c>
      <c r="P68" s="58">
        <f>IF( COUNTIF('Raw Data'!$A$3:$A$2927,$A68)=0,0,SUMIF('Raw Data'!$A$3:$A$2927, $A68,'Raw Data'!M$3:M$2927) / COUNTIF('Raw Data'!$A$3:$A$2927,$A68))</f>
        <v>0</v>
      </c>
      <c r="Q68">
        <f t="array" ref="Q68">MAX(IF('Raw Data'!$A$3:$A$927=$A68, 'Raw Data'!$Z$3:$Z$927))</f>
        <v>4</v>
      </c>
      <c r="R68">
        <f t="array" ref="R68">MAX(IF('Raw Data'!$A$3:$A$927=$A68, 'Raw Data'!$T$3:$T$927))</f>
        <v>4</v>
      </c>
      <c r="S68" s="118">
        <f>IF( COUNTIF('Raw Data'!$A$3:$A$2927,$A68)=0,0,SUMIF('Raw Data'!$A$3:$A$2927, $A68,'Raw Data'!P$3:P$2927) / COUNTIF('Raw Data'!$A$3:$A$2927,$A68))</f>
        <v>0.54545454545454541</v>
      </c>
      <c r="T68">
        <f>IF( COUNTIF('Raw Data'!$A$3:$A$2927,$A68)=0,0,SUMIF('Raw Data'!$A$3:$A$2927, $A68,'Raw Data'!Q$3:Q$2927) / COUNTIF('Raw Data'!$A$3:$A$2927,$A68))</f>
        <v>1</v>
      </c>
      <c r="U68">
        <f>IF( COUNTIF('Raw Data'!$A$3:$A$2927,$A68)=0,0,SUMIF('Raw Data'!$A$3:$A$2927, $A68,'Raw Data'!R$3:R$2927) / COUNTIF('Raw Data'!$A$3:$A$2927,$A68))</f>
        <v>0.54545454545454541</v>
      </c>
      <c r="V68">
        <f>IF( COUNTIF('Raw Data'!$A$3:$A$2927,$A68)=0,0,SUMIF('Raw Data'!$A$3:$A$2927, $A68,'Raw Data'!S$3:S$2927) / COUNTIF('Raw Data'!$A$3:$A$2927,$A68))</f>
        <v>0</v>
      </c>
      <c r="W68">
        <f t="array" ref="W68">MAX(IF('Raw Data'!$A$3:$A$927=$A68, 'Raw Data'!$Y$3:$Y$927))</f>
        <v>0</v>
      </c>
      <c r="X68">
        <f>IF( COUNTIF('Raw Data'!$A$3:$A$2927,$A68)=0,0,SUMIF('Raw Data'!$A$3:$A$2927, $A68,'Raw Data'!U$3:U$2927) / COUNTIF('Raw Data'!$A$3:$A$2927,$A68))</f>
        <v>0</v>
      </c>
      <c r="Y68">
        <f>IF( COUNTIF('Raw Data'!$A$3:$A$2927,$A68)=0,0,SUMIF('Raw Data'!$A$3:$A$2927, $A68,'Raw Data'!V$3:V$2927) / COUNTIF('Raw Data'!$A$3:$A$2927,$A68))</f>
        <v>0</v>
      </c>
      <c r="Z68">
        <f>IF( COUNTIF('Raw Data'!$A$3:$A$2927,$A68)=0,0,SUMIF('Raw Data'!$A$3:$A$2927, $A68,'Raw Data'!W$3:W$2927) / COUNTIF('Raw Data'!$A$3:$A$2927,$A68))</f>
        <v>0</v>
      </c>
      <c r="AA68">
        <f>IF( COUNTIF('Raw Data'!$A$3:$A$2927,$A68)=0,0,SUMIF('Raw Data'!$A$3:$A$2927, $A68,'Raw Data'!X$3:X$2927) / COUNTIF('Raw Data'!$A$3:$A$2927,$A68))</f>
        <v>0</v>
      </c>
      <c r="AB68">
        <f>IF( COUNTIF('Raw Data'!$A$3:$A$2927,$A68)=0,0,SUMIF('Raw Data'!$A$3:$A$2927, $A68,'Raw Data'!AA$3:AA$2927) / COUNTIF('Raw Data'!$A$3:$A$2927,$A68))</f>
        <v>0.90909090909090906</v>
      </c>
      <c r="AC68">
        <f>IF( COUNTIF('Raw Data'!$A$3:$A$2927,$A68)=0,0,SUMIF('Raw Data'!$A$3:$A$2927, $A68,'Raw Data'!AB$3:AB$2927) / COUNTIF('Raw Data'!$A$3:$A$2927,$A68))</f>
        <v>0</v>
      </c>
      <c r="AD68">
        <f>IF( COUNTIF('Raw Data'!$A$3:$A$2927,$A68)=0,0,SUMIF('Raw Data'!$A$3:$A$2927, $A68,'Raw Data'!AC$3:AC$2927) / COUNTIF('Raw Data'!$A$3:$A$2927,$A68))</f>
        <v>0.72727272727272729</v>
      </c>
      <c r="AE68" s="117">
        <f>IF( COUNTIF('Raw Data'!$A$3:$A$2927,$A68)=0,0,SUMIF('Raw Data'!$A$3:$A$2927, $A68,'Raw Data'!AD$3:AD$2927) / COUNTIF('Raw Data'!$A$3:$A$2927,$A68))</f>
        <v>0</v>
      </c>
      <c r="AF68">
        <f>IF( COUNTIF('Raw Data'!$A$3:$A$2927,$A68)=0,0,SUMIF('Raw Data'!$A$3:$A$2927, $A68,'Raw Data'!AE$3:AE$2927) / COUNTIF('Raw Data'!$A$3:$A$2927,$A68))</f>
        <v>0.18181818181818182</v>
      </c>
      <c r="AG68">
        <f>IF( COUNTIF('Raw Data'!$A$3:$A$2927,$A68)=0,0,SUMIF('Raw Data'!$A$3:$A$2927, $A68,'Raw Data'!AF$3:AF$2927) / COUNTIF('Raw Data'!$A$3:$A$2927,$A68))</f>
        <v>0</v>
      </c>
      <c r="AH68">
        <f>IF( COUNTIF('Raw Data'!$A$3:$A$2927,$A68)=0,0,SUMIF('Raw Data'!$A$3:$A$2927, $A68,'Raw Data'!AG$3:AG$2927) / COUNTIF('Raw Data'!$A$3:$A$2927,$A68))</f>
        <v>2.2727272727272729</v>
      </c>
      <c r="AI68">
        <f>IF( COUNTIF('Raw Data'!$A$3:$A$2927,$A68)=0,0,SUMIF('Raw Data'!$A$3:$A$2927, $A68,'Raw Data'!AH$3:AH$2927) / COUNTIF('Raw Data'!$A$3:$A$2927,$A68))</f>
        <v>0.90909090909090906</v>
      </c>
      <c r="AJ68" s="116">
        <f>COUNTIF('Raw Data'!A$3:A$2927, $A68)</f>
        <v>11</v>
      </c>
      <c r="AK68">
        <f>IFERROR(SUM(IF($E68 &gt;autoThreshold, auto), hatch * SUM($H68:$K68), cargo * SUM($M68:$P68),hatch * SUM( $S68:$V68), cargo * SUM($X68:$AA68), rocket23 * SUM($J68:$K68, $O68:$P68, $U68:$V68, $Z68:$AA68), IF($AD68 &gt; climbThreshold, climb), IF($AC68 &gt; assistThreshold, $AC68 * assist), $AH68 * penalty, dropHatch * $AI68, tippedBroke * SUM($AE68:$AF68),  IF( $E68 &lt; noAutoThreshold, noAuto), IF($C68 &lt; doesNothingThreshold, doesNothing, IF($AD68 &gt;1.45, 2) )), "h")</f>
        <v>-0.68181818181818243</v>
      </c>
      <c r="AL68">
        <f>SUM(hHatch * SUM($H68:$K68), hHatch * SUM($S68:$V68), hRocket23 * SUM($J68:$K68), hRocket23 * SUM($U68:$V68), hSandstorm * SUM($H68:$K68), hPenalty * $AH68, hDropHatch * $AI68,hTippedBroke * SUM($AE68:$AF68), IF($E68 &lt; hNoAutoThreshold, hNoAuto), IF($AG68 &gt; hFloorHatchThreshold, hFloorHatch))</f>
        <v>-0.54545454545454619</v>
      </c>
      <c r="AM68">
        <f>SUM(cCargo * SUM($M68:$P68), cCargo *SUM( $X68:$AA68), cRocket23 * SUM($O68:$P68, $Z68:$AA68),cSandstorm * SUM($M68:$P68), cPenalty * $AH68, cTippedBroke * SUM($AE68:$AF68), IF($E68 &lt; cNoAutoThreshold, cNoAuto, 0))</f>
        <v>-1.1136363636363638</v>
      </c>
    </row>
    <row r="69" spans="1:39" ht="15.75" thickBot="1">
      <c r="A69">
        <v>6110</v>
      </c>
      <c r="B69" t="s">
        <v>222</v>
      </c>
      <c r="C69">
        <f>PRODUCT($E69,3)+PRODUCT(SUM($H69:$K69),2)+PRODUCT(SUM($M69:$P69),3)+PRODUCT(SUM($S69:$V69),2)+PRODUCT(SUM($X69:$AA69), 3)+IF($AC69 &gt; 2, PRODUCT(SUM($AC69, -1),6), PRODUCT($AC69,3)) + IF($AD69 &gt; 2, PRODUCT(SUM($AD69, -1),6), PRODUCT($AD69,3)) + PRODUCT($AH69, -1)</f>
        <v>11.700000000000001</v>
      </c>
      <c r="D69">
        <f>PRODUCT(SUM($H69:$I69), 2) + PRODUCT(SUM($M69:$N69),3) + PRODUCT(SUM($S69:$T69), 2) + PRODUCT(SUM($X69:$Y69), 3)</f>
        <v>8.8000000000000007</v>
      </c>
      <c r="E69">
        <f>IF( COUNTIF('Raw Data'!$A$3:$A$2927,$A69)=0,0,SUMIF('Raw Data'!$A$3:$A$2927, $A69,'Raw Data'!D$3:D$2927) / COUNTIF('Raw Data'!$A$3:$A$2927,$A69))</f>
        <v>1</v>
      </c>
      <c r="F69">
        <f t="array" ref="F69">MAX(IF('Raw Data'!$A$3:$A$927=$A69, 'Raw Data'!$O$3:$O$927))</f>
        <v>1</v>
      </c>
      <c r="G69">
        <f t="array" ref="G69">MAX(IF('Raw Data'!$A$3:$A$927=$A69, 'Raw Data'!$I$3:$I$927))</f>
        <v>1</v>
      </c>
      <c r="H69">
        <f>IF( COUNTIF('Raw Data'!$A$3:$A$2927,$A69)=0,0,SUMIF('Raw Data'!$A$3:$A$2927, $A69,'Raw Data'!E$3:E$2927) / COUNTIF('Raw Data'!$A$3:$A$2927,$A69))</f>
        <v>0.2</v>
      </c>
      <c r="I69">
        <f>IF( COUNTIF('Raw Data'!$A$3:$A$2927,$A69)=0,0,SUMIF('Raw Data'!$A$3:$A$2927, $A69,'Raw Data'!F$3:F$2927) / COUNTIF('Raw Data'!$A$3:$A$2927,$A69))</f>
        <v>0</v>
      </c>
      <c r="J69">
        <f>IF( COUNTIF('Raw Data'!$A$3:$A$2927,$A69)=0,0,SUMIF('Raw Data'!$A$3:$A$2927, $A69,'Raw Data'!G$3:G$2927) / COUNTIF('Raw Data'!$A$3:$A$2927,$A69))</f>
        <v>0</v>
      </c>
      <c r="K69">
        <f>IF( COUNTIF('Raw Data'!$A$3:$A$2927,$A69)=0,0,SUMIF('Raw Data'!$A$3:$A$2927, $A69,'Raw Data'!H$3:H$2927) / COUNTIF('Raw Data'!$A$3:$A$2927,$A69))</f>
        <v>0</v>
      </c>
      <c r="L69">
        <f t="array" ref="L69">MAX(IF('Raw Data'!$A$3:$A$927=$A69, 'Raw Data'!$N$3:$N$927))</f>
        <v>0</v>
      </c>
      <c r="M69">
        <f>IF( COUNTIF('Raw Data'!$A$3:$A$2927,$A69)=0,0,SUMIF('Raw Data'!$A$3:$A$2927, $A69,'Raw Data'!J$3:J$2927) / COUNTIF('Raw Data'!$A$3:$A$2927,$A69))</f>
        <v>0</v>
      </c>
      <c r="N69">
        <f>IF( COUNTIF('Raw Data'!$A$3:$A$2927,$A69)=0,0,SUMIF('Raw Data'!$A$3:$A$2927, $A69,'Raw Data'!K$3:K$2927) / COUNTIF('Raw Data'!$A$3:$A$2927,$A69))</f>
        <v>0</v>
      </c>
      <c r="O69">
        <f>IF( COUNTIF('Raw Data'!$A$3:$A$2927,$A69)=0,0,SUMIF('Raw Data'!$A$3:$A$2927, $A69,'Raw Data'!L$3:L$2927) / COUNTIF('Raw Data'!$A$3:$A$2927,$A69))</f>
        <v>0</v>
      </c>
      <c r="P69" s="58">
        <f>IF( COUNTIF('Raw Data'!$A$3:$A$2927,$A69)=0,0,SUMIF('Raw Data'!$A$3:$A$2927, $A69,'Raw Data'!M$3:M$2927) / COUNTIF('Raw Data'!$A$3:$A$2927,$A69))</f>
        <v>0</v>
      </c>
      <c r="Q69">
        <f t="array" ref="Q69">MAX(IF('Raw Data'!$A$3:$A$927=$A69, 'Raw Data'!$Z$3:$Z$927))</f>
        <v>5</v>
      </c>
      <c r="R69">
        <f t="array" ref="R69">MAX(IF('Raw Data'!$A$3:$A$927=$A69, 'Raw Data'!$T$3:$T$927))</f>
        <v>2</v>
      </c>
      <c r="S69" s="118">
        <f>IF( COUNTIF('Raw Data'!$A$3:$A$2927,$A69)=0,0,SUMIF('Raw Data'!$A$3:$A$2927, $A69,'Raw Data'!P$3:P$2927) / COUNTIF('Raw Data'!$A$3:$A$2927,$A69))</f>
        <v>1.2</v>
      </c>
      <c r="T69">
        <f>IF( COUNTIF('Raw Data'!$A$3:$A$2927,$A69)=0,0,SUMIF('Raw Data'!$A$3:$A$2927, $A69,'Raw Data'!Q$3:Q$2927) / COUNTIF('Raw Data'!$A$3:$A$2927,$A69))</f>
        <v>0</v>
      </c>
      <c r="U69">
        <f>IF( COUNTIF('Raw Data'!$A$3:$A$2927,$A69)=0,0,SUMIF('Raw Data'!$A$3:$A$2927, $A69,'Raw Data'!R$3:R$2927) / COUNTIF('Raw Data'!$A$3:$A$2927,$A69))</f>
        <v>0</v>
      </c>
      <c r="V69">
        <f>IF( COUNTIF('Raw Data'!$A$3:$A$2927,$A69)=0,0,SUMIF('Raw Data'!$A$3:$A$2927, $A69,'Raw Data'!S$3:S$2927) / COUNTIF('Raw Data'!$A$3:$A$2927,$A69))</f>
        <v>0</v>
      </c>
      <c r="W69">
        <f t="array" ref="W69">MAX(IF('Raw Data'!$A$3:$A$927=$A69, 'Raw Data'!$Y$3:$Y$927))</f>
        <v>4</v>
      </c>
      <c r="X69">
        <f>IF( COUNTIF('Raw Data'!$A$3:$A$2927,$A69)=0,0,SUMIF('Raw Data'!$A$3:$A$2927, $A69,'Raw Data'!U$3:U$2927) / COUNTIF('Raw Data'!$A$3:$A$2927,$A69))</f>
        <v>2</v>
      </c>
      <c r="Y69">
        <f>IF( COUNTIF('Raw Data'!$A$3:$A$2927,$A69)=0,0,SUMIF('Raw Data'!$A$3:$A$2927, $A69,'Raw Data'!V$3:V$2927) / COUNTIF('Raw Data'!$A$3:$A$2927,$A69))</f>
        <v>0</v>
      </c>
      <c r="Z69">
        <f>IF( COUNTIF('Raw Data'!$A$3:$A$2927,$A69)=0,0,SUMIF('Raw Data'!$A$3:$A$2927, $A69,'Raw Data'!W$3:W$2927) / COUNTIF('Raw Data'!$A$3:$A$2927,$A69))</f>
        <v>0</v>
      </c>
      <c r="AA69">
        <f>IF( COUNTIF('Raw Data'!$A$3:$A$2927,$A69)=0,0,SUMIF('Raw Data'!$A$3:$A$2927, $A69,'Raw Data'!X$3:X$2927) / COUNTIF('Raw Data'!$A$3:$A$2927,$A69))</f>
        <v>0</v>
      </c>
      <c r="AB69">
        <f>IF( COUNTIF('Raw Data'!$A$3:$A$2927,$A69)=0,0,SUMIF('Raw Data'!$A$3:$A$2927, $A69,'Raw Data'!AA$3:AA$2927) / COUNTIF('Raw Data'!$A$3:$A$2927,$A69))</f>
        <v>0</v>
      </c>
      <c r="AC69">
        <f>IF( COUNTIF('Raw Data'!$A$3:$A$2927,$A69)=0,0,SUMIF('Raw Data'!$A$3:$A$2927, $A69,'Raw Data'!AB$3:AB$2927) / COUNTIF('Raw Data'!$A$3:$A$2927,$A69))</f>
        <v>0</v>
      </c>
      <c r="AD69">
        <f>IF( COUNTIF('Raw Data'!$A$3:$A$2927,$A69)=0,0,SUMIF('Raw Data'!$A$3:$A$2927, $A69,'Raw Data'!AC$3:AC$2927) / COUNTIF('Raw Data'!$A$3:$A$2927,$A69))</f>
        <v>0.8</v>
      </c>
      <c r="AE69" s="117">
        <f>IF( COUNTIF('Raw Data'!$A$3:$A$2927,$A69)=0,0,SUMIF('Raw Data'!$A$3:$A$2927, $A69,'Raw Data'!AD$3:AD$2927) / COUNTIF('Raw Data'!$A$3:$A$2927,$A69))</f>
        <v>0</v>
      </c>
      <c r="AF69">
        <f>IF( COUNTIF('Raw Data'!$A$3:$A$2927,$A69)=0,0,SUMIF('Raw Data'!$A$3:$A$2927, $A69,'Raw Data'!AE$3:AE$2927) / COUNTIF('Raw Data'!$A$3:$A$2927,$A69))</f>
        <v>0.2</v>
      </c>
      <c r="AG69">
        <f>IF( COUNTIF('Raw Data'!$A$3:$A$2927,$A69)=0,0,SUMIF('Raw Data'!$A$3:$A$2927, $A69,'Raw Data'!AF$3:AF$2927) / COUNTIF('Raw Data'!$A$3:$A$2927,$A69))</f>
        <v>0</v>
      </c>
      <c r="AH69">
        <f>IF( COUNTIF('Raw Data'!$A$3:$A$2927,$A69)=0,0,SUMIF('Raw Data'!$A$3:$A$2927, $A69,'Raw Data'!AG$3:AG$2927) / COUNTIF('Raw Data'!$A$3:$A$2927,$A69))</f>
        <v>2.5</v>
      </c>
      <c r="AI69">
        <f>IF( COUNTIF('Raw Data'!$A$3:$A$2927,$A69)=0,0,SUMIF('Raw Data'!$A$3:$A$2927, $A69,'Raw Data'!AH$3:AH$2927) / COUNTIF('Raw Data'!$A$3:$A$2927,$A69))</f>
        <v>0.4</v>
      </c>
      <c r="AJ69" s="116">
        <f>COUNTIF('Raw Data'!A$3:A$2927, $A69)</f>
        <v>10</v>
      </c>
      <c r="AK69">
        <f>IFERROR(SUM(IF($E69 &gt;autoThreshold, auto), hatch * SUM($H69:$K69), cargo * SUM($M69:$P69),hatch * SUM( $S69:$V69), cargo * SUM($X69:$AA69), rocket23 * SUM($J69:$K69, $O69:$P69, $U69:$V69, $Z69:$AA69), IF($AD69 &gt; climbThreshold, climb), IF($AC69 &gt; assistThreshold, $AC69 * assist), $AH69 * penalty, dropHatch * $AI69, tippedBroke * SUM($AE69:$AF69),  IF( $E69 &lt; noAutoThreshold, noAuto), IF($C69 &lt; doesNothingThreshold, doesNothing, IF($AD69 &gt;1.45, 2) )), "h")</f>
        <v>0.26999999999999968</v>
      </c>
      <c r="AL69">
        <f>SUM(hHatch * SUM($H69:$K69), hHatch * SUM($S69:$V69), hRocket23 * SUM($J69:$K69), hRocket23 * SUM($U69:$V69), hSandstorm * SUM($H69:$K69), hPenalty * $AH69, hDropHatch * $AI69,hTippedBroke * SUM($AE69:$AF69), IF($E69 &lt; hNoAutoThreshold, hNoAuto), IF($AG69 &gt; hFloorHatchThreshold, hFloorHatch))</f>
        <v>-0.95000000000000007</v>
      </c>
      <c r="AM69">
        <f>SUM(cCargo * SUM($M69:$P69), cCargo *SUM( $X69:$AA69), cRocket23 * SUM($O69:$P69, $Z69:$AA69),cSandstorm * SUM($M69:$P69), cPenalty * $AH69, cTippedBroke * SUM($AE69:$AF69), IF($E69 &lt; cNoAutoThreshold, cNoAuto, 0))</f>
        <v>0.7749999999999998</v>
      </c>
    </row>
    <row r="70" spans="1:39" ht="15.75" thickBot="1">
      <c r="A70">
        <v>6130</v>
      </c>
      <c r="B70" t="s">
        <v>490</v>
      </c>
      <c r="C70">
        <f>PRODUCT($E70,3)+PRODUCT(SUM($H70:$K70),2)+PRODUCT(SUM($M70:$P70),3)+PRODUCT(SUM($S70:$V70),2)+PRODUCT(SUM($X70:$AA70), 3)+IF($AC70 &gt; 2, PRODUCT(SUM($AC70, -1),6), PRODUCT($AC70,3)) + IF($AD70 &gt; 2, PRODUCT(SUM($AD70, -1),6), PRODUCT($AD70,3)) + PRODUCT($AH70, -1)</f>
        <v>0</v>
      </c>
      <c r="D70">
        <f>PRODUCT(SUM($H70:$I70), 2) + PRODUCT(SUM($M70:$N70),3) + PRODUCT(SUM($S70:$T70), 2) + PRODUCT(SUM($X70:$Y70), 3)</f>
        <v>0</v>
      </c>
      <c r="E70">
        <f>IF( COUNTIF('Raw Data'!$A$3:$A$2927,$A70)=0,0,SUMIF('Raw Data'!$A$3:$A$2927, $A70,'Raw Data'!D$3:D$2927) / COUNTIF('Raw Data'!$A$3:$A$2927,$A70))</f>
        <v>0</v>
      </c>
      <c r="F70">
        <f t="array" ref="F70">MAX(IF('Raw Data'!$A$3:$A$927=$A70, 'Raw Data'!$O$3:$O$927))</f>
        <v>0</v>
      </c>
      <c r="G70">
        <f t="array" ref="G70">MAX(IF('Raw Data'!$A$3:$A$927=$A70, 'Raw Data'!$I$3:$I$927))</f>
        <v>0</v>
      </c>
      <c r="H70">
        <f>IF( COUNTIF('Raw Data'!$A$3:$A$2927,$A70)=0,0,SUMIF('Raw Data'!$A$3:$A$2927, $A70,'Raw Data'!E$3:E$2927) / COUNTIF('Raw Data'!$A$3:$A$2927,$A70))</f>
        <v>0</v>
      </c>
      <c r="I70">
        <f>IF( COUNTIF('Raw Data'!$A$3:$A$2927,$A70)=0,0,SUMIF('Raw Data'!$A$3:$A$2927, $A70,'Raw Data'!F$3:F$2927) / COUNTIF('Raw Data'!$A$3:$A$2927,$A70))</f>
        <v>0</v>
      </c>
      <c r="J70">
        <f>IF( COUNTIF('Raw Data'!$A$3:$A$2927,$A70)=0,0,SUMIF('Raw Data'!$A$3:$A$2927, $A70,'Raw Data'!G$3:G$2927) / COUNTIF('Raw Data'!$A$3:$A$2927,$A70))</f>
        <v>0</v>
      </c>
      <c r="K70">
        <f>IF( COUNTIF('Raw Data'!$A$3:$A$2927,$A70)=0,0,SUMIF('Raw Data'!$A$3:$A$2927, $A70,'Raw Data'!H$3:H$2927) / COUNTIF('Raw Data'!$A$3:$A$2927,$A70))</f>
        <v>0</v>
      </c>
      <c r="L70">
        <f t="array" ref="L70">MAX(IF('Raw Data'!$A$3:$A$927=$A70, 'Raw Data'!$N$3:$N$927))</f>
        <v>0</v>
      </c>
      <c r="M70">
        <f>IF( COUNTIF('Raw Data'!$A$3:$A$2927,$A70)=0,0,SUMIF('Raw Data'!$A$3:$A$2927, $A70,'Raw Data'!J$3:J$2927) / COUNTIF('Raw Data'!$A$3:$A$2927,$A70))</f>
        <v>0</v>
      </c>
      <c r="N70">
        <f>IF( COUNTIF('Raw Data'!$A$3:$A$2927,$A70)=0,0,SUMIF('Raw Data'!$A$3:$A$2927, $A70,'Raw Data'!K$3:K$2927) / COUNTIF('Raw Data'!$A$3:$A$2927,$A70))</f>
        <v>0</v>
      </c>
      <c r="O70">
        <f>IF( COUNTIF('Raw Data'!$A$3:$A$2927,$A70)=0,0,SUMIF('Raw Data'!$A$3:$A$2927, $A70,'Raw Data'!L$3:L$2927) / COUNTIF('Raw Data'!$A$3:$A$2927,$A70))</f>
        <v>0</v>
      </c>
      <c r="P70" s="58">
        <f>IF( COUNTIF('Raw Data'!$A$3:$A$2927,$A70)=0,0,SUMIF('Raw Data'!$A$3:$A$2927, $A70,'Raw Data'!M$3:M$2927) / COUNTIF('Raw Data'!$A$3:$A$2927,$A70))</f>
        <v>0</v>
      </c>
      <c r="Q70">
        <f t="array" ref="Q70">MAX(IF('Raw Data'!$A$3:$A$927=$A70, 'Raw Data'!$Z$3:$Z$927))</f>
        <v>0</v>
      </c>
      <c r="R70">
        <f t="array" ref="R70">MAX(IF('Raw Data'!$A$3:$A$927=$A70, 'Raw Data'!$T$3:$T$927))</f>
        <v>0</v>
      </c>
      <c r="S70" s="118">
        <f>IF( COUNTIF('Raw Data'!$A$3:$A$2927,$A70)=0,0,SUMIF('Raw Data'!$A$3:$A$2927, $A70,'Raw Data'!P$3:P$2927) / COUNTIF('Raw Data'!$A$3:$A$2927,$A70))</f>
        <v>0</v>
      </c>
      <c r="T70">
        <f>IF( COUNTIF('Raw Data'!$A$3:$A$2927,$A70)=0,0,SUMIF('Raw Data'!$A$3:$A$2927, $A70,'Raw Data'!Q$3:Q$2927) / COUNTIF('Raw Data'!$A$3:$A$2927,$A70))</f>
        <v>0</v>
      </c>
      <c r="U70">
        <f>IF( COUNTIF('Raw Data'!$A$3:$A$2927,$A70)=0,0,SUMIF('Raw Data'!$A$3:$A$2927, $A70,'Raw Data'!R$3:R$2927) / COUNTIF('Raw Data'!$A$3:$A$2927,$A70))</f>
        <v>0</v>
      </c>
      <c r="V70">
        <f>IF( COUNTIF('Raw Data'!$A$3:$A$2927,$A70)=0,0,SUMIF('Raw Data'!$A$3:$A$2927, $A70,'Raw Data'!S$3:S$2927) / COUNTIF('Raw Data'!$A$3:$A$2927,$A70))</f>
        <v>0</v>
      </c>
      <c r="W70">
        <f t="array" ref="W70">MAX(IF('Raw Data'!$A$3:$A$927=$A70, 'Raw Data'!$Y$3:$Y$927))</f>
        <v>0</v>
      </c>
      <c r="X70">
        <f>IF( COUNTIF('Raw Data'!$A$3:$A$2927,$A70)=0,0,SUMIF('Raw Data'!$A$3:$A$2927, $A70,'Raw Data'!U$3:U$2927) / COUNTIF('Raw Data'!$A$3:$A$2927,$A70))</f>
        <v>0</v>
      </c>
      <c r="Y70">
        <f>IF( COUNTIF('Raw Data'!$A$3:$A$2927,$A70)=0,0,SUMIF('Raw Data'!$A$3:$A$2927, $A70,'Raw Data'!V$3:V$2927) / COUNTIF('Raw Data'!$A$3:$A$2927,$A70))</f>
        <v>0</v>
      </c>
      <c r="Z70">
        <f>IF( COUNTIF('Raw Data'!$A$3:$A$2927,$A70)=0,0,SUMIF('Raw Data'!$A$3:$A$2927, $A70,'Raw Data'!W$3:W$2927) / COUNTIF('Raw Data'!$A$3:$A$2927,$A70))</f>
        <v>0</v>
      </c>
      <c r="AA70">
        <f>IF( COUNTIF('Raw Data'!$A$3:$A$2927,$A70)=0,0,SUMIF('Raw Data'!$A$3:$A$2927, $A70,'Raw Data'!X$3:X$2927) / COUNTIF('Raw Data'!$A$3:$A$2927,$A70))</f>
        <v>0</v>
      </c>
      <c r="AB70">
        <f>IF( COUNTIF('Raw Data'!$A$3:$A$2927,$A70)=0,0,SUMIF('Raw Data'!$A$3:$A$2927, $A70,'Raw Data'!AA$3:AA$2927) / COUNTIF('Raw Data'!$A$3:$A$2927,$A70))</f>
        <v>0</v>
      </c>
      <c r="AC70">
        <f>IF( COUNTIF('Raw Data'!$A$3:$A$2927,$A70)=0,0,SUMIF('Raw Data'!$A$3:$A$2927, $A70,'Raw Data'!AB$3:AB$2927) / COUNTIF('Raw Data'!$A$3:$A$2927,$A70))</f>
        <v>0</v>
      </c>
      <c r="AD70">
        <f>IF( COUNTIF('Raw Data'!$A$3:$A$2927,$A70)=0,0,SUMIF('Raw Data'!$A$3:$A$2927, $A70,'Raw Data'!AC$3:AC$2927) / COUNTIF('Raw Data'!$A$3:$A$2927,$A70))</f>
        <v>0</v>
      </c>
      <c r="AE70" s="117">
        <f>IF( COUNTIF('Raw Data'!$A$3:$A$2927,$A70)=0,0,SUMIF('Raw Data'!$A$3:$A$2927, $A70,'Raw Data'!AD$3:AD$2927) / COUNTIF('Raw Data'!$A$3:$A$2927,$A70))</f>
        <v>0</v>
      </c>
      <c r="AF70">
        <f>IF( COUNTIF('Raw Data'!$A$3:$A$2927,$A70)=0,0,SUMIF('Raw Data'!$A$3:$A$2927, $A70,'Raw Data'!AE$3:AE$2927) / COUNTIF('Raw Data'!$A$3:$A$2927,$A70))</f>
        <v>0</v>
      </c>
      <c r="AG70">
        <f>IF( COUNTIF('Raw Data'!$A$3:$A$2927,$A70)=0,0,SUMIF('Raw Data'!$A$3:$A$2927, $A70,'Raw Data'!AF$3:AF$2927) / COUNTIF('Raw Data'!$A$3:$A$2927,$A70))</f>
        <v>0</v>
      </c>
      <c r="AH70">
        <f>IF( COUNTIF('Raw Data'!$A$3:$A$2927,$A70)=0,0,SUMIF('Raw Data'!$A$3:$A$2927, $A70,'Raw Data'!AG$3:AG$2927) / COUNTIF('Raw Data'!$A$3:$A$2927,$A70))</f>
        <v>0</v>
      </c>
      <c r="AI70">
        <f>IF( COUNTIF('Raw Data'!$A$3:$A$2927,$A70)=0,0,SUMIF('Raw Data'!$A$3:$A$2927, $A70,'Raw Data'!AH$3:AH$2927) / COUNTIF('Raw Data'!$A$3:$A$2927,$A70))</f>
        <v>0</v>
      </c>
      <c r="AJ70" s="116">
        <f>COUNTIF('Raw Data'!A$3:A$2927, $A70)</f>
        <v>0</v>
      </c>
      <c r="AK70">
        <f>IFERROR(SUM(IF($E70 &gt;autoThreshold, auto), hatch * SUM($H70:$K70), cargo * SUM($M70:$P70),hatch * SUM( $S70:$V70), cargo * SUM($X70:$AA70), rocket23 * SUM($J70:$K70, $O70:$P70, $U70:$V70, $Z70:$AA70), IF($AD70 &gt; climbThreshold, climb), IF($AC70 &gt; assistThreshold, $AC70 * assist), $AH70 * penalty, dropHatch * $AI70, tippedBroke * SUM($AE70:$AF70),  IF( $E70 &lt; noAutoThreshold, noAuto), IF($C70 &lt; doesNothingThreshold, doesNothing, IF($AD70 &gt;1.45, 2) )), "h")</f>
        <v>-21</v>
      </c>
      <c r="AL70">
        <f>SUM(hHatch * SUM($H70:$K70), hHatch * SUM($S70:$V70), hRocket23 * SUM($J70:$K70), hRocket23 * SUM($U70:$V70), hSandstorm * SUM($H70:$K70), hPenalty * $AH70, hDropHatch * $AI70,hTippedBroke * SUM($AE70:$AF70), IF($E70 &lt; hNoAutoThreshold, hNoAuto), IF($AG70 &gt; hFloorHatchThreshold, hFloorHatch))</f>
        <v>-1.5</v>
      </c>
      <c r="AM70">
        <f>SUM(cCargo * SUM($M70:$P70), cCargo *SUM( $X70:$AA70), cRocket23 * SUM($O70:$P70, $Z70:$AA70),cSandstorm * SUM($M70:$P70), cPenalty * $AH70, cTippedBroke * SUM($AE70:$AF70), IF($E70 &lt; cNoAutoThreshold, cNoAuto, 0))</f>
        <v>-1</v>
      </c>
    </row>
    <row r="71" spans="1:39" ht="15.75" thickBot="1">
      <c r="A71">
        <v>6135</v>
      </c>
      <c r="B71" t="s">
        <v>223</v>
      </c>
      <c r="C71">
        <f>PRODUCT($E71,3)+PRODUCT(SUM($H71:$K71),2)+PRODUCT(SUM($M71:$P71),3)+PRODUCT(SUM($S71:$V71),2)+PRODUCT(SUM($X71:$AA71), 3)+IF($AC71 &gt; 2, PRODUCT(SUM($AC71, -1),6), PRODUCT($AC71,3)) + IF($AD71 &gt; 2, PRODUCT(SUM($AD71, -1),6), PRODUCT($AD71,3)) + PRODUCT($AH71, -1)</f>
        <v>18.666666666666664</v>
      </c>
      <c r="D71">
        <f>PRODUCT(SUM($H71:$I71), 2) + PRODUCT(SUM($M71:$N71),3) + PRODUCT(SUM($S71:$T71), 2) + PRODUCT(SUM($X71:$Y71), 3)</f>
        <v>10.666666666666668</v>
      </c>
      <c r="E71">
        <f>IF( COUNTIF('Raw Data'!$A$3:$A$2927,$A71)=0,0,SUMIF('Raw Data'!$A$3:$A$2927, $A71,'Raw Data'!D$3:D$2927) / COUNTIF('Raw Data'!$A$3:$A$2927,$A71))</f>
        <v>1.7777777777777777</v>
      </c>
      <c r="F71">
        <f t="array" ref="F71">MAX(IF('Raw Data'!$A$3:$A$927=$A71, 'Raw Data'!$O$3:$O$927))</f>
        <v>1</v>
      </c>
      <c r="G71">
        <f t="array" ref="G71">MAX(IF('Raw Data'!$A$3:$A$927=$A71, 'Raw Data'!$I$3:$I$927))</f>
        <v>1</v>
      </c>
      <c r="H71">
        <f>IF( COUNTIF('Raw Data'!$A$3:$A$2927,$A71)=0,0,SUMIF('Raw Data'!$A$3:$A$2927, $A71,'Raw Data'!E$3:E$2927) / COUNTIF('Raw Data'!$A$3:$A$2927,$A71))</f>
        <v>0.1111111111111111</v>
      </c>
      <c r="I71">
        <f>IF( COUNTIF('Raw Data'!$A$3:$A$2927,$A71)=0,0,SUMIF('Raw Data'!$A$3:$A$2927, $A71,'Raw Data'!F$3:F$2927) / COUNTIF('Raw Data'!$A$3:$A$2927,$A71))</f>
        <v>0.1111111111111111</v>
      </c>
      <c r="J71">
        <f>IF( COUNTIF('Raw Data'!$A$3:$A$2927,$A71)=0,0,SUMIF('Raw Data'!$A$3:$A$2927, $A71,'Raw Data'!G$3:G$2927) / COUNTIF('Raw Data'!$A$3:$A$2927,$A71))</f>
        <v>0</v>
      </c>
      <c r="K71">
        <f>IF( COUNTIF('Raw Data'!$A$3:$A$2927,$A71)=0,0,SUMIF('Raw Data'!$A$3:$A$2927, $A71,'Raw Data'!H$3:H$2927) / COUNTIF('Raw Data'!$A$3:$A$2927,$A71))</f>
        <v>0</v>
      </c>
      <c r="L71">
        <f t="array" ref="L71">MAX(IF('Raw Data'!$A$3:$A$927=$A71, 'Raw Data'!$N$3:$N$927))</f>
        <v>0</v>
      </c>
      <c r="M71">
        <f>IF( COUNTIF('Raw Data'!$A$3:$A$2927,$A71)=0,0,SUMIF('Raw Data'!$A$3:$A$2927, $A71,'Raw Data'!J$3:J$2927) / COUNTIF('Raw Data'!$A$3:$A$2927,$A71))</f>
        <v>0</v>
      </c>
      <c r="N71">
        <f>IF( COUNTIF('Raw Data'!$A$3:$A$2927,$A71)=0,0,SUMIF('Raw Data'!$A$3:$A$2927, $A71,'Raw Data'!K$3:K$2927) / COUNTIF('Raw Data'!$A$3:$A$2927,$A71))</f>
        <v>0</v>
      </c>
      <c r="O71">
        <f>IF( COUNTIF('Raw Data'!$A$3:$A$2927,$A71)=0,0,SUMIF('Raw Data'!$A$3:$A$2927, $A71,'Raw Data'!L$3:L$2927) / COUNTIF('Raw Data'!$A$3:$A$2927,$A71))</f>
        <v>0</v>
      </c>
      <c r="P71" s="58">
        <f>IF( COUNTIF('Raw Data'!$A$3:$A$2927,$A71)=0,0,SUMIF('Raw Data'!$A$3:$A$2927, $A71,'Raw Data'!M$3:M$2927) / COUNTIF('Raw Data'!$A$3:$A$2927,$A71))</f>
        <v>0</v>
      </c>
      <c r="Q71">
        <f t="array" ref="Q71">MAX(IF('Raw Data'!$A$3:$A$927=$A71, 'Raw Data'!$Z$3:$Z$927))</f>
        <v>6</v>
      </c>
      <c r="R71">
        <f t="array" ref="R71">MAX(IF('Raw Data'!$A$3:$A$927=$A71, 'Raw Data'!$T$3:$T$927))</f>
        <v>3</v>
      </c>
      <c r="S71" s="118">
        <f>IF( COUNTIF('Raw Data'!$A$3:$A$2927,$A71)=0,0,SUMIF('Raw Data'!$A$3:$A$2927, $A71,'Raw Data'!P$3:P$2927) / COUNTIF('Raw Data'!$A$3:$A$2927,$A71))</f>
        <v>0.66666666666666663</v>
      </c>
      <c r="T71">
        <f>IF( COUNTIF('Raw Data'!$A$3:$A$2927,$A71)=0,0,SUMIF('Raw Data'!$A$3:$A$2927, $A71,'Raw Data'!Q$3:Q$2927) / COUNTIF('Raw Data'!$A$3:$A$2927,$A71))</f>
        <v>0.77777777777777779</v>
      </c>
      <c r="U71">
        <f>IF( COUNTIF('Raw Data'!$A$3:$A$2927,$A71)=0,0,SUMIF('Raw Data'!$A$3:$A$2927, $A71,'Raw Data'!R$3:R$2927) / COUNTIF('Raw Data'!$A$3:$A$2927,$A71))</f>
        <v>0</v>
      </c>
      <c r="V71">
        <f>IF( COUNTIF('Raw Data'!$A$3:$A$2927,$A71)=0,0,SUMIF('Raw Data'!$A$3:$A$2927, $A71,'Raw Data'!S$3:S$2927) / COUNTIF('Raw Data'!$A$3:$A$2927,$A71))</f>
        <v>0</v>
      </c>
      <c r="W71">
        <f t="array" ref="W71">MAX(IF('Raw Data'!$A$3:$A$927=$A71, 'Raw Data'!$Y$3:$Y$927))</f>
        <v>4</v>
      </c>
      <c r="X71">
        <f>IF( COUNTIF('Raw Data'!$A$3:$A$2927,$A71)=0,0,SUMIF('Raw Data'!$A$3:$A$2927, $A71,'Raw Data'!U$3:U$2927) / COUNTIF('Raw Data'!$A$3:$A$2927,$A71))</f>
        <v>2.1111111111111112</v>
      </c>
      <c r="Y71">
        <f>IF( COUNTIF('Raw Data'!$A$3:$A$2927,$A71)=0,0,SUMIF('Raw Data'!$A$3:$A$2927, $A71,'Raw Data'!V$3:V$2927) / COUNTIF('Raw Data'!$A$3:$A$2927,$A71))</f>
        <v>0.33333333333333331</v>
      </c>
      <c r="Z71">
        <f>IF( COUNTIF('Raw Data'!$A$3:$A$2927,$A71)=0,0,SUMIF('Raw Data'!$A$3:$A$2927, $A71,'Raw Data'!W$3:W$2927) / COUNTIF('Raw Data'!$A$3:$A$2927,$A71))</f>
        <v>0</v>
      </c>
      <c r="AA71">
        <f>IF( COUNTIF('Raw Data'!$A$3:$A$2927,$A71)=0,0,SUMIF('Raw Data'!$A$3:$A$2927, $A71,'Raw Data'!X$3:X$2927) / COUNTIF('Raw Data'!$A$3:$A$2927,$A71))</f>
        <v>0</v>
      </c>
      <c r="AB71">
        <f>IF( COUNTIF('Raw Data'!$A$3:$A$2927,$A71)=0,0,SUMIF('Raw Data'!$A$3:$A$2927, $A71,'Raw Data'!AA$3:AA$2927) / COUNTIF('Raw Data'!$A$3:$A$2927,$A71))</f>
        <v>6.8888888888888893</v>
      </c>
      <c r="AC71">
        <f>IF( COUNTIF('Raw Data'!$A$3:$A$2927,$A71)=0,0,SUMIF('Raw Data'!$A$3:$A$2927, $A71,'Raw Data'!AB$3:AB$2927) / COUNTIF('Raw Data'!$A$3:$A$2927,$A71))</f>
        <v>0</v>
      </c>
      <c r="AD71">
        <f>IF( COUNTIF('Raw Data'!$A$3:$A$2927,$A71)=0,0,SUMIF('Raw Data'!$A$3:$A$2927, $A71,'Raw Data'!AC$3:AC$2927) / COUNTIF('Raw Data'!$A$3:$A$2927,$A71))</f>
        <v>1.1111111111111112</v>
      </c>
      <c r="AE71" s="117">
        <f>IF( COUNTIF('Raw Data'!$A$3:$A$2927,$A71)=0,0,SUMIF('Raw Data'!$A$3:$A$2927, $A71,'Raw Data'!AD$3:AD$2927) / COUNTIF('Raw Data'!$A$3:$A$2927,$A71))</f>
        <v>0</v>
      </c>
      <c r="AF71">
        <f>IF( COUNTIF('Raw Data'!$A$3:$A$2927,$A71)=0,0,SUMIF('Raw Data'!$A$3:$A$2927, $A71,'Raw Data'!AE$3:AE$2927) / COUNTIF('Raw Data'!$A$3:$A$2927,$A71))</f>
        <v>0</v>
      </c>
      <c r="AG71">
        <f>IF( COUNTIF('Raw Data'!$A$3:$A$2927,$A71)=0,0,SUMIF('Raw Data'!$A$3:$A$2927, $A71,'Raw Data'!AF$3:AF$2927) / COUNTIF('Raw Data'!$A$3:$A$2927,$A71))</f>
        <v>0</v>
      </c>
      <c r="AH71">
        <f>IF( COUNTIF('Raw Data'!$A$3:$A$2927,$A71)=0,0,SUMIF('Raw Data'!$A$3:$A$2927, $A71,'Raw Data'!AG$3:AG$2927) / COUNTIF('Raw Data'!$A$3:$A$2927,$A71))</f>
        <v>0.66666666666666663</v>
      </c>
      <c r="AI71">
        <f>IF( COUNTIF('Raw Data'!$A$3:$A$2927,$A71)=0,0,SUMIF('Raw Data'!$A$3:$A$2927, $A71,'Raw Data'!AH$3:AH$2927) / COUNTIF('Raw Data'!$A$3:$A$2927,$A71))</f>
        <v>0.22222222222222221</v>
      </c>
      <c r="AJ71" s="116">
        <f>COUNTIF('Raw Data'!A$3:A$2927, $A71)</f>
        <v>9</v>
      </c>
      <c r="AK71">
        <f>IFERROR(SUM(IF($E71 &gt;autoThreshold, auto), hatch * SUM($H71:$K71), cargo * SUM($M71:$P71),hatch * SUM( $S71:$V71), cargo * SUM($X71:$AA71), rocket23 * SUM($J71:$K71, $O71:$P71, $U71:$V71, $Z71:$AA71), IF($AD71 &gt; climbThreshold, climb), IF($AC71 &gt; assistThreshold, $AC71 * assist), $AH71 * penalty, dropHatch * $AI71, tippedBroke * SUM($AE71:$AF71),  IF( $E71 &lt; noAutoThreshold, noAuto), IF($C71 &lt; doesNothingThreshold, doesNothing, IF($AD71 &gt;1.45, 2) )), "h")</f>
        <v>3.5022222222222226</v>
      </c>
      <c r="AL71">
        <f>SUM(hHatch * SUM($H71:$K71), hHatch * SUM($S71:$V71), hRocket23 * SUM($J71:$K71), hRocket23 * SUM($U71:$V71), hSandstorm * SUM($H71:$K71), hPenalty * $AH71, hDropHatch * $AI71,hTippedBroke * SUM($AE71:$AF71), IF($E71 &lt; hNoAutoThreshold, hNoAuto), IF($AG71 &gt; hFloorHatchThreshold, hFloorHatch))</f>
        <v>1</v>
      </c>
      <c r="AM71">
        <f>SUM(cCargo * SUM($M71:$P71), cCargo *SUM( $X71:$AA71), cRocket23 * SUM($O71:$P71, $Z71:$AA71),cSandstorm * SUM($M71:$P71), cPenalty * $AH71, cTippedBroke * SUM($AE71:$AF71), IF($E71 &lt; cNoAutoThreshold, cNoAuto, 0))</f>
        <v>2.2244444444444444</v>
      </c>
    </row>
    <row r="72" spans="1:39" ht="15.75" thickBot="1">
      <c r="A72">
        <v>6140</v>
      </c>
      <c r="B72" t="s">
        <v>491</v>
      </c>
      <c r="C72">
        <f>PRODUCT($E72,3)+PRODUCT(SUM($H72:$K72),2)+PRODUCT(SUM($M72:$P72),3)+PRODUCT(SUM($S72:$V72),2)+PRODUCT(SUM($X72:$AA72), 3)+IF($AC72 &gt; 2, PRODUCT(SUM($AC72, -1),6), PRODUCT($AC72,3)) + IF($AD72 &gt; 2, PRODUCT(SUM($AD72, -1),6), PRODUCT($AD72,3)) + PRODUCT($AH72, -1)</f>
        <v>0</v>
      </c>
      <c r="D72">
        <f>PRODUCT(SUM($H72:$I72), 2) + PRODUCT(SUM($M72:$N72),3) + PRODUCT(SUM($S72:$T72), 2) + PRODUCT(SUM($X72:$Y72), 3)</f>
        <v>0</v>
      </c>
      <c r="E72">
        <f>IF( COUNTIF('Raw Data'!$A$3:$A$2927,$A72)=0,0,SUMIF('Raw Data'!$A$3:$A$2927, $A72,'Raw Data'!D$3:D$2927) / COUNTIF('Raw Data'!$A$3:$A$2927,$A72))</f>
        <v>0</v>
      </c>
      <c r="F72">
        <f t="array" ref="F72">MAX(IF('Raw Data'!$A$3:$A$927=$A72, 'Raw Data'!$O$3:$O$927))</f>
        <v>0</v>
      </c>
      <c r="G72">
        <f t="array" ref="G72">MAX(IF('Raw Data'!$A$3:$A$927=$A72, 'Raw Data'!$I$3:$I$927))</f>
        <v>0</v>
      </c>
      <c r="H72">
        <f>IF( COUNTIF('Raw Data'!$A$3:$A$2927,$A72)=0,0,SUMIF('Raw Data'!$A$3:$A$2927, $A72,'Raw Data'!E$3:E$2927) / COUNTIF('Raw Data'!$A$3:$A$2927,$A72))</f>
        <v>0</v>
      </c>
      <c r="I72">
        <f>IF( COUNTIF('Raw Data'!$A$3:$A$2927,$A72)=0,0,SUMIF('Raw Data'!$A$3:$A$2927, $A72,'Raw Data'!F$3:F$2927) / COUNTIF('Raw Data'!$A$3:$A$2927,$A72))</f>
        <v>0</v>
      </c>
      <c r="J72">
        <f>IF( COUNTIF('Raw Data'!$A$3:$A$2927,$A72)=0,0,SUMIF('Raw Data'!$A$3:$A$2927, $A72,'Raw Data'!G$3:G$2927) / COUNTIF('Raw Data'!$A$3:$A$2927,$A72))</f>
        <v>0</v>
      </c>
      <c r="K72">
        <f>IF( COUNTIF('Raw Data'!$A$3:$A$2927,$A72)=0,0,SUMIF('Raw Data'!$A$3:$A$2927, $A72,'Raw Data'!H$3:H$2927) / COUNTIF('Raw Data'!$A$3:$A$2927,$A72))</f>
        <v>0</v>
      </c>
      <c r="L72">
        <f t="array" ref="L72">MAX(IF('Raw Data'!$A$3:$A$927=$A72, 'Raw Data'!$N$3:$N$927))</f>
        <v>0</v>
      </c>
      <c r="M72">
        <f>IF( COUNTIF('Raw Data'!$A$3:$A$2927,$A72)=0,0,SUMIF('Raw Data'!$A$3:$A$2927, $A72,'Raw Data'!J$3:J$2927) / COUNTIF('Raw Data'!$A$3:$A$2927,$A72))</f>
        <v>0</v>
      </c>
      <c r="N72">
        <f>IF( COUNTIF('Raw Data'!$A$3:$A$2927,$A72)=0,0,SUMIF('Raw Data'!$A$3:$A$2927, $A72,'Raw Data'!K$3:K$2927) / COUNTIF('Raw Data'!$A$3:$A$2927,$A72))</f>
        <v>0</v>
      </c>
      <c r="O72">
        <f>IF( COUNTIF('Raw Data'!$A$3:$A$2927,$A72)=0,0,SUMIF('Raw Data'!$A$3:$A$2927, $A72,'Raw Data'!L$3:L$2927) / COUNTIF('Raw Data'!$A$3:$A$2927,$A72))</f>
        <v>0</v>
      </c>
      <c r="P72" s="58">
        <f>IF( COUNTIF('Raw Data'!$A$3:$A$2927,$A72)=0,0,SUMIF('Raw Data'!$A$3:$A$2927, $A72,'Raw Data'!M$3:M$2927) / COUNTIF('Raw Data'!$A$3:$A$2927,$A72))</f>
        <v>0</v>
      </c>
      <c r="Q72">
        <f t="array" ref="Q72">MAX(IF('Raw Data'!$A$3:$A$927=$A72, 'Raw Data'!$Z$3:$Z$927))</f>
        <v>0</v>
      </c>
      <c r="R72">
        <f t="array" ref="R72">MAX(IF('Raw Data'!$A$3:$A$927=$A72, 'Raw Data'!$T$3:$T$927))</f>
        <v>0</v>
      </c>
      <c r="S72" s="118">
        <f>IF( COUNTIF('Raw Data'!$A$3:$A$2927,$A72)=0,0,SUMIF('Raw Data'!$A$3:$A$2927, $A72,'Raw Data'!P$3:P$2927) / COUNTIF('Raw Data'!$A$3:$A$2927,$A72))</f>
        <v>0</v>
      </c>
      <c r="T72">
        <f>IF( COUNTIF('Raw Data'!$A$3:$A$2927,$A72)=0,0,SUMIF('Raw Data'!$A$3:$A$2927, $A72,'Raw Data'!Q$3:Q$2927) / COUNTIF('Raw Data'!$A$3:$A$2927,$A72))</f>
        <v>0</v>
      </c>
      <c r="U72">
        <f>IF( COUNTIF('Raw Data'!$A$3:$A$2927,$A72)=0,0,SUMIF('Raw Data'!$A$3:$A$2927, $A72,'Raw Data'!R$3:R$2927) / COUNTIF('Raw Data'!$A$3:$A$2927,$A72))</f>
        <v>0</v>
      </c>
      <c r="V72">
        <f>IF( COUNTIF('Raw Data'!$A$3:$A$2927,$A72)=0,0,SUMIF('Raw Data'!$A$3:$A$2927, $A72,'Raw Data'!S$3:S$2927) / COUNTIF('Raw Data'!$A$3:$A$2927,$A72))</f>
        <v>0</v>
      </c>
      <c r="W72">
        <f t="array" ref="W72">MAX(IF('Raw Data'!$A$3:$A$927=$A72, 'Raw Data'!$Y$3:$Y$927))</f>
        <v>0</v>
      </c>
      <c r="X72">
        <f>IF( COUNTIF('Raw Data'!$A$3:$A$2927,$A72)=0,0,SUMIF('Raw Data'!$A$3:$A$2927, $A72,'Raw Data'!U$3:U$2927) / COUNTIF('Raw Data'!$A$3:$A$2927,$A72))</f>
        <v>0</v>
      </c>
      <c r="Y72">
        <f>IF( COUNTIF('Raw Data'!$A$3:$A$2927,$A72)=0,0,SUMIF('Raw Data'!$A$3:$A$2927, $A72,'Raw Data'!V$3:V$2927) / COUNTIF('Raw Data'!$A$3:$A$2927,$A72))</f>
        <v>0</v>
      </c>
      <c r="Z72">
        <f>IF( COUNTIF('Raw Data'!$A$3:$A$2927,$A72)=0,0,SUMIF('Raw Data'!$A$3:$A$2927, $A72,'Raw Data'!W$3:W$2927) / COUNTIF('Raw Data'!$A$3:$A$2927,$A72))</f>
        <v>0</v>
      </c>
      <c r="AA72">
        <f>IF( COUNTIF('Raw Data'!$A$3:$A$2927,$A72)=0,0,SUMIF('Raw Data'!$A$3:$A$2927, $A72,'Raw Data'!X$3:X$2927) / COUNTIF('Raw Data'!$A$3:$A$2927,$A72))</f>
        <v>0</v>
      </c>
      <c r="AB72">
        <f>IF( COUNTIF('Raw Data'!$A$3:$A$2927,$A72)=0,0,SUMIF('Raw Data'!$A$3:$A$2927, $A72,'Raw Data'!AA$3:AA$2927) / COUNTIF('Raw Data'!$A$3:$A$2927,$A72))</f>
        <v>0</v>
      </c>
      <c r="AC72">
        <f>IF( COUNTIF('Raw Data'!$A$3:$A$2927,$A72)=0,0,SUMIF('Raw Data'!$A$3:$A$2927, $A72,'Raw Data'!AB$3:AB$2927) / COUNTIF('Raw Data'!$A$3:$A$2927,$A72))</f>
        <v>0</v>
      </c>
      <c r="AD72">
        <f>IF( COUNTIF('Raw Data'!$A$3:$A$2927,$A72)=0,0,SUMIF('Raw Data'!$A$3:$A$2927, $A72,'Raw Data'!AC$3:AC$2927) / COUNTIF('Raw Data'!$A$3:$A$2927,$A72))</f>
        <v>0</v>
      </c>
      <c r="AE72" s="117">
        <f>IF( COUNTIF('Raw Data'!$A$3:$A$2927,$A72)=0,0,SUMIF('Raw Data'!$A$3:$A$2927, $A72,'Raw Data'!AD$3:AD$2927) / COUNTIF('Raw Data'!$A$3:$A$2927,$A72))</f>
        <v>0</v>
      </c>
      <c r="AF72">
        <f>IF( COUNTIF('Raw Data'!$A$3:$A$2927,$A72)=0,0,SUMIF('Raw Data'!$A$3:$A$2927, $A72,'Raw Data'!AE$3:AE$2927) / COUNTIF('Raw Data'!$A$3:$A$2927,$A72))</f>
        <v>0</v>
      </c>
      <c r="AG72">
        <f>IF( COUNTIF('Raw Data'!$A$3:$A$2927,$A72)=0,0,SUMIF('Raw Data'!$A$3:$A$2927, $A72,'Raw Data'!AF$3:AF$2927) / COUNTIF('Raw Data'!$A$3:$A$2927,$A72))</f>
        <v>0</v>
      </c>
      <c r="AH72">
        <f>IF( COUNTIF('Raw Data'!$A$3:$A$2927,$A72)=0,0,SUMIF('Raw Data'!$A$3:$A$2927, $A72,'Raw Data'!AG$3:AG$2927) / COUNTIF('Raw Data'!$A$3:$A$2927,$A72))</f>
        <v>0</v>
      </c>
      <c r="AI72">
        <f>IF( COUNTIF('Raw Data'!$A$3:$A$2927,$A72)=0,0,SUMIF('Raw Data'!$A$3:$A$2927, $A72,'Raw Data'!AH$3:AH$2927) / COUNTIF('Raw Data'!$A$3:$A$2927,$A72))</f>
        <v>0</v>
      </c>
      <c r="AJ72" s="116">
        <f>COUNTIF('Raw Data'!A$3:A$2927, $A72)</f>
        <v>0</v>
      </c>
      <c r="AK72">
        <f>IFERROR(SUM(IF($E72 &gt;autoThreshold, auto), hatch * SUM($H72:$K72), cargo * SUM($M72:$P72),hatch * SUM( $S72:$V72), cargo * SUM($X72:$AA72), rocket23 * SUM($J72:$K72, $O72:$P72, $U72:$V72, $Z72:$AA72), IF($AD72 &gt; climbThreshold, climb), IF($AC72 &gt; assistThreshold, $AC72 * assist), $AH72 * penalty, dropHatch * $AI72, tippedBroke * SUM($AE72:$AF72),  IF( $E72 &lt; noAutoThreshold, noAuto), IF($C72 &lt; doesNothingThreshold, doesNothing, IF($AD72 &gt;1.45, 2) )), "h")</f>
        <v>-21</v>
      </c>
      <c r="AL72">
        <f>SUM(hHatch * SUM($H72:$K72), hHatch * SUM($S72:$V72), hRocket23 * SUM($J72:$K72), hRocket23 * SUM($U72:$V72), hSandstorm * SUM($H72:$K72), hPenalty * $AH72, hDropHatch * $AI72,hTippedBroke * SUM($AE72:$AF72), IF($E72 &lt; hNoAutoThreshold, hNoAuto), IF($AG72 &gt; hFloorHatchThreshold, hFloorHatch))</f>
        <v>-1.5</v>
      </c>
      <c r="AM72">
        <f>SUM(cCargo * SUM($M72:$P72), cCargo *SUM( $X72:$AA72), cRocket23 * SUM($O72:$P72, $Z72:$AA72),cSandstorm * SUM($M72:$P72), cPenalty * $AH72, cTippedBroke * SUM($AE72:$AF72), IF($E72 &lt; cNoAutoThreshold, cNoAuto, 0))</f>
        <v>-1</v>
      </c>
    </row>
    <row r="73" spans="1:39" ht="15.75" thickBot="1">
      <c r="A73">
        <v>6141</v>
      </c>
      <c r="B73" t="s">
        <v>492</v>
      </c>
      <c r="C73">
        <f>PRODUCT($E73,3)+PRODUCT(SUM($H73:$K73),2)+PRODUCT(SUM($M73:$P73),3)+PRODUCT(SUM($S73:$V73),2)+PRODUCT(SUM($X73:$AA73), 3)+IF($AC73 &gt; 2, PRODUCT(SUM($AC73, -1),6), PRODUCT($AC73,3)) + IF($AD73 &gt; 2, PRODUCT(SUM($AD73, -1),6), PRODUCT($AD73,3)) + PRODUCT($AH73, -1)</f>
        <v>0</v>
      </c>
      <c r="D73">
        <f>PRODUCT(SUM($H73:$I73), 2) + PRODUCT(SUM($M73:$N73),3) + PRODUCT(SUM($S73:$T73), 2) + PRODUCT(SUM($X73:$Y73), 3)</f>
        <v>0</v>
      </c>
      <c r="E73">
        <f>IF( COUNTIF('Raw Data'!$A$3:$A$2927,$A73)=0,0,SUMIF('Raw Data'!$A$3:$A$2927, $A73,'Raw Data'!D$3:D$2927) / COUNTIF('Raw Data'!$A$3:$A$2927,$A73))</f>
        <v>0</v>
      </c>
      <c r="F73">
        <f t="array" ref="F73">MAX(IF('Raw Data'!$A$3:$A$927=$A73, 'Raw Data'!$O$3:$O$927))</f>
        <v>0</v>
      </c>
      <c r="G73">
        <f t="array" ref="G73">MAX(IF('Raw Data'!$A$3:$A$927=$A73, 'Raw Data'!$I$3:$I$927))</f>
        <v>0</v>
      </c>
      <c r="H73">
        <f>IF( COUNTIF('Raw Data'!$A$3:$A$2927,$A73)=0,0,SUMIF('Raw Data'!$A$3:$A$2927, $A73,'Raw Data'!E$3:E$2927) / COUNTIF('Raw Data'!$A$3:$A$2927,$A73))</f>
        <v>0</v>
      </c>
      <c r="I73">
        <f>IF( COUNTIF('Raw Data'!$A$3:$A$2927,$A73)=0,0,SUMIF('Raw Data'!$A$3:$A$2927, $A73,'Raw Data'!F$3:F$2927) / COUNTIF('Raw Data'!$A$3:$A$2927,$A73))</f>
        <v>0</v>
      </c>
      <c r="J73">
        <f>IF( COUNTIF('Raw Data'!$A$3:$A$2927,$A73)=0,0,SUMIF('Raw Data'!$A$3:$A$2927, $A73,'Raw Data'!G$3:G$2927) / COUNTIF('Raw Data'!$A$3:$A$2927,$A73))</f>
        <v>0</v>
      </c>
      <c r="K73">
        <f>IF( COUNTIF('Raw Data'!$A$3:$A$2927,$A73)=0,0,SUMIF('Raw Data'!$A$3:$A$2927, $A73,'Raw Data'!H$3:H$2927) / COUNTIF('Raw Data'!$A$3:$A$2927,$A73))</f>
        <v>0</v>
      </c>
      <c r="L73">
        <f t="array" ref="L73">MAX(IF('Raw Data'!$A$3:$A$927=$A73, 'Raw Data'!$N$3:$N$927))</f>
        <v>0</v>
      </c>
      <c r="M73">
        <f>IF( COUNTIF('Raw Data'!$A$3:$A$2927,$A73)=0,0,SUMIF('Raw Data'!$A$3:$A$2927, $A73,'Raw Data'!J$3:J$2927) / COUNTIF('Raw Data'!$A$3:$A$2927,$A73))</f>
        <v>0</v>
      </c>
      <c r="N73">
        <f>IF( COUNTIF('Raw Data'!$A$3:$A$2927,$A73)=0,0,SUMIF('Raw Data'!$A$3:$A$2927, $A73,'Raw Data'!K$3:K$2927) / COUNTIF('Raw Data'!$A$3:$A$2927,$A73))</f>
        <v>0</v>
      </c>
      <c r="O73">
        <f>IF( COUNTIF('Raw Data'!$A$3:$A$2927,$A73)=0,0,SUMIF('Raw Data'!$A$3:$A$2927, $A73,'Raw Data'!L$3:L$2927) / COUNTIF('Raw Data'!$A$3:$A$2927,$A73))</f>
        <v>0</v>
      </c>
      <c r="P73" s="58">
        <f>IF( COUNTIF('Raw Data'!$A$3:$A$2927,$A73)=0,0,SUMIF('Raw Data'!$A$3:$A$2927, $A73,'Raw Data'!M$3:M$2927) / COUNTIF('Raw Data'!$A$3:$A$2927,$A73))</f>
        <v>0</v>
      </c>
      <c r="Q73">
        <f t="array" ref="Q73">MAX(IF('Raw Data'!$A$3:$A$927=$A73, 'Raw Data'!$Z$3:$Z$927))</f>
        <v>0</v>
      </c>
      <c r="R73">
        <f t="array" ref="R73">MAX(IF('Raw Data'!$A$3:$A$927=$A73, 'Raw Data'!$T$3:$T$927))</f>
        <v>0</v>
      </c>
      <c r="S73" s="118">
        <f>IF( COUNTIF('Raw Data'!$A$3:$A$2927,$A73)=0,0,SUMIF('Raw Data'!$A$3:$A$2927, $A73,'Raw Data'!P$3:P$2927) / COUNTIF('Raw Data'!$A$3:$A$2927,$A73))</f>
        <v>0</v>
      </c>
      <c r="T73">
        <f>IF( COUNTIF('Raw Data'!$A$3:$A$2927,$A73)=0,0,SUMIF('Raw Data'!$A$3:$A$2927, $A73,'Raw Data'!Q$3:Q$2927) / COUNTIF('Raw Data'!$A$3:$A$2927,$A73))</f>
        <v>0</v>
      </c>
      <c r="U73">
        <f>IF( COUNTIF('Raw Data'!$A$3:$A$2927,$A73)=0,0,SUMIF('Raw Data'!$A$3:$A$2927, $A73,'Raw Data'!R$3:R$2927) / COUNTIF('Raw Data'!$A$3:$A$2927,$A73))</f>
        <v>0</v>
      </c>
      <c r="V73">
        <f>IF( COUNTIF('Raw Data'!$A$3:$A$2927,$A73)=0,0,SUMIF('Raw Data'!$A$3:$A$2927, $A73,'Raw Data'!S$3:S$2927) / COUNTIF('Raw Data'!$A$3:$A$2927,$A73))</f>
        <v>0</v>
      </c>
      <c r="W73">
        <f t="array" ref="W73">MAX(IF('Raw Data'!$A$3:$A$927=$A73, 'Raw Data'!$Y$3:$Y$927))</f>
        <v>0</v>
      </c>
      <c r="X73">
        <f>IF( COUNTIF('Raw Data'!$A$3:$A$2927,$A73)=0,0,SUMIF('Raw Data'!$A$3:$A$2927, $A73,'Raw Data'!U$3:U$2927) / COUNTIF('Raw Data'!$A$3:$A$2927,$A73))</f>
        <v>0</v>
      </c>
      <c r="Y73">
        <f>IF( COUNTIF('Raw Data'!$A$3:$A$2927,$A73)=0,0,SUMIF('Raw Data'!$A$3:$A$2927, $A73,'Raw Data'!V$3:V$2927) / COUNTIF('Raw Data'!$A$3:$A$2927,$A73))</f>
        <v>0</v>
      </c>
      <c r="Z73">
        <f>IF( COUNTIF('Raw Data'!$A$3:$A$2927,$A73)=0,0,SUMIF('Raw Data'!$A$3:$A$2927, $A73,'Raw Data'!W$3:W$2927) / COUNTIF('Raw Data'!$A$3:$A$2927,$A73))</f>
        <v>0</v>
      </c>
      <c r="AA73">
        <f>IF( COUNTIF('Raw Data'!$A$3:$A$2927,$A73)=0,0,SUMIF('Raw Data'!$A$3:$A$2927, $A73,'Raw Data'!X$3:X$2927) / COUNTIF('Raw Data'!$A$3:$A$2927,$A73))</f>
        <v>0</v>
      </c>
      <c r="AB73">
        <f>IF( COUNTIF('Raw Data'!$A$3:$A$2927,$A73)=0,0,SUMIF('Raw Data'!$A$3:$A$2927, $A73,'Raw Data'!AA$3:AA$2927) / COUNTIF('Raw Data'!$A$3:$A$2927,$A73))</f>
        <v>0</v>
      </c>
      <c r="AC73">
        <f>IF( COUNTIF('Raw Data'!$A$3:$A$2927,$A73)=0,0,SUMIF('Raw Data'!$A$3:$A$2927, $A73,'Raw Data'!AB$3:AB$2927) / COUNTIF('Raw Data'!$A$3:$A$2927,$A73))</f>
        <v>0</v>
      </c>
      <c r="AD73">
        <f>IF( COUNTIF('Raw Data'!$A$3:$A$2927,$A73)=0,0,SUMIF('Raw Data'!$A$3:$A$2927, $A73,'Raw Data'!AC$3:AC$2927) / COUNTIF('Raw Data'!$A$3:$A$2927,$A73))</f>
        <v>0</v>
      </c>
      <c r="AE73" s="117">
        <f>IF( COUNTIF('Raw Data'!$A$3:$A$2927,$A73)=0,0,SUMIF('Raw Data'!$A$3:$A$2927, $A73,'Raw Data'!AD$3:AD$2927) / COUNTIF('Raw Data'!$A$3:$A$2927,$A73))</f>
        <v>0</v>
      </c>
      <c r="AF73">
        <f>IF( COUNTIF('Raw Data'!$A$3:$A$2927,$A73)=0,0,SUMIF('Raw Data'!$A$3:$A$2927, $A73,'Raw Data'!AE$3:AE$2927) / COUNTIF('Raw Data'!$A$3:$A$2927,$A73))</f>
        <v>0</v>
      </c>
      <c r="AG73">
        <f>IF( COUNTIF('Raw Data'!$A$3:$A$2927,$A73)=0,0,SUMIF('Raw Data'!$A$3:$A$2927, $A73,'Raw Data'!AF$3:AF$2927) / COUNTIF('Raw Data'!$A$3:$A$2927,$A73))</f>
        <v>0</v>
      </c>
      <c r="AH73">
        <f>IF( COUNTIF('Raw Data'!$A$3:$A$2927,$A73)=0,0,SUMIF('Raw Data'!$A$3:$A$2927, $A73,'Raw Data'!AG$3:AG$2927) / COUNTIF('Raw Data'!$A$3:$A$2927,$A73))</f>
        <v>0</v>
      </c>
      <c r="AI73">
        <f>IF( COUNTIF('Raw Data'!$A$3:$A$2927,$A73)=0,0,SUMIF('Raw Data'!$A$3:$A$2927, $A73,'Raw Data'!AH$3:AH$2927) / COUNTIF('Raw Data'!$A$3:$A$2927,$A73))</f>
        <v>0</v>
      </c>
      <c r="AJ73" s="116">
        <f>COUNTIF('Raw Data'!A$3:A$2927, $A73)</f>
        <v>0</v>
      </c>
      <c r="AK73">
        <f>IFERROR(SUM(IF($E73 &gt;autoThreshold, auto), hatch * SUM($H73:$K73), cargo * SUM($M73:$P73),hatch * SUM( $S73:$V73), cargo * SUM($X73:$AA73), rocket23 * SUM($J73:$K73, $O73:$P73, $U73:$V73, $Z73:$AA73), IF($AD73 &gt; climbThreshold, climb), IF($AC73 &gt; assistThreshold, $AC73 * assist), $AH73 * penalty, dropHatch * $AI73, tippedBroke * SUM($AE73:$AF73),  IF( $E73 &lt; noAutoThreshold, noAuto), IF($C73 &lt; doesNothingThreshold, doesNothing, IF($AD73 &gt;1.45, 2) )), "h")</f>
        <v>-21</v>
      </c>
      <c r="AL73">
        <f>SUM(hHatch * SUM($H73:$K73), hHatch * SUM($S73:$V73), hRocket23 * SUM($J73:$K73), hRocket23 * SUM($U73:$V73), hSandstorm * SUM($H73:$K73), hPenalty * $AH73, hDropHatch * $AI73,hTippedBroke * SUM($AE73:$AF73), IF($E73 &lt; hNoAutoThreshold, hNoAuto), IF($AG73 &gt; hFloorHatchThreshold, hFloorHatch))</f>
        <v>-1.5</v>
      </c>
      <c r="AM73">
        <f>SUM(cCargo * SUM($M73:$P73), cCargo *SUM( $X73:$AA73), cRocket23 * SUM($O73:$P73, $Z73:$AA73),cSandstorm * SUM($M73:$P73), cPenalty * $AH73, cTippedBroke * SUM($AE73:$AF73), IF($E73 &lt; cNoAutoThreshold, cNoAuto, 0))</f>
        <v>-1</v>
      </c>
    </row>
    <row r="74" spans="1:39" ht="15.75" thickBot="1">
      <c r="A74">
        <v>6162</v>
      </c>
      <c r="B74" t="s">
        <v>432</v>
      </c>
      <c r="C74">
        <f>PRODUCT($E74,3)+PRODUCT(SUM($H74:$K74),2)+PRODUCT(SUM($M74:$P74),3)+PRODUCT(SUM($S74:$V74),2)+PRODUCT(SUM($X74:$AA74), 3)+IF($AC74 &gt; 2, PRODUCT(SUM($AC74, -1),6), PRODUCT($AC74,3)) + IF($AD74 &gt; 2, PRODUCT(SUM($AD74, -1),6), PRODUCT($AD74,3)) + PRODUCT($AH74, -1)</f>
        <v>0</v>
      </c>
      <c r="D74">
        <f>PRODUCT(SUM($H74:$I74), 2) + PRODUCT(SUM($M74:$N74),3) + PRODUCT(SUM($S74:$T74), 2) + PRODUCT(SUM($X74:$Y74), 3)</f>
        <v>0</v>
      </c>
      <c r="E74">
        <f>IF( COUNTIF('Raw Data'!$A$3:$A$2927,$A74)=0,0,SUMIF('Raw Data'!$A$3:$A$2927, $A74,'Raw Data'!D$3:D$2927) / COUNTIF('Raw Data'!$A$3:$A$2927,$A74))</f>
        <v>0</v>
      </c>
      <c r="F74">
        <f t="array" ref="F74">MAX(IF('Raw Data'!$A$3:$A$927=$A74, 'Raw Data'!$O$3:$O$927))</f>
        <v>0</v>
      </c>
      <c r="G74">
        <f t="array" ref="G74">MAX(IF('Raw Data'!$A$3:$A$927=$A74, 'Raw Data'!$I$3:$I$927))</f>
        <v>0</v>
      </c>
      <c r="H74">
        <f>IF( COUNTIF('Raw Data'!$A$3:$A$2927,$A74)=0,0,SUMIF('Raw Data'!$A$3:$A$2927, $A74,'Raw Data'!E$3:E$2927) / COUNTIF('Raw Data'!$A$3:$A$2927,$A74))</f>
        <v>0</v>
      </c>
      <c r="I74">
        <f>IF( COUNTIF('Raw Data'!$A$3:$A$2927,$A74)=0,0,SUMIF('Raw Data'!$A$3:$A$2927, $A74,'Raw Data'!F$3:F$2927) / COUNTIF('Raw Data'!$A$3:$A$2927,$A74))</f>
        <v>0</v>
      </c>
      <c r="J74">
        <f>IF( COUNTIF('Raw Data'!$A$3:$A$2927,$A74)=0,0,SUMIF('Raw Data'!$A$3:$A$2927, $A74,'Raw Data'!G$3:G$2927) / COUNTIF('Raw Data'!$A$3:$A$2927,$A74))</f>
        <v>0</v>
      </c>
      <c r="K74">
        <f>IF( COUNTIF('Raw Data'!$A$3:$A$2927,$A74)=0,0,SUMIF('Raw Data'!$A$3:$A$2927, $A74,'Raw Data'!H$3:H$2927) / COUNTIF('Raw Data'!$A$3:$A$2927,$A74))</f>
        <v>0</v>
      </c>
      <c r="L74">
        <f t="array" ref="L74">MAX(IF('Raw Data'!$A$3:$A$927=$A74, 'Raw Data'!$N$3:$N$927))</f>
        <v>0</v>
      </c>
      <c r="M74">
        <f>IF( COUNTIF('Raw Data'!$A$3:$A$2927,$A74)=0,0,SUMIF('Raw Data'!$A$3:$A$2927, $A74,'Raw Data'!J$3:J$2927) / COUNTIF('Raw Data'!$A$3:$A$2927,$A74))</f>
        <v>0</v>
      </c>
      <c r="N74">
        <f>IF( COUNTIF('Raw Data'!$A$3:$A$2927,$A74)=0,0,SUMIF('Raw Data'!$A$3:$A$2927, $A74,'Raw Data'!K$3:K$2927) / COUNTIF('Raw Data'!$A$3:$A$2927,$A74))</f>
        <v>0</v>
      </c>
      <c r="O74">
        <f>IF( COUNTIF('Raw Data'!$A$3:$A$2927,$A74)=0,0,SUMIF('Raw Data'!$A$3:$A$2927, $A74,'Raw Data'!L$3:L$2927) / COUNTIF('Raw Data'!$A$3:$A$2927,$A74))</f>
        <v>0</v>
      </c>
      <c r="P74" s="58">
        <f>IF( COUNTIF('Raw Data'!$A$3:$A$2927,$A74)=0,0,SUMIF('Raw Data'!$A$3:$A$2927, $A74,'Raw Data'!M$3:M$2927) / COUNTIF('Raw Data'!$A$3:$A$2927,$A74))</f>
        <v>0</v>
      </c>
      <c r="Q74">
        <f t="array" ref="Q74">MAX(IF('Raw Data'!$A$3:$A$927=$A74, 'Raw Data'!$Z$3:$Z$927))</f>
        <v>0</v>
      </c>
      <c r="R74">
        <f t="array" ref="R74">MAX(IF('Raw Data'!$A$3:$A$927=$A74, 'Raw Data'!$T$3:$T$927))</f>
        <v>0</v>
      </c>
      <c r="S74" s="118">
        <f>IF( COUNTIF('Raw Data'!$A$3:$A$2927,$A74)=0,0,SUMIF('Raw Data'!$A$3:$A$2927, $A74,'Raw Data'!P$3:P$2927) / COUNTIF('Raw Data'!$A$3:$A$2927,$A74))</f>
        <v>0</v>
      </c>
      <c r="T74">
        <f>IF( COUNTIF('Raw Data'!$A$3:$A$2927,$A74)=0,0,SUMIF('Raw Data'!$A$3:$A$2927, $A74,'Raw Data'!Q$3:Q$2927) / COUNTIF('Raw Data'!$A$3:$A$2927,$A74))</f>
        <v>0</v>
      </c>
      <c r="U74">
        <f>IF( COUNTIF('Raw Data'!$A$3:$A$2927,$A74)=0,0,SUMIF('Raw Data'!$A$3:$A$2927, $A74,'Raw Data'!R$3:R$2927) / COUNTIF('Raw Data'!$A$3:$A$2927,$A74))</f>
        <v>0</v>
      </c>
      <c r="V74">
        <f>IF( COUNTIF('Raw Data'!$A$3:$A$2927,$A74)=0,0,SUMIF('Raw Data'!$A$3:$A$2927, $A74,'Raw Data'!S$3:S$2927) / COUNTIF('Raw Data'!$A$3:$A$2927,$A74))</f>
        <v>0</v>
      </c>
      <c r="W74">
        <f t="array" ref="W74">MAX(IF('Raw Data'!$A$3:$A$927=$A74, 'Raw Data'!$Y$3:$Y$927))</f>
        <v>0</v>
      </c>
      <c r="X74">
        <f>IF( COUNTIF('Raw Data'!$A$3:$A$2927,$A74)=0,0,SUMIF('Raw Data'!$A$3:$A$2927, $A74,'Raw Data'!U$3:U$2927) / COUNTIF('Raw Data'!$A$3:$A$2927,$A74))</f>
        <v>0</v>
      </c>
      <c r="Y74">
        <f>IF( COUNTIF('Raw Data'!$A$3:$A$2927,$A74)=0,0,SUMIF('Raw Data'!$A$3:$A$2927, $A74,'Raw Data'!V$3:V$2927) / COUNTIF('Raw Data'!$A$3:$A$2927,$A74))</f>
        <v>0</v>
      </c>
      <c r="Z74">
        <f>IF( COUNTIF('Raw Data'!$A$3:$A$2927,$A74)=0,0,SUMIF('Raw Data'!$A$3:$A$2927, $A74,'Raw Data'!W$3:W$2927) / COUNTIF('Raw Data'!$A$3:$A$2927,$A74))</f>
        <v>0</v>
      </c>
      <c r="AA74">
        <f>IF( COUNTIF('Raw Data'!$A$3:$A$2927,$A74)=0,0,SUMIF('Raw Data'!$A$3:$A$2927, $A74,'Raw Data'!X$3:X$2927) / COUNTIF('Raw Data'!$A$3:$A$2927,$A74))</f>
        <v>0</v>
      </c>
      <c r="AB74">
        <f>IF( COUNTIF('Raw Data'!$A$3:$A$2927,$A74)=0,0,SUMIF('Raw Data'!$A$3:$A$2927, $A74,'Raw Data'!AA$3:AA$2927) / COUNTIF('Raw Data'!$A$3:$A$2927,$A74))</f>
        <v>0</v>
      </c>
      <c r="AC74">
        <f>IF( COUNTIF('Raw Data'!$A$3:$A$2927,$A74)=0,0,SUMIF('Raw Data'!$A$3:$A$2927, $A74,'Raw Data'!AB$3:AB$2927) / COUNTIF('Raw Data'!$A$3:$A$2927,$A74))</f>
        <v>0</v>
      </c>
      <c r="AD74">
        <f>IF( COUNTIF('Raw Data'!$A$3:$A$2927,$A74)=0,0,SUMIF('Raw Data'!$A$3:$A$2927, $A74,'Raw Data'!AC$3:AC$2927) / COUNTIF('Raw Data'!$A$3:$A$2927,$A74))</f>
        <v>0</v>
      </c>
      <c r="AE74" s="117">
        <f>IF( COUNTIF('Raw Data'!$A$3:$A$2927,$A74)=0,0,SUMIF('Raw Data'!$A$3:$A$2927, $A74,'Raw Data'!AD$3:AD$2927) / COUNTIF('Raw Data'!$A$3:$A$2927,$A74))</f>
        <v>0</v>
      </c>
      <c r="AF74">
        <f>IF( COUNTIF('Raw Data'!$A$3:$A$2927,$A74)=0,0,SUMIF('Raw Data'!$A$3:$A$2927, $A74,'Raw Data'!AE$3:AE$2927) / COUNTIF('Raw Data'!$A$3:$A$2927,$A74))</f>
        <v>0</v>
      </c>
      <c r="AG74">
        <f>IF( COUNTIF('Raw Data'!$A$3:$A$2927,$A74)=0,0,SUMIF('Raw Data'!$A$3:$A$2927, $A74,'Raw Data'!AF$3:AF$2927) / COUNTIF('Raw Data'!$A$3:$A$2927,$A74))</f>
        <v>0</v>
      </c>
      <c r="AH74">
        <f>IF( COUNTIF('Raw Data'!$A$3:$A$2927,$A74)=0,0,SUMIF('Raw Data'!$A$3:$A$2927, $A74,'Raw Data'!AG$3:AG$2927) / COUNTIF('Raw Data'!$A$3:$A$2927,$A74))</f>
        <v>0</v>
      </c>
      <c r="AI74">
        <f>IF( COUNTIF('Raw Data'!$A$3:$A$2927,$A74)=0,0,SUMIF('Raw Data'!$A$3:$A$2927, $A74,'Raw Data'!AH$3:AH$2927) / COUNTIF('Raw Data'!$A$3:$A$2927,$A74))</f>
        <v>0</v>
      </c>
      <c r="AJ74" s="116">
        <f>COUNTIF('Raw Data'!A$3:A$2927, $A74)</f>
        <v>0</v>
      </c>
      <c r="AK74">
        <f>IFERROR(SUM(IF($E74 &gt;autoThreshold, auto), hatch * SUM($H74:$K74), cargo * SUM($M74:$P74),hatch * SUM( $S74:$V74), cargo * SUM($X74:$AA74), rocket23 * SUM($J74:$K74, $O74:$P74, $U74:$V74, $Z74:$AA74), IF($AD74 &gt; climbThreshold, climb), IF($AC74 &gt; assistThreshold, $AC74 * assist), $AH74 * penalty, dropHatch * $AI74, tippedBroke * SUM($AE74:$AF74),  IF( $E74 &lt; noAutoThreshold, noAuto), IF($C74 &lt; doesNothingThreshold, doesNothing, IF($AD74 &gt;1.45, 2) )), "h")</f>
        <v>-21</v>
      </c>
      <c r="AL74">
        <f>SUM(hHatch * SUM($H74:$K74), hHatch * SUM($S74:$V74), hRocket23 * SUM($J74:$K74), hRocket23 * SUM($U74:$V74), hSandstorm * SUM($H74:$K74), hPenalty * $AH74, hDropHatch * $AI74,hTippedBroke * SUM($AE74:$AF74), IF($E74 &lt; hNoAutoThreshold, hNoAuto), IF($AG74 &gt; hFloorHatchThreshold, hFloorHatch))</f>
        <v>-1.5</v>
      </c>
      <c r="AM74">
        <f>SUM(cCargo * SUM($M74:$P74), cCargo *SUM( $X74:$AA74), cRocket23 * SUM($O74:$P74, $Z74:$AA74),cSandstorm * SUM($M74:$P74), cPenalty * $AH74, cTippedBroke * SUM($AE74:$AF74), IF($E74 &lt; cNoAutoThreshold, cNoAuto, 0))</f>
        <v>-1</v>
      </c>
    </row>
    <row r="75" spans="1:39" ht="15.75" thickBot="1">
      <c r="A75">
        <v>6323</v>
      </c>
      <c r="B75" t="s">
        <v>493</v>
      </c>
      <c r="C75">
        <f>PRODUCT($E75,3)+PRODUCT(SUM($H75:$K75),2)+PRODUCT(SUM($M75:$P75),3)+PRODUCT(SUM($S75:$V75),2)+PRODUCT(SUM($X75:$AA75), 3)+IF($AC75 &gt; 2, PRODUCT(SUM($AC75, -1),6), PRODUCT($AC75,3)) + IF($AD75 &gt; 2, PRODUCT(SUM($AD75, -1),6), PRODUCT($AD75,3)) + PRODUCT($AH75, -1)</f>
        <v>0</v>
      </c>
      <c r="D75">
        <f>PRODUCT(SUM($H75:$I75), 2) + PRODUCT(SUM($M75:$N75),3) + PRODUCT(SUM($S75:$T75), 2) + PRODUCT(SUM($X75:$Y75), 3)</f>
        <v>0</v>
      </c>
      <c r="E75">
        <f>IF( COUNTIF('Raw Data'!$A$3:$A$2927,$A75)=0,0,SUMIF('Raw Data'!$A$3:$A$2927, $A75,'Raw Data'!D$3:D$2927) / COUNTIF('Raw Data'!$A$3:$A$2927,$A75))</f>
        <v>0</v>
      </c>
      <c r="F75">
        <f t="array" ref="F75">MAX(IF('Raw Data'!$A$3:$A$927=$A75, 'Raw Data'!$O$3:$O$927))</f>
        <v>0</v>
      </c>
      <c r="G75">
        <f t="array" ref="G75">MAX(IF('Raw Data'!$A$3:$A$927=$A75, 'Raw Data'!$I$3:$I$927))</f>
        <v>0</v>
      </c>
      <c r="H75">
        <f>IF( COUNTIF('Raw Data'!$A$3:$A$2927,$A75)=0,0,SUMIF('Raw Data'!$A$3:$A$2927, $A75,'Raw Data'!E$3:E$2927) / COUNTIF('Raw Data'!$A$3:$A$2927,$A75))</f>
        <v>0</v>
      </c>
      <c r="I75">
        <f>IF( COUNTIF('Raw Data'!$A$3:$A$2927,$A75)=0,0,SUMIF('Raw Data'!$A$3:$A$2927, $A75,'Raw Data'!F$3:F$2927) / COUNTIF('Raw Data'!$A$3:$A$2927,$A75))</f>
        <v>0</v>
      </c>
      <c r="J75">
        <f>IF( COUNTIF('Raw Data'!$A$3:$A$2927,$A75)=0,0,SUMIF('Raw Data'!$A$3:$A$2927, $A75,'Raw Data'!G$3:G$2927) / COUNTIF('Raw Data'!$A$3:$A$2927,$A75))</f>
        <v>0</v>
      </c>
      <c r="K75">
        <f>IF( COUNTIF('Raw Data'!$A$3:$A$2927,$A75)=0,0,SUMIF('Raw Data'!$A$3:$A$2927, $A75,'Raw Data'!H$3:H$2927) / COUNTIF('Raw Data'!$A$3:$A$2927,$A75))</f>
        <v>0</v>
      </c>
      <c r="L75">
        <f t="array" ref="L75">MAX(IF('Raw Data'!$A$3:$A$927=$A75, 'Raw Data'!$N$3:$N$927))</f>
        <v>0</v>
      </c>
      <c r="M75">
        <f>IF( COUNTIF('Raw Data'!$A$3:$A$2927,$A75)=0,0,SUMIF('Raw Data'!$A$3:$A$2927, $A75,'Raw Data'!J$3:J$2927) / COUNTIF('Raw Data'!$A$3:$A$2927,$A75))</f>
        <v>0</v>
      </c>
      <c r="N75">
        <f>IF( COUNTIF('Raw Data'!$A$3:$A$2927,$A75)=0,0,SUMIF('Raw Data'!$A$3:$A$2927, $A75,'Raw Data'!K$3:K$2927) / COUNTIF('Raw Data'!$A$3:$A$2927,$A75))</f>
        <v>0</v>
      </c>
      <c r="O75">
        <f>IF( COUNTIF('Raw Data'!$A$3:$A$2927,$A75)=0,0,SUMIF('Raw Data'!$A$3:$A$2927, $A75,'Raw Data'!L$3:L$2927) / COUNTIF('Raw Data'!$A$3:$A$2927,$A75))</f>
        <v>0</v>
      </c>
      <c r="P75" s="58">
        <f>IF( COUNTIF('Raw Data'!$A$3:$A$2927,$A75)=0,0,SUMIF('Raw Data'!$A$3:$A$2927, $A75,'Raw Data'!M$3:M$2927) / COUNTIF('Raw Data'!$A$3:$A$2927,$A75))</f>
        <v>0</v>
      </c>
      <c r="Q75">
        <f t="array" ref="Q75">MAX(IF('Raw Data'!$A$3:$A$927=$A75, 'Raw Data'!$Z$3:$Z$927))</f>
        <v>0</v>
      </c>
      <c r="R75">
        <f t="array" ref="R75">MAX(IF('Raw Data'!$A$3:$A$927=$A75, 'Raw Data'!$T$3:$T$927))</f>
        <v>0</v>
      </c>
      <c r="S75" s="118">
        <f>IF( COUNTIF('Raw Data'!$A$3:$A$2927,$A75)=0,0,SUMIF('Raw Data'!$A$3:$A$2927, $A75,'Raw Data'!P$3:P$2927) / COUNTIF('Raw Data'!$A$3:$A$2927,$A75))</f>
        <v>0</v>
      </c>
      <c r="T75">
        <f>IF( COUNTIF('Raw Data'!$A$3:$A$2927,$A75)=0,0,SUMIF('Raw Data'!$A$3:$A$2927, $A75,'Raw Data'!Q$3:Q$2927) / COUNTIF('Raw Data'!$A$3:$A$2927,$A75))</f>
        <v>0</v>
      </c>
      <c r="U75">
        <f>IF( COUNTIF('Raw Data'!$A$3:$A$2927,$A75)=0,0,SUMIF('Raw Data'!$A$3:$A$2927, $A75,'Raw Data'!R$3:R$2927) / COUNTIF('Raw Data'!$A$3:$A$2927,$A75))</f>
        <v>0</v>
      </c>
      <c r="V75">
        <f>IF( COUNTIF('Raw Data'!$A$3:$A$2927,$A75)=0,0,SUMIF('Raw Data'!$A$3:$A$2927, $A75,'Raw Data'!S$3:S$2927) / COUNTIF('Raw Data'!$A$3:$A$2927,$A75))</f>
        <v>0</v>
      </c>
      <c r="W75">
        <f t="array" ref="W75">MAX(IF('Raw Data'!$A$3:$A$927=$A75, 'Raw Data'!$Y$3:$Y$927))</f>
        <v>0</v>
      </c>
      <c r="X75">
        <f>IF( COUNTIF('Raw Data'!$A$3:$A$2927,$A75)=0,0,SUMIF('Raw Data'!$A$3:$A$2927, $A75,'Raw Data'!U$3:U$2927) / COUNTIF('Raw Data'!$A$3:$A$2927,$A75))</f>
        <v>0</v>
      </c>
      <c r="Y75">
        <f>IF( COUNTIF('Raw Data'!$A$3:$A$2927,$A75)=0,0,SUMIF('Raw Data'!$A$3:$A$2927, $A75,'Raw Data'!V$3:V$2927) / COUNTIF('Raw Data'!$A$3:$A$2927,$A75))</f>
        <v>0</v>
      </c>
      <c r="Z75">
        <f>IF( COUNTIF('Raw Data'!$A$3:$A$2927,$A75)=0,0,SUMIF('Raw Data'!$A$3:$A$2927, $A75,'Raw Data'!W$3:W$2927) / COUNTIF('Raw Data'!$A$3:$A$2927,$A75))</f>
        <v>0</v>
      </c>
      <c r="AA75">
        <f>IF( COUNTIF('Raw Data'!$A$3:$A$2927,$A75)=0,0,SUMIF('Raw Data'!$A$3:$A$2927, $A75,'Raw Data'!X$3:X$2927) / COUNTIF('Raw Data'!$A$3:$A$2927,$A75))</f>
        <v>0</v>
      </c>
      <c r="AB75">
        <f>IF( COUNTIF('Raw Data'!$A$3:$A$2927,$A75)=0,0,SUMIF('Raw Data'!$A$3:$A$2927, $A75,'Raw Data'!AA$3:AA$2927) / COUNTIF('Raw Data'!$A$3:$A$2927,$A75))</f>
        <v>0</v>
      </c>
      <c r="AC75">
        <f>IF( COUNTIF('Raw Data'!$A$3:$A$2927,$A75)=0,0,SUMIF('Raw Data'!$A$3:$A$2927, $A75,'Raw Data'!AB$3:AB$2927) / COUNTIF('Raw Data'!$A$3:$A$2927,$A75))</f>
        <v>0</v>
      </c>
      <c r="AD75">
        <f>IF( COUNTIF('Raw Data'!$A$3:$A$2927,$A75)=0,0,SUMIF('Raw Data'!$A$3:$A$2927, $A75,'Raw Data'!AC$3:AC$2927) / COUNTIF('Raw Data'!$A$3:$A$2927,$A75))</f>
        <v>0</v>
      </c>
      <c r="AE75" s="117">
        <f>IF( COUNTIF('Raw Data'!$A$3:$A$2927,$A75)=0,0,SUMIF('Raw Data'!$A$3:$A$2927, $A75,'Raw Data'!AD$3:AD$2927) / COUNTIF('Raw Data'!$A$3:$A$2927,$A75))</f>
        <v>0</v>
      </c>
      <c r="AF75">
        <f>IF( COUNTIF('Raw Data'!$A$3:$A$2927,$A75)=0,0,SUMIF('Raw Data'!$A$3:$A$2927, $A75,'Raw Data'!AE$3:AE$2927) / COUNTIF('Raw Data'!$A$3:$A$2927,$A75))</f>
        <v>0</v>
      </c>
      <c r="AG75">
        <f>IF( COUNTIF('Raw Data'!$A$3:$A$2927,$A75)=0,0,SUMIF('Raw Data'!$A$3:$A$2927, $A75,'Raw Data'!AF$3:AF$2927) / COUNTIF('Raw Data'!$A$3:$A$2927,$A75))</f>
        <v>0</v>
      </c>
      <c r="AH75">
        <f>IF( COUNTIF('Raw Data'!$A$3:$A$2927,$A75)=0,0,SUMIF('Raw Data'!$A$3:$A$2927, $A75,'Raw Data'!AG$3:AG$2927) / COUNTIF('Raw Data'!$A$3:$A$2927,$A75))</f>
        <v>0</v>
      </c>
      <c r="AI75">
        <f>IF( COUNTIF('Raw Data'!$A$3:$A$2927,$A75)=0,0,SUMIF('Raw Data'!$A$3:$A$2927, $A75,'Raw Data'!AH$3:AH$2927) / COUNTIF('Raw Data'!$A$3:$A$2927,$A75))</f>
        <v>0</v>
      </c>
      <c r="AJ75" s="116">
        <f>COUNTIF('Raw Data'!A$3:A$2927, $A75)</f>
        <v>0</v>
      </c>
      <c r="AK75">
        <f>IFERROR(SUM(IF($E75 &gt;autoThreshold, auto), hatch * SUM($H75:$K75), cargo * SUM($M75:$P75),hatch * SUM( $S75:$V75), cargo * SUM($X75:$AA75), rocket23 * SUM($J75:$K75, $O75:$P75, $U75:$V75, $Z75:$AA75), IF($AD75 &gt; climbThreshold, climb), IF($AC75 &gt; assistThreshold, $AC75 * assist), $AH75 * penalty, dropHatch * $AI75, tippedBroke * SUM($AE75:$AF75),  IF( $E75 &lt; noAutoThreshold, noAuto), IF($C75 &lt; doesNothingThreshold, doesNothing, IF($AD75 &gt;1.45, 2) )), "h")</f>
        <v>-21</v>
      </c>
      <c r="AL75">
        <f>SUM(hHatch * SUM($H75:$K75), hHatch * SUM($S75:$V75), hRocket23 * SUM($J75:$K75), hRocket23 * SUM($U75:$V75), hSandstorm * SUM($H75:$K75), hPenalty * $AH75, hDropHatch * $AI75,hTippedBroke * SUM($AE75:$AF75), IF($E75 &lt; hNoAutoThreshold, hNoAuto), IF($AG75 &gt; hFloorHatchThreshold, hFloorHatch))</f>
        <v>-1.5</v>
      </c>
      <c r="AM75">
        <f>SUM(cCargo * SUM($M75:$P75), cCargo *SUM( $X75:$AA75), cRocket23 * SUM($O75:$P75, $Z75:$AA75),cSandstorm * SUM($M75:$P75), cPenalty * $AH75, cTippedBroke * SUM($AE75:$AF75), IF($E75 &lt; cNoAutoThreshold, cNoAuto, 0))</f>
        <v>-1</v>
      </c>
    </row>
    <row r="76" spans="1:39" ht="15.75" thickBot="1">
      <c r="A76">
        <v>6331</v>
      </c>
      <c r="B76" t="s">
        <v>455</v>
      </c>
      <c r="C76">
        <f>PRODUCT($E76,3)+PRODUCT(SUM($H76:$K76),2)+PRODUCT(SUM($M76:$P76),3)+PRODUCT(SUM($S76:$V76),2)+PRODUCT(SUM($X76:$AA76), 3)+IF($AC76 &gt; 2, PRODUCT(SUM($AC76, -1),6), PRODUCT($AC76,3)) + IF($AD76 &gt; 2, PRODUCT(SUM($AD76, -1),6), PRODUCT($AD76,3)) + PRODUCT($AH76, -1)</f>
        <v>0</v>
      </c>
      <c r="D76">
        <f>PRODUCT(SUM($H76:$I76), 2) + PRODUCT(SUM($M76:$N76),3) + PRODUCT(SUM($S76:$T76), 2) + PRODUCT(SUM($X76:$Y76), 3)</f>
        <v>0</v>
      </c>
      <c r="E76">
        <f>IF( COUNTIF('Raw Data'!$A$3:$A$2927,$A76)=0,0,SUMIF('Raw Data'!$A$3:$A$2927, $A76,'Raw Data'!D$3:D$2927) / COUNTIF('Raw Data'!$A$3:$A$2927,$A76))</f>
        <v>0</v>
      </c>
      <c r="F76">
        <f t="array" ref="F76">MAX(IF('Raw Data'!$A$3:$A$927=$A76, 'Raw Data'!$O$3:$O$927))</f>
        <v>0</v>
      </c>
      <c r="G76">
        <f t="array" ref="G76">MAX(IF('Raw Data'!$A$3:$A$927=$A76, 'Raw Data'!$I$3:$I$927))</f>
        <v>0</v>
      </c>
      <c r="H76">
        <f>IF( COUNTIF('Raw Data'!$A$3:$A$2927,$A76)=0,0,SUMIF('Raw Data'!$A$3:$A$2927, $A76,'Raw Data'!E$3:E$2927) / COUNTIF('Raw Data'!$A$3:$A$2927,$A76))</f>
        <v>0</v>
      </c>
      <c r="I76">
        <f>IF( COUNTIF('Raw Data'!$A$3:$A$2927,$A76)=0,0,SUMIF('Raw Data'!$A$3:$A$2927, $A76,'Raw Data'!F$3:F$2927) / COUNTIF('Raw Data'!$A$3:$A$2927,$A76))</f>
        <v>0</v>
      </c>
      <c r="J76">
        <f>IF( COUNTIF('Raw Data'!$A$3:$A$2927,$A76)=0,0,SUMIF('Raw Data'!$A$3:$A$2927, $A76,'Raw Data'!G$3:G$2927) / COUNTIF('Raw Data'!$A$3:$A$2927,$A76))</f>
        <v>0</v>
      </c>
      <c r="K76">
        <f>IF( COUNTIF('Raw Data'!$A$3:$A$2927,$A76)=0,0,SUMIF('Raw Data'!$A$3:$A$2927, $A76,'Raw Data'!H$3:H$2927) / COUNTIF('Raw Data'!$A$3:$A$2927,$A76))</f>
        <v>0</v>
      </c>
      <c r="L76">
        <f t="array" ref="L76">MAX(IF('Raw Data'!$A$3:$A$927=$A76, 'Raw Data'!$N$3:$N$927))</f>
        <v>0</v>
      </c>
      <c r="M76">
        <f>IF( COUNTIF('Raw Data'!$A$3:$A$2927,$A76)=0,0,SUMIF('Raw Data'!$A$3:$A$2927, $A76,'Raw Data'!J$3:J$2927) / COUNTIF('Raw Data'!$A$3:$A$2927,$A76))</f>
        <v>0</v>
      </c>
      <c r="N76">
        <f>IF( COUNTIF('Raw Data'!$A$3:$A$2927,$A76)=0,0,SUMIF('Raw Data'!$A$3:$A$2927, $A76,'Raw Data'!K$3:K$2927) / COUNTIF('Raw Data'!$A$3:$A$2927,$A76))</f>
        <v>0</v>
      </c>
      <c r="O76">
        <f>IF( COUNTIF('Raw Data'!$A$3:$A$2927,$A76)=0,0,SUMIF('Raw Data'!$A$3:$A$2927, $A76,'Raw Data'!L$3:L$2927) / COUNTIF('Raw Data'!$A$3:$A$2927,$A76))</f>
        <v>0</v>
      </c>
      <c r="P76" s="58">
        <f>IF( COUNTIF('Raw Data'!$A$3:$A$2927,$A76)=0,0,SUMIF('Raw Data'!$A$3:$A$2927, $A76,'Raw Data'!M$3:M$2927) / COUNTIF('Raw Data'!$A$3:$A$2927,$A76))</f>
        <v>0</v>
      </c>
      <c r="Q76">
        <f t="array" ref="Q76">MAX(IF('Raw Data'!$A$3:$A$927=$A76, 'Raw Data'!$Z$3:$Z$927))</f>
        <v>0</v>
      </c>
      <c r="R76">
        <f t="array" ref="R76">MAX(IF('Raw Data'!$A$3:$A$927=$A76, 'Raw Data'!$T$3:$T$927))</f>
        <v>0</v>
      </c>
      <c r="S76" s="118">
        <f>IF( COUNTIF('Raw Data'!$A$3:$A$2927,$A76)=0,0,SUMIF('Raw Data'!$A$3:$A$2927, $A76,'Raw Data'!P$3:P$2927) / COUNTIF('Raw Data'!$A$3:$A$2927,$A76))</f>
        <v>0</v>
      </c>
      <c r="T76">
        <f>IF( COUNTIF('Raw Data'!$A$3:$A$2927,$A76)=0,0,SUMIF('Raw Data'!$A$3:$A$2927, $A76,'Raw Data'!Q$3:Q$2927) / COUNTIF('Raw Data'!$A$3:$A$2927,$A76))</f>
        <v>0</v>
      </c>
      <c r="U76">
        <f>IF( COUNTIF('Raw Data'!$A$3:$A$2927,$A76)=0,0,SUMIF('Raw Data'!$A$3:$A$2927, $A76,'Raw Data'!R$3:R$2927) / COUNTIF('Raw Data'!$A$3:$A$2927,$A76))</f>
        <v>0</v>
      </c>
      <c r="V76">
        <f>IF( COUNTIF('Raw Data'!$A$3:$A$2927,$A76)=0,0,SUMIF('Raw Data'!$A$3:$A$2927, $A76,'Raw Data'!S$3:S$2927) / COUNTIF('Raw Data'!$A$3:$A$2927,$A76))</f>
        <v>0</v>
      </c>
      <c r="W76">
        <f t="array" ref="W76">MAX(IF('Raw Data'!$A$3:$A$927=$A76, 'Raw Data'!$Y$3:$Y$927))</f>
        <v>0</v>
      </c>
      <c r="X76">
        <f>IF( COUNTIF('Raw Data'!$A$3:$A$2927,$A76)=0,0,SUMIF('Raw Data'!$A$3:$A$2927, $A76,'Raw Data'!U$3:U$2927) / COUNTIF('Raw Data'!$A$3:$A$2927,$A76))</f>
        <v>0</v>
      </c>
      <c r="Y76">
        <f>IF( COUNTIF('Raw Data'!$A$3:$A$2927,$A76)=0,0,SUMIF('Raw Data'!$A$3:$A$2927, $A76,'Raw Data'!V$3:V$2927) / COUNTIF('Raw Data'!$A$3:$A$2927,$A76))</f>
        <v>0</v>
      </c>
      <c r="Z76">
        <f>IF( COUNTIF('Raw Data'!$A$3:$A$2927,$A76)=0,0,SUMIF('Raw Data'!$A$3:$A$2927, $A76,'Raw Data'!W$3:W$2927) / COUNTIF('Raw Data'!$A$3:$A$2927,$A76))</f>
        <v>0</v>
      </c>
      <c r="AA76">
        <f>IF( COUNTIF('Raw Data'!$A$3:$A$2927,$A76)=0,0,SUMIF('Raw Data'!$A$3:$A$2927, $A76,'Raw Data'!X$3:X$2927) / COUNTIF('Raw Data'!$A$3:$A$2927,$A76))</f>
        <v>0</v>
      </c>
      <c r="AB76">
        <f>IF( COUNTIF('Raw Data'!$A$3:$A$2927,$A76)=0,0,SUMIF('Raw Data'!$A$3:$A$2927, $A76,'Raw Data'!AA$3:AA$2927) / COUNTIF('Raw Data'!$A$3:$A$2927,$A76))</f>
        <v>0</v>
      </c>
      <c r="AC76">
        <f>IF( COUNTIF('Raw Data'!$A$3:$A$2927,$A76)=0,0,SUMIF('Raw Data'!$A$3:$A$2927, $A76,'Raw Data'!AB$3:AB$2927) / COUNTIF('Raw Data'!$A$3:$A$2927,$A76))</f>
        <v>0</v>
      </c>
      <c r="AD76">
        <f>IF( COUNTIF('Raw Data'!$A$3:$A$2927,$A76)=0,0,SUMIF('Raw Data'!$A$3:$A$2927, $A76,'Raw Data'!AC$3:AC$2927) / COUNTIF('Raw Data'!$A$3:$A$2927,$A76))</f>
        <v>0</v>
      </c>
      <c r="AE76" s="117">
        <f>IF( COUNTIF('Raw Data'!$A$3:$A$2927,$A76)=0,0,SUMIF('Raw Data'!$A$3:$A$2927, $A76,'Raw Data'!AD$3:AD$2927) / COUNTIF('Raw Data'!$A$3:$A$2927,$A76))</f>
        <v>0</v>
      </c>
      <c r="AF76">
        <f>IF( COUNTIF('Raw Data'!$A$3:$A$2927,$A76)=0,0,SUMIF('Raw Data'!$A$3:$A$2927, $A76,'Raw Data'!AE$3:AE$2927) / COUNTIF('Raw Data'!$A$3:$A$2927,$A76))</f>
        <v>0</v>
      </c>
      <c r="AG76">
        <f>IF( COUNTIF('Raw Data'!$A$3:$A$2927,$A76)=0,0,SUMIF('Raw Data'!$A$3:$A$2927, $A76,'Raw Data'!AF$3:AF$2927) / COUNTIF('Raw Data'!$A$3:$A$2927,$A76))</f>
        <v>0</v>
      </c>
      <c r="AH76">
        <f>IF( COUNTIF('Raw Data'!$A$3:$A$2927,$A76)=0,0,SUMIF('Raw Data'!$A$3:$A$2927, $A76,'Raw Data'!AG$3:AG$2927) / COUNTIF('Raw Data'!$A$3:$A$2927,$A76))</f>
        <v>0</v>
      </c>
      <c r="AI76">
        <f>IF( COUNTIF('Raw Data'!$A$3:$A$2927,$A76)=0,0,SUMIF('Raw Data'!$A$3:$A$2927, $A76,'Raw Data'!AH$3:AH$2927) / COUNTIF('Raw Data'!$A$3:$A$2927,$A76))</f>
        <v>0</v>
      </c>
      <c r="AJ76" s="116">
        <f>COUNTIF('Raw Data'!A$3:A$2927, $A76)</f>
        <v>0</v>
      </c>
      <c r="AK76">
        <f>IFERROR(SUM(IF($E76 &gt;autoThreshold, auto), hatch * SUM($H76:$K76), cargo * SUM($M76:$P76),hatch * SUM( $S76:$V76), cargo * SUM($X76:$AA76), rocket23 * SUM($J76:$K76, $O76:$P76, $U76:$V76, $Z76:$AA76), IF($AD76 &gt; climbThreshold, climb), IF($AC76 &gt; assistThreshold, $AC76 * assist), $AH76 * penalty, dropHatch * $AI76, tippedBroke * SUM($AE76:$AF76),  IF( $E76 &lt; noAutoThreshold, noAuto), IF($C76 &lt; doesNothingThreshold, doesNothing, IF($AD76 &gt;1.45, 2) )), "h")</f>
        <v>-21</v>
      </c>
      <c r="AL76">
        <f>SUM(hHatch * SUM($H76:$K76), hHatch * SUM($S76:$V76), hRocket23 * SUM($J76:$K76), hRocket23 * SUM($U76:$V76), hSandstorm * SUM($H76:$K76), hPenalty * $AH76, hDropHatch * $AI76,hTippedBroke * SUM($AE76:$AF76), IF($E76 &lt; hNoAutoThreshold, hNoAuto), IF($AG76 &gt; hFloorHatchThreshold, hFloorHatch))</f>
        <v>-1.5</v>
      </c>
      <c r="AM76">
        <f>SUM(cCargo * SUM($M76:$P76), cCargo *SUM( $X76:$AA76), cRocket23 * SUM($O76:$P76, $Z76:$AA76),cSandstorm * SUM($M76:$P76), cPenalty * $AH76, cTippedBroke * SUM($AE76:$AF76), IF($E76 &lt; cNoAutoThreshold, cNoAuto, 0))</f>
        <v>-1</v>
      </c>
    </row>
    <row r="77" spans="1:39" ht="15.75" thickBot="1">
      <c r="A77">
        <v>6336</v>
      </c>
      <c r="B77" t="s">
        <v>456</v>
      </c>
      <c r="C77">
        <f>PRODUCT($E77,3)+PRODUCT(SUM($H77:$K77),2)+PRODUCT(SUM($M77:$P77),3)+PRODUCT(SUM($S77:$V77),2)+PRODUCT(SUM($X77:$AA77), 3)+IF($AC77 &gt; 2, PRODUCT(SUM($AC77, -1),6), PRODUCT($AC77,3)) + IF($AD77 &gt; 2, PRODUCT(SUM($AD77, -1),6), PRODUCT($AD77,3)) + PRODUCT($AH77, -1)</f>
        <v>15.000000000000002</v>
      </c>
      <c r="D77">
        <f>PRODUCT(SUM($H77:$I77), 2) + PRODUCT(SUM($M77:$N77),3) + PRODUCT(SUM($S77:$T77), 2) + PRODUCT(SUM($X77:$Y77), 3)</f>
        <v>4.333333333333333</v>
      </c>
      <c r="E77">
        <f>IF( COUNTIF('Raw Data'!$A$3:$A$2927,$A77)=0,0,SUMIF('Raw Data'!$A$3:$A$2927, $A77,'Raw Data'!D$3:D$2927) / COUNTIF('Raw Data'!$A$3:$A$2927,$A77))</f>
        <v>1.8888888888888888</v>
      </c>
      <c r="F77">
        <f t="array" ref="F77">MAX(IF('Raw Data'!$A$3:$A$927=$A77, 'Raw Data'!$O$3:$O$927))</f>
        <v>0</v>
      </c>
      <c r="G77">
        <f t="array" ref="G77">MAX(IF('Raw Data'!$A$3:$A$927=$A77, 'Raw Data'!$I$3:$I$927))</f>
        <v>0</v>
      </c>
      <c r="H77">
        <f>IF( COUNTIF('Raw Data'!$A$3:$A$2927,$A77)=0,0,SUMIF('Raw Data'!$A$3:$A$2927, $A77,'Raw Data'!E$3:E$2927) / COUNTIF('Raw Data'!$A$3:$A$2927,$A77))</f>
        <v>0</v>
      </c>
      <c r="I77">
        <f>IF( COUNTIF('Raw Data'!$A$3:$A$2927,$A77)=0,0,SUMIF('Raw Data'!$A$3:$A$2927, $A77,'Raw Data'!F$3:F$2927) / COUNTIF('Raw Data'!$A$3:$A$2927,$A77))</f>
        <v>0</v>
      </c>
      <c r="J77">
        <f>IF( COUNTIF('Raw Data'!$A$3:$A$2927,$A77)=0,0,SUMIF('Raw Data'!$A$3:$A$2927, $A77,'Raw Data'!G$3:G$2927) / COUNTIF('Raw Data'!$A$3:$A$2927,$A77))</f>
        <v>0</v>
      </c>
      <c r="K77">
        <f>IF( COUNTIF('Raw Data'!$A$3:$A$2927,$A77)=0,0,SUMIF('Raw Data'!$A$3:$A$2927, $A77,'Raw Data'!H$3:H$2927) / COUNTIF('Raw Data'!$A$3:$A$2927,$A77))</f>
        <v>0</v>
      </c>
      <c r="L77">
        <f t="array" ref="L77">MAX(IF('Raw Data'!$A$3:$A$927=$A77, 'Raw Data'!$N$3:$N$927))</f>
        <v>0</v>
      </c>
      <c r="M77">
        <f>IF( COUNTIF('Raw Data'!$A$3:$A$2927,$A77)=0,0,SUMIF('Raw Data'!$A$3:$A$2927, $A77,'Raw Data'!J$3:J$2927) / COUNTIF('Raw Data'!$A$3:$A$2927,$A77))</f>
        <v>0</v>
      </c>
      <c r="N77">
        <f>IF( COUNTIF('Raw Data'!$A$3:$A$2927,$A77)=0,0,SUMIF('Raw Data'!$A$3:$A$2927, $A77,'Raw Data'!K$3:K$2927) / COUNTIF('Raw Data'!$A$3:$A$2927,$A77))</f>
        <v>0</v>
      </c>
      <c r="O77">
        <f>IF( COUNTIF('Raw Data'!$A$3:$A$2927,$A77)=0,0,SUMIF('Raw Data'!$A$3:$A$2927, $A77,'Raw Data'!L$3:L$2927) / COUNTIF('Raw Data'!$A$3:$A$2927,$A77))</f>
        <v>0</v>
      </c>
      <c r="P77" s="58">
        <f>IF( COUNTIF('Raw Data'!$A$3:$A$2927,$A77)=0,0,SUMIF('Raw Data'!$A$3:$A$2927, $A77,'Raw Data'!M$3:M$2927) / COUNTIF('Raw Data'!$A$3:$A$2927,$A77))</f>
        <v>0</v>
      </c>
      <c r="Q77">
        <f t="array" ref="Q77">MAX(IF('Raw Data'!$A$3:$A$927=$A77, 'Raw Data'!$Z$3:$Z$927))</f>
        <v>4</v>
      </c>
      <c r="R77">
        <f t="array" ref="R77">MAX(IF('Raw Data'!$A$3:$A$927=$A77, 'Raw Data'!$T$3:$T$927))</f>
        <v>3</v>
      </c>
      <c r="S77" s="118">
        <f>IF( COUNTIF('Raw Data'!$A$3:$A$2927,$A77)=0,0,SUMIF('Raw Data'!$A$3:$A$2927, $A77,'Raw Data'!P$3:P$2927) / COUNTIF('Raw Data'!$A$3:$A$2927,$A77))</f>
        <v>0</v>
      </c>
      <c r="T77">
        <f>IF( COUNTIF('Raw Data'!$A$3:$A$2927,$A77)=0,0,SUMIF('Raw Data'!$A$3:$A$2927, $A77,'Raw Data'!Q$3:Q$2927) / COUNTIF('Raw Data'!$A$3:$A$2927,$A77))</f>
        <v>1.3333333333333333</v>
      </c>
      <c r="U77">
        <f>IF( COUNTIF('Raw Data'!$A$3:$A$2927,$A77)=0,0,SUMIF('Raw Data'!$A$3:$A$2927, $A77,'Raw Data'!R$3:R$2927) / COUNTIF('Raw Data'!$A$3:$A$2927,$A77))</f>
        <v>0.55555555555555558</v>
      </c>
      <c r="V77">
        <f>IF( COUNTIF('Raw Data'!$A$3:$A$2927,$A77)=0,0,SUMIF('Raw Data'!$A$3:$A$2927, $A77,'Raw Data'!S$3:S$2927) / COUNTIF('Raw Data'!$A$3:$A$2927,$A77))</f>
        <v>0.44444444444444442</v>
      </c>
      <c r="W77">
        <f t="array" ref="W77">MAX(IF('Raw Data'!$A$3:$A$927=$A77, 'Raw Data'!$Y$3:$Y$927))</f>
        <v>2</v>
      </c>
      <c r="X77">
        <f>IF( COUNTIF('Raw Data'!$A$3:$A$2927,$A77)=0,0,SUMIF('Raw Data'!$A$3:$A$2927, $A77,'Raw Data'!U$3:U$2927) / COUNTIF('Raw Data'!$A$3:$A$2927,$A77))</f>
        <v>0</v>
      </c>
      <c r="Y77">
        <f>IF( COUNTIF('Raw Data'!$A$3:$A$2927,$A77)=0,0,SUMIF('Raw Data'!$A$3:$A$2927, $A77,'Raw Data'!V$3:V$2927) / COUNTIF('Raw Data'!$A$3:$A$2927,$A77))</f>
        <v>0.55555555555555558</v>
      </c>
      <c r="Z77">
        <f>IF( COUNTIF('Raw Data'!$A$3:$A$2927,$A77)=0,0,SUMIF('Raw Data'!$A$3:$A$2927, $A77,'Raw Data'!W$3:W$2927) / COUNTIF('Raw Data'!$A$3:$A$2927,$A77))</f>
        <v>0.22222222222222221</v>
      </c>
      <c r="AA77">
        <f>IF( COUNTIF('Raw Data'!$A$3:$A$2927,$A77)=0,0,SUMIF('Raw Data'!$A$3:$A$2927, $A77,'Raw Data'!X$3:X$2927) / COUNTIF('Raw Data'!$A$3:$A$2927,$A77))</f>
        <v>0</v>
      </c>
      <c r="AB77">
        <f>IF( COUNTIF('Raw Data'!$A$3:$A$2927,$A77)=0,0,SUMIF('Raw Data'!$A$3:$A$2927, $A77,'Raw Data'!AA$3:AA$2927) / COUNTIF('Raw Data'!$A$3:$A$2927,$A77))</f>
        <v>0.33333333333333331</v>
      </c>
      <c r="AC77">
        <f>IF( COUNTIF('Raw Data'!$A$3:$A$2927,$A77)=0,0,SUMIF('Raw Data'!$A$3:$A$2927, $A77,'Raw Data'!AB$3:AB$2927) / COUNTIF('Raw Data'!$A$3:$A$2927,$A77))</f>
        <v>0.1111111111111111</v>
      </c>
      <c r="AD77">
        <f>IF( COUNTIF('Raw Data'!$A$3:$A$2927,$A77)=0,0,SUMIF('Raw Data'!$A$3:$A$2927, $A77,'Raw Data'!AC$3:AC$2927) / COUNTIF('Raw Data'!$A$3:$A$2927,$A77))</f>
        <v>1.5555555555555556</v>
      </c>
      <c r="AE77" s="117">
        <f>IF( COUNTIF('Raw Data'!$A$3:$A$2927,$A77)=0,0,SUMIF('Raw Data'!$A$3:$A$2927, $A77,'Raw Data'!AD$3:AD$2927) / COUNTIF('Raw Data'!$A$3:$A$2927,$A77))</f>
        <v>0.1111111111111111</v>
      </c>
      <c r="AF77">
        <f>IF( COUNTIF('Raw Data'!$A$3:$A$2927,$A77)=0,0,SUMIF('Raw Data'!$A$3:$A$2927, $A77,'Raw Data'!AE$3:AE$2927) / COUNTIF('Raw Data'!$A$3:$A$2927,$A77))</f>
        <v>0</v>
      </c>
      <c r="AG77">
        <f>IF( COUNTIF('Raw Data'!$A$3:$A$2927,$A77)=0,0,SUMIF('Raw Data'!$A$3:$A$2927, $A77,'Raw Data'!AF$3:AF$2927) / COUNTIF('Raw Data'!$A$3:$A$2927,$A77))</f>
        <v>0</v>
      </c>
      <c r="AH77">
        <f>IF( COUNTIF('Raw Data'!$A$3:$A$2927,$A77)=0,0,SUMIF('Raw Data'!$A$3:$A$2927, $A77,'Raw Data'!AG$3:AG$2927) / COUNTIF('Raw Data'!$A$3:$A$2927,$A77))</f>
        <v>2.6666666666666665</v>
      </c>
      <c r="AI77">
        <f>IF( COUNTIF('Raw Data'!$A$3:$A$2927,$A77)=0,0,SUMIF('Raw Data'!$A$3:$A$2927, $A77,'Raw Data'!AH$3:AH$2927) / COUNTIF('Raw Data'!$A$3:$A$2927,$A77))</f>
        <v>0.22222222222222221</v>
      </c>
      <c r="AJ77" s="116">
        <f>COUNTIF('Raw Data'!A$3:A$2927, $A77)</f>
        <v>9</v>
      </c>
      <c r="AK77">
        <f>IFERROR(SUM(IF($E77 &gt;autoThreshold, auto), hatch * SUM($H77:$K77), cargo * SUM($M77:$P77),hatch * SUM( $S77:$V77), cargo * SUM($X77:$AA77), rocket23 * SUM($J77:$K77, $O77:$P77, $U77:$V77, $Z77:$AA77), IF($AD77 &gt; climbThreshold, climb), IF($AC77 &gt; assistThreshold, $AC77 * assist), $AH77 * penalty, dropHatch * $AI77, tippedBroke * SUM($AE77:$AF77),  IF( $E77 &lt; noAutoThreshold, noAuto), IF($C77 &lt; doesNothingThreshold, doesNothing, IF($AD77 &gt;1.45, 2) )), "h")</f>
        <v>4.4577777777777783</v>
      </c>
      <c r="AL77">
        <f>SUM(hHatch * SUM($H77:$K77), hHatch * SUM($S77:$V77), hRocket23 * SUM($J77:$K77), hRocket23 * SUM($U77:$V77), hSandstorm * SUM($H77:$K77), hPenalty * $AH77, hDropHatch * $AI77,hTippedBroke * SUM($AE77:$AF77), IF($E77 &lt; hNoAutoThreshold, hNoAuto), IF($AG77 &gt; hFloorHatchThreshold, hFloorHatch))</f>
        <v>0.83333333333333315</v>
      </c>
      <c r="AM77">
        <f>SUM(cCargo * SUM($M77:$P77), cCargo *SUM( $X77:$AA77), cRocket23 * SUM($O77:$P77, $Z77:$AA77),cSandstorm * SUM($M77:$P77), cPenalty * $AH77, cTippedBroke * SUM($AE77:$AF77), IF($E77 &lt; cNoAutoThreshold, cNoAuto, 0))</f>
        <v>-0.21333333333333337</v>
      </c>
    </row>
    <row r="78" spans="1:39" ht="15.75" thickBot="1">
      <c r="A78">
        <v>6342</v>
      </c>
      <c r="B78" t="s">
        <v>433</v>
      </c>
      <c r="C78">
        <f>PRODUCT($E78,3)+PRODUCT(SUM($H78:$K78),2)+PRODUCT(SUM($M78:$P78),3)+PRODUCT(SUM($S78:$V78),2)+PRODUCT(SUM($X78:$AA78), 3)+IF($AC78 &gt; 2, PRODUCT(SUM($AC78, -1),6), PRODUCT($AC78,3)) + IF($AD78 &gt; 2, PRODUCT(SUM($AD78, -1),6), PRODUCT($AD78,3)) + PRODUCT($AH78, -1)</f>
        <v>0</v>
      </c>
      <c r="D78">
        <f>PRODUCT(SUM($H78:$I78), 2) + PRODUCT(SUM($M78:$N78),3) + PRODUCT(SUM($S78:$T78), 2) + PRODUCT(SUM($X78:$Y78), 3)</f>
        <v>0</v>
      </c>
      <c r="E78">
        <f>IF( COUNTIF('Raw Data'!$A$3:$A$2927,$A78)=0,0,SUMIF('Raw Data'!$A$3:$A$2927, $A78,'Raw Data'!D$3:D$2927) / COUNTIF('Raw Data'!$A$3:$A$2927,$A78))</f>
        <v>0</v>
      </c>
      <c r="F78">
        <f t="array" ref="F78">MAX(IF('Raw Data'!$A$3:$A$927=$A78, 'Raw Data'!$O$3:$O$927))</f>
        <v>0</v>
      </c>
      <c r="G78">
        <f t="array" ref="G78">MAX(IF('Raw Data'!$A$3:$A$927=$A78, 'Raw Data'!$I$3:$I$927))</f>
        <v>0</v>
      </c>
      <c r="H78">
        <f>IF( COUNTIF('Raw Data'!$A$3:$A$2927,$A78)=0,0,SUMIF('Raw Data'!$A$3:$A$2927, $A78,'Raw Data'!E$3:E$2927) / COUNTIF('Raw Data'!$A$3:$A$2927,$A78))</f>
        <v>0</v>
      </c>
      <c r="I78">
        <f>IF( COUNTIF('Raw Data'!$A$3:$A$2927,$A78)=0,0,SUMIF('Raw Data'!$A$3:$A$2927, $A78,'Raw Data'!F$3:F$2927) / COUNTIF('Raw Data'!$A$3:$A$2927,$A78))</f>
        <v>0</v>
      </c>
      <c r="J78">
        <f>IF( COUNTIF('Raw Data'!$A$3:$A$2927,$A78)=0,0,SUMIF('Raw Data'!$A$3:$A$2927, $A78,'Raw Data'!G$3:G$2927) / COUNTIF('Raw Data'!$A$3:$A$2927,$A78))</f>
        <v>0</v>
      </c>
      <c r="K78">
        <f>IF( COUNTIF('Raw Data'!$A$3:$A$2927,$A78)=0,0,SUMIF('Raw Data'!$A$3:$A$2927, $A78,'Raw Data'!H$3:H$2927) / COUNTIF('Raw Data'!$A$3:$A$2927,$A78))</f>
        <v>0</v>
      </c>
      <c r="L78">
        <f t="array" ref="L78">MAX(IF('Raw Data'!$A$3:$A$927=$A78, 'Raw Data'!$N$3:$N$927))</f>
        <v>0</v>
      </c>
      <c r="M78">
        <f>IF( COUNTIF('Raw Data'!$A$3:$A$2927,$A78)=0,0,SUMIF('Raw Data'!$A$3:$A$2927, $A78,'Raw Data'!J$3:J$2927) / COUNTIF('Raw Data'!$A$3:$A$2927,$A78))</f>
        <v>0</v>
      </c>
      <c r="N78">
        <f>IF( COUNTIF('Raw Data'!$A$3:$A$2927,$A78)=0,0,SUMIF('Raw Data'!$A$3:$A$2927, $A78,'Raw Data'!K$3:K$2927) / COUNTIF('Raw Data'!$A$3:$A$2927,$A78))</f>
        <v>0</v>
      </c>
      <c r="O78">
        <f>IF( COUNTIF('Raw Data'!$A$3:$A$2927,$A78)=0,0,SUMIF('Raw Data'!$A$3:$A$2927, $A78,'Raw Data'!L$3:L$2927) / COUNTIF('Raw Data'!$A$3:$A$2927,$A78))</f>
        <v>0</v>
      </c>
      <c r="P78" s="58">
        <f>IF( COUNTIF('Raw Data'!$A$3:$A$2927,$A78)=0,0,SUMIF('Raw Data'!$A$3:$A$2927, $A78,'Raw Data'!M$3:M$2927) / COUNTIF('Raw Data'!$A$3:$A$2927,$A78))</f>
        <v>0</v>
      </c>
      <c r="Q78">
        <f t="array" ref="Q78">MAX(IF('Raw Data'!$A$3:$A$927=$A78, 'Raw Data'!$Z$3:$Z$927))</f>
        <v>0</v>
      </c>
      <c r="R78">
        <f t="array" ref="R78">MAX(IF('Raw Data'!$A$3:$A$927=$A78, 'Raw Data'!$T$3:$T$927))</f>
        <v>0</v>
      </c>
      <c r="S78" s="118">
        <f>IF( COUNTIF('Raw Data'!$A$3:$A$2927,$A78)=0,0,SUMIF('Raw Data'!$A$3:$A$2927, $A78,'Raw Data'!P$3:P$2927) / COUNTIF('Raw Data'!$A$3:$A$2927,$A78))</f>
        <v>0</v>
      </c>
      <c r="T78">
        <f>IF( COUNTIF('Raw Data'!$A$3:$A$2927,$A78)=0,0,SUMIF('Raw Data'!$A$3:$A$2927, $A78,'Raw Data'!Q$3:Q$2927) / COUNTIF('Raw Data'!$A$3:$A$2927,$A78))</f>
        <v>0</v>
      </c>
      <c r="U78">
        <f>IF( COUNTIF('Raw Data'!$A$3:$A$2927,$A78)=0,0,SUMIF('Raw Data'!$A$3:$A$2927, $A78,'Raw Data'!R$3:R$2927) / COUNTIF('Raw Data'!$A$3:$A$2927,$A78))</f>
        <v>0</v>
      </c>
      <c r="V78">
        <f>IF( COUNTIF('Raw Data'!$A$3:$A$2927,$A78)=0,0,SUMIF('Raw Data'!$A$3:$A$2927, $A78,'Raw Data'!S$3:S$2927) / COUNTIF('Raw Data'!$A$3:$A$2927,$A78))</f>
        <v>0</v>
      </c>
      <c r="W78">
        <f t="array" ref="W78">MAX(IF('Raw Data'!$A$3:$A$927=$A78, 'Raw Data'!$Y$3:$Y$927))</f>
        <v>0</v>
      </c>
      <c r="X78">
        <f>IF( COUNTIF('Raw Data'!$A$3:$A$2927,$A78)=0,0,SUMIF('Raw Data'!$A$3:$A$2927, $A78,'Raw Data'!U$3:U$2927) / COUNTIF('Raw Data'!$A$3:$A$2927,$A78))</f>
        <v>0</v>
      </c>
      <c r="Y78">
        <f>IF( COUNTIF('Raw Data'!$A$3:$A$2927,$A78)=0,0,SUMIF('Raw Data'!$A$3:$A$2927, $A78,'Raw Data'!V$3:V$2927) / COUNTIF('Raw Data'!$A$3:$A$2927,$A78))</f>
        <v>0</v>
      </c>
      <c r="Z78">
        <f>IF( COUNTIF('Raw Data'!$A$3:$A$2927,$A78)=0,0,SUMIF('Raw Data'!$A$3:$A$2927, $A78,'Raw Data'!W$3:W$2927) / COUNTIF('Raw Data'!$A$3:$A$2927,$A78))</f>
        <v>0</v>
      </c>
      <c r="AA78">
        <f>IF( COUNTIF('Raw Data'!$A$3:$A$2927,$A78)=0,0,SUMIF('Raw Data'!$A$3:$A$2927, $A78,'Raw Data'!X$3:X$2927) / COUNTIF('Raw Data'!$A$3:$A$2927,$A78))</f>
        <v>0</v>
      </c>
      <c r="AB78">
        <f>IF( COUNTIF('Raw Data'!$A$3:$A$2927,$A78)=0,0,SUMIF('Raw Data'!$A$3:$A$2927, $A78,'Raw Data'!AA$3:AA$2927) / COUNTIF('Raw Data'!$A$3:$A$2927,$A78))</f>
        <v>0</v>
      </c>
      <c r="AC78">
        <f>IF( COUNTIF('Raw Data'!$A$3:$A$2927,$A78)=0,0,SUMIF('Raw Data'!$A$3:$A$2927, $A78,'Raw Data'!AB$3:AB$2927) / COUNTIF('Raw Data'!$A$3:$A$2927,$A78))</f>
        <v>0</v>
      </c>
      <c r="AD78">
        <f>IF( COUNTIF('Raw Data'!$A$3:$A$2927,$A78)=0,0,SUMIF('Raw Data'!$A$3:$A$2927, $A78,'Raw Data'!AC$3:AC$2927) / COUNTIF('Raw Data'!$A$3:$A$2927,$A78))</f>
        <v>0</v>
      </c>
      <c r="AE78" s="117">
        <f>IF( COUNTIF('Raw Data'!$A$3:$A$2927,$A78)=0,0,SUMIF('Raw Data'!$A$3:$A$2927, $A78,'Raw Data'!AD$3:AD$2927) / COUNTIF('Raw Data'!$A$3:$A$2927,$A78))</f>
        <v>0</v>
      </c>
      <c r="AF78">
        <f>IF( COUNTIF('Raw Data'!$A$3:$A$2927,$A78)=0,0,SUMIF('Raw Data'!$A$3:$A$2927, $A78,'Raw Data'!AE$3:AE$2927) / COUNTIF('Raw Data'!$A$3:$A$2927,$A78))</f>
        <v>0</v>
      </c>
      <c r="AG78">
        <f>IF( COUNTIF('Raw Data'!$A$3:$A$2927,$A78)=0,0,SUMIF('Raw Data'!$A$3:$A$2927, $A78,'Raw Data'!AF$3:AF$2927) / COUNTIF('Raw Data'!$A$3:$A$2927,$A78))</f>
        <v>0</v>
      </c>
      <c r="AH78">
        <f>IF( COUNTIF('Raw Data'!$A$3:$A$2927,$A78)=0,0,SUMIF('Raw Data'!$A$3:$A$2927, $A78,'Raw Data'!AG$3:AG$2927) / COUNTIF('Raw Data'!$A$3:$A$2927,$A78))</f>
        <v>0</v>
      </c>
      <c r="AI78">
        <f>IF( COUNTIF('Raw Data'!$A$3:$A$2927,$A78)=0,0,SUMIF('Raw Data'!$A$3:$A$2927, $A78,'Raw Data'!AH$3:AH$2927) / COUNTIF('Raw Data'!$A$3:$A$2927,$A78))</f>
        <v>0</v>
      </c>
      <c r="AJ78" s="116">
        <f>COUNTIF('Raw Data'!A$3:A$2927, $A78)</f>
        <v>0</v>
      </c>
      <c r="AK78">
        <f>IFERROR(SUM(IF($E78 &gt;autoThreshold, auto), hatch * SUM($H78:$K78), cargo * SUM($M78:$P78),hatch * SUM( $S78:$V78), cargo * SUM($X78:$AA78), rocket23 * SUM($J78:$K78, $O78:$P78, $U78:$V78, $Z78:$AA78), IF($AD78 &gt; climbThreshold, climb), IF($AC78 &gt; assistThreshold, $AC78 * assist), $AH78 * penalty, dropHatch * $AI78, tippedBroke * SUM($AE78:$AF78),  IF( $E78 &lt; noAutoThreshold, noAuto), IF($C78 &lt; doesNothingThreshold, doesNothing, IF($AD78 &gt;1.45, 2) )), "h")</f>
        <v>-21</v>
      </c>
      <c r="AL78">
        <f>SUM(hHatch * SUM($H78:$K78), hHatch * SUM($S78:$V78), hRocket23 * SUM($J78:$K78), hRocket23 * SUM($U78:$V78), hSandstorm * SUM($H78:$K78), hPenalty * $AH78, hDropHatch * $AI78,hTippedBroke * SUM($AE78:$AF78), IF($E78 &lt; hNoAutoThreshold, hNoAuto), IF($AG78 &gt; hFloorHatchThreshold, hFloorHatch))</f>
        <v>-1.5</v>
      </c>
      <c r="AM78">
        <f>SUM(cCargo * SUM($M78:$P78), cCargo *SUM( $X78:$AA78), cRocket23 * SUM($O78:$P78, $Z78:$AA78),cSandstorm * SUM($M78:$P78), cPenalty * $AH78, cTippedBroke * SUM($AE78:$AF78), IF($E78 &lt; cNoAutoThreshold, cNoAuto, 0))</f>
        <v>-1</v>
      </c>
    </row>
    <row r="79" spans="1:39" ht="15.75" thickBot="1">
      <c r="A79">
        <v>6378</v>
      </c>
      <c r="B79" t="s">
        <v>494</v>
      </c>
      <c r="C79">
        <f>PRODUCT($E79,3)+PRODUCT(SUM($H79:$K79),2)+PRODUCT(SUM($M79:$P79),3)+PRODUCT(SUM($S79:$V79),2)+PRODUCT(SUM($X79:$AA79), 3)+IF($AC79 &gt; 2, PRODUCT(SUM($AC79, -1),6), PRODUCT($AC79,3)) + IF($AD79 &gt; 2, PRODUCT(SUM($AD79, -1),6), PRODUCT($AD79,3)) + PRODUCT($AH79, -1)</f>
        <v>0</v>
      </c>
      <c r="D79">
        <f>PRODUCT(SUM($H79:$I79), 2) + PRODUCT(SUM($M79:$N79),3) + PRODUCT(SUM($S79:$T79), 2) + PRODUCT(SUM($X79:$Y79), 3)</f>
        <v>0</v>
      </c>
      <c r="E79">
        <f>IF( COUNTIF('Raw Data'!$A$3:$A$2927,$A79)=0,0,SUMIF('Raw Data'!$A$3:$A$2927, $A79,'Raw Data'!D$3:D$2927) / COUNTIF('Raw Data'!$A$3:$A$2927,$A79))</f>
        <v>0</v>
      </c>
      <c r="F79">
        <f t="array" ref="F79">MAX(IF('Raw Data'!$A$3:$A$927=$A79, 'Raw Data'!$O$3:$O$927))</f>
        <v>0</v>
      </c>
      <c r="G79">
        <f t="array" ref="G79">MAX(IF('Raw Data'!$A$3:$A$927=$A79, 'Raw Data'!$I$3:$I$927))</f>
        <v>0</v>
      </c>
      <c r="H79">
        <f>IF( COUNTIF('Raw Data'!$A$3:$A$2927,$A79)=0,0,SUMIF('Raw Data'!$A$3:$A$2927, $A79,'Raw Data'!E$3:E$2927) / COUNTIF('Raw Data'!$A$3:$A$2927,$A79))</f>
        <v>0</v>
      </c>
      <c r="I79">
        <f>IF( COUNTIF('Raw Data'!$A$3:$A$2927,$A79)=0,0,SUMIF('Raw Data'!$A$3:$A$2927, $A79,'Raw Data'!F$3:F$2927) / COUNTIF('Raw Data'!$A$3:$A$2927,$A79))</f>
        <v>0</v>
      </c>
      <c r="J79">
        <f>IF( COUNTIF('Raw Data'!$A$3:$A$2927,$A79)=0,0,SUMIF('Raw Data'!$A$3:$A$2927, $A79,'Raw Data'!G$3:G$2927) / COUNTIF('Raw Data'!$A$3:$A$2927,$A79))</f>
        <v>0</v>
      </c>
      <c r="K79">
        <f>IF( COUNTIF('Raw Data'!$A$3:$A$2927,$A79)=0,0,SUMIF('Raw Data'!$A$3:$A$2927, $A79,'Raw Data'!H$3:H$2927) / COUNTIF('Raw Data'!$A$3:$A$2927,$A79))</f>
        <v>0</v>
      </c>
      <c r="L79">
        <f t="array" ref="L79">MAX(IF('Raw Data'!$A$3:$A$927=$A79, 'Raw Data'!$N$3:$N$927))</f>
        <v>0</v>
      </c>
      <c r="M79">
        <f>IF( COUNTIF('Raw Data'!$A$3:$A$2927,$A79)=0,0,SUMIF('Raw Data'!$A$3:$A$2927, $A79,'Raw Data'!J$3:J$2927) / COUNTIF('Raw Data'!$A$3:$A$2927,$A79))</f>
        <v>0</v>
      </c>
      <c r="N79">
        <f>IF( COUNTIF('Raw Data'!$A$3:$A$2927,$A79)=0,0,SUMIF('Raw Data'!$A$3:$A$2927, $A79,'Raw Data'!K$3:K$2927) / COUNTIF('Raw Data'!$A$3:$A$2927,$A79))</f>
        <v>0</v>
      </c>
      <c r="O79">
        <f>IF( COUNTIF('Raw Data'!$A$3:$A$2927,$A79)=0,0,SUMIF('Raw Data'!$A$3:$A$2927, $A79,'Raw Data'!L$3:L$2927) / COUNTIF('Raw Data'!$A$3:$A$2927,$A79))</f>
        <v>0</v>
      </c>
      <c r="P79" s="58">
        <f>IF( COUNTIF('Raw Data'!$A$3:$A$2927,$A79)=0,0,SUMIF('Raw Data'!$A$3:$A$2927, $A79,'Raw Data'!M$3:M$2927) / COUNTIF('Raw Data'!$A$3:$A$2927,$A79))</f>
        <v>0</v>
      </c>
      <c r="Q79">
        <f t="array" ref="Q79">MAX(IF('Raw Data'!$A$3:$A$927=$A79, 'Raw Data'!$Z$3:$Z$927))</f>
        <v>0</v>
      </c>
      <c r="R79">
        <f t="array" ref="R79">MAX(IF('Raw Data'!$A$3:$A$927=$A79, 'Raw Data'!$T$3:$T$927))</f>
        <v>0</v>
      </c>
      <c r="S79" s="118">
        <f>IF( COUNTIF('Raw Data'!$A$3:$A$2927,$A79)=0,0,SUMIF('Raw Data'!$A$3:$A$2927, $A79,'Raw Data'!P$3:P$2927) / COUNTIF('Raw Data'!$A$3:$A$2927,$A79))</f>
        <v>0</v>
      </c>
      <c r="T79">
        <f>IF( COUNTIF('Raw Data'!$A$3:$A$2927,$A79)=0,0,SUMIF('Raw Data'!$A$3:$A$2927, $A79,'Raw Data'!Q$3:Q$2927) / COUNTIF('Raw Data'!$A$3:$A$2927,$A79))</f>
        <v>0</v>
      </c>
      <c r="U79">
        <f>IF( COUNTIF('Raw Data'!$A$3:$A$2927,$A79)=0,0,SUMIF('Raw Data'!$A$3:$A$2927, $A79,'Raw Data'!R$3:R$2927) / COUNTIF('Raw Data'!$A$3:$A$2927,$A79))</f>
        <v>0</v>
      </c>
      <c r="V79">
        <f>IF( COUNTIF('Raw Data'!$A$3:$A$2927,$A79)=0,0,SUMIF('Raw Data'!$A$3:$A$2927, $A79,'Raw Data'!S$3:S$2927) / COUNTIF('Raw Data'!$A$3:$A$2927,$A79))</f>
        <v>0</v>
      </c>
      <c r="W79">
        <f t="array" ref="W79">MAX(IF('Raw Data'!$A$3:$A$927=$A79, 'Raw Data'!$Y$3:$Y$927))</f>
        <v>0</v>
      </c>
      <c r="X79">
        <f>IF( COUNTIF('Raw Data'!$A$3:$A$2927,$A79)=0,0,SUMIF('Raw Data'!$A$3:$A$2927, $A79,'Raw Data'!U$3:U$2927) / COUNTIF('Raw Data'!$A$3:$A$2927,$A79))</f>
        <v>0</v>
      </c>
      <c r="Y79">
        <f>IF( COUNTIF('Raw Data'!$A$3:$A$2927,$A79)=0,0,SUMIF('Raw Data'!$A$3:$A$2927, $A79,'Raw Data'!V$3:V$2927) / COUNTIF('Raw Data'!$A$3:$A$2927,$A79))</f>
        <v>0</v>
      </c>
      <c r="Z79">
        <f>IF( COUNTIF('Raw Data'!$A$3:$A$2927,$A79)=0,0,SUMIF('Raw Data'!$A$3:$A$2927, $A79,'Raw Data'!W$3:W$2927) / COUNTIF('Raw Data'!$A$3:$A$2927,$A79))</f>
        <v>0</v>
      </c>
      <c r="AA79">
        <f>IF( COUNTIF('Raw Data'!$A$3:$A$2927,$A79)=0,0,SUMIF('Raw Data'!$A$3:$A$2927, $A79,'Raw Data'!X$3:X$2927) / COUNTIF('Raw Data'!$A$3:$A$2927,$A79))</f>
        <v>0</v>
      </c>
      <c r="AB79">
        <f>IF( COUNTIF('Raw Data'!$A$3:$A$2927,$A79)=0,0,SUMIF('Raw Data'!$A$3:$A$2927, $A79,'Raw Data'!AA$3:AA$2927) / COUNTIF('Raw Data'!$A$3:$A$2927,$A79))</f>
        <v>0</v>
      </c>
      <c r="AC79">
        <f>IF( COUNTIF('Raw Data'!$A$3:$A$2927,$A79)=0,0,SUMIF('Raw Data'!$A$3:$A$2927, $A79,'Raw Data'!AB$3:AB$2927) / COUNTIF('Raw Data'!$A$3:$A$2927,$A79))</f>
        <v>0</v>
      </c>
      <c r="AD79">
        <f>IF( COUNTIF('Raw Data'!$A$3:$A$2927,$A79)=0,0,SUMIF('Raw Data'!$A$3:$A$2927, $A79,'Raw Data'!AC$3:AC$2927) / COUNTIF('Raw Data'!$A$3:$A$2927,$A79))</f>
        <v>0</v>
      </c>
      <c r="AE79" s="117">
        <f>IF( COUNTIF('Raw Data'!$A$3:$A$2927,$A79)=0,0,SUMIF('Raw Data'!$A$3:$A$2927, $A79,'Raw Data'!AD$3:AD$2927) / COUNTIF('Raw Data'!$A$3:$A$2927,$A79))</f>
        <v>0</v>
      </c>
      <c r="AF79">
        <f>IF( COUNTIF('Raw Data'!$A$3:$A$2927,$A79)=0,0,SUMIF('Raw Data'!$A$3:$A$2927, $A79,'Raw Data'!AE$3:AE$2927) / COUNTIF('Raw Data'!$A$3:$A$2927,$A79))</f>
        <v>0</v>
      </c>
      <c r="AG79">
        <f>IF( COUNTIF('Raw Data'!$A$3:$A$2927,$A79)=0,0,SUMIF('Raw Data'!$A$3:$A$2927, $A79,'Raw Data'!AF$3:AF$2927) / COUNTIF('Raw Data'!$A$3:$A$2927,$A79))</f>
        <v>0</v>
      </c>
      <c r="AH79">
        <f>IF( COUNTIF('Raw Data'!$A$3:$A$2927,$A79)=0,0,SUMIF('Raw Data'!$A$3:$A$2927, $A79,'Raw Data'!AG$3:AG$2927) / COUNTIF('Raw Data'!$A$3:$A$2927,$A79))</f>
        <v>0</v>
      </c>
      <c r="AI79">
        <f>IF( COUNTIF('Raw Data'!$A$3:$A$2927,$A79)=0,0,SUMIF('Raw Data'!$A$3:$A$2927, $A79,'Raw Data'!AH$3:AH$2927) / COUNTIF('Raw Data'!$A$3:$A$2927,$A79))</f>
        <v>0</v>
      </c>
      <c r="AJ79" s="116">
        <f>COUNTIF('Raw Data'!A$3:A$2927, $A79)</f>
        <v>0</v>
      </c>
      <c r="AK79">
        <f>IFERROR(SUM(IF($E79 &gt;autoThreshold, auto), hatch * SUM($H79:$K79), cargo * SUM($M79:$P79),hatch * SUM( $S79:$V79), cargo * SUM($X79:$AA79), rocket23 * SUM($J79:$K79, $O79:$P79, $U79:$V79, $Z79:$AA79), IF($AD79 &gt; climbThreshold, climb), IF($AC79 &gt; assistThreshold, $AC79 * assist), $AH79 * penalty, dropHatch * $AI79, tippedBroke * SUM($AE79:$AF79),  IF( $E79 &lt; noAutoThreshold, noAuto), IF($C79 &lt; doesNothingThreshold, doesNothing, IF($AD79 &gt;1.45, 2) )), "h")</f>
        <v>-21</v>
      </c>
      <c r="AL79">
        <f>SUM(hHatch * SUM($H79:$K79), hHatch * SUM($S79:$V79), hRocket23 * SUM($J79:$K79), hRocket23 * SUM($U79:$V79), hSandstorm * SUM($H79:$K79), hPenalty * $AH79, hDropHatch * $AI79,hTippedBroke * SUM($AE79:$AF79), IF($E79 &lt; hNoAutoThreshold, hNoAuto), IF($AG79 &gt; hFloorHatchThreshold, hFloorHatch))</f>
        <v>-1.5</v>
      </c>
      <c r="AM79">
        <f>SUM(cCargo * SUM($M79:$P79), cCargo *SUM( $X79:$AA79), cRocket23 * SUM($O79:$P79, $Z79:$AA79),cSandstorm * SUM($M79:$P79), cPenalty * $AH79, cTippedBroke * SUM($AE79:$AF79), IF($E79 &lt; cNoAutoThreshold, cNoAuto, 0))</f>
        <v>-1</v>
      </c>
    </row>
    <row r="80" spans="1:39" ht="15.75" thickBot="1">
      <c r="A80">
        <v>6397</v>
      </c>
      <c r="B80" t="s">
        <v>434</v>
      </c>
      <c r="C80">
        <f>PRODUCT($E80,3)+PRODUCT(SUM($H80:$K80),2)+PRODUCT(SUM($M80:$P80),3)+PRODUCT(SUM($S80:$V80),2)+PRODUCT(SUM($X80:$AA80), 3)+IF($AC80 &gt; 2, PRODUCT(SUM($AC80, -1),6), PRODUCT($AC80,3)) + IF($AD80 &gt; 2, PRODUCT(SUM($AD80, -1),6), PRODUCT($AD80,3)) + PRODUCT($AH80, -1)</f>
        <v>0</v>
      </c>
      <c r="D80">
        <f>PRODUCT(SUM($H80:$I80), 2) + PRODUCT(SUM($M80:$N80),3) + PRODUCT(SUM($S80:$T80), 2) + PRODUCT(SUM($X80:$Y80), 3)</f>
        <v>0</v>
      </c>
      <c r="E80">
        <f>IF( COUNTIF('Raw Data'!$A$3:$A$2927,$A80)=0,0,SUMIF('Raw Data'!$A$3:$A$2927, $A80,'Raw Data'!D$3:D$2927) / COUNTIF('Raw Data'!$A$3:$A$2927,$A80))</f>
        <v>0</v>
      </c>
      <c r="F80">
        <f t="array" ref="F80">MAX(IF('Raw Data'!$A$3:$A$927=$A80, 'Raw Data'!$O$3:$O$927))</f>
        <v>0</v>
      </c>
      <c r="G80">
        <f t="array" ref="G80">MAX(IF('Raw Data'!$A$3:$A$927=$A80, 'Raw Data'!$I$3:$I$927))</f>
        <v>0</v>
      </c>
      <c r="H80">
        <f>IF( COUNTIF('Raw Data'!$A$3:$A$2927,$A80)=0,0,SUMIF('Raw Data'!$A$3:$A$2927, $A80,'Raw Data'!E$3:E$2927) / COUNTIF('Raw Data'!$A$3:$A$2927,$A80))</f>
        <v>0</v>
      </c>
      <c r="I80">
        <f>IF( COUNTIF('Raw Data'!$A$3:$A$2927,$A80)=0,0,SUMIF('Raw Data'!$A$3:$A$2927, $A80,'Raw Data'!F$3:F$2927) / COUNTIF('Raw Data'!$A$3:$A$2927,$A80))</f>
        <v>0</v>
      </c>
      <c r="J80">
        <f>IF( COUNTIF('Raw Data'!$A$3:$A$2927,$A80)=0,0,SUMIF('Raw Data'!$A$3:$A$2927, $A80,'Raw Data'!G$3:G$2927) / COUNTIF('Raw Data'!$A$3:$A$2927,$A80))</f>
        <v>0</v>
      </c>
      <c r="K80">
        <f>IF( COUNTIF('Raw Data'!$A$3:$A$2927,$A80)=0,0,SUMIF('Raw Data'!$A$3:$A$2927, $A80,'Raw Data'!H$3:H$2927) / COUNTIF('Raw Data'!$A$3:$A$2927,$A80))</f>
        <v>0</v>
      </c>
      <c r="L80">
        <f t="array" ref="L80">MAX(IF('Raw Data'!$A$3:$A$927=$A80, 'Raw Data'!$N$3:$N$927))</f>
        <v>0</v>
      </c>
      <c r="M80">
        <f>IF( COUNTIF('Raw Data'!$A$3:$A$2927,$A80)=0,0,SUMIF('Raw Data'!$A$3:$A$2927, $A80,'Raw Data'!J$3:J$2927) / COUNTIF('Raw Data'!$A$3:$A$2927,$A80))</f>
        <v>0</v>
      </c>
      <c r="N80">
        <f>IF( COUNTIF('Raw Data'!$A$3:$A$2927,$A80)=0,0,SUMIF('Raw Data'!$A$3:$A$2927, $A80,'Raw Data'!K$3:K$2927) / COUNTIF('Raw Data'!$A$3:$A$2927,$A80))</f>
        <v>0</v>
      </c>
      <c r="O80">
        <f>IF( COUNTIF('Raw Data'!$A$3:$A$2927,$A80)=0,0,SUMIF('Raw Data'!$A$3:$A$2927, $A80,'Raw Data'!L$3:L$2927) / COUNTIF('Raw Data'!$A$3:$A$2927,$A80))</f>
        <v>0</v>
      </c>
      <c r="P80" s="58">
        <f>IF( COUNTIF('Raw Data'!$A$3:$A$2927,$A80)=0,0,SUMIF('Raw Data'!$A$3:$A$2927, $A80,'Raw Data'!M$3:M$2927) / COUNTIF('Raw Data'!$A$3:$A$2927,$A80))</f>
        <v>0</v>
      </c>
      <c r="Q80">
        <f t="array" ref="Q80">MAX(IF('Raw Data'!$A$3:$A$927=$A80, 'Raw Data'!$Z$3:$Z$927))</f>
        <v>0</v>
      </c>
      <c r="R80">
        <f t="array" ref="R80">MAX(IF('Raw Data'!$A$3:$A$927=$A80, 'Raw Data'!$T$3:$T$927))</f>
        <v>0</v>
      </c>
      <c r="S80" s="118">
        <f>IF( COUNTIF('Raw Data'!$A$3:$A$2927,$A80)=0,0,SUMIF('Raw Data'!$A$3:$A$2927, $A80,'Raw Data'!P$3:P$2927) / COUNTIF('Raw Data'!$A$3:$A$2927,$A80))</f>
        <v>0</v>
      </c>
      <c r="T80">
        <f>IF( COUNTIF('Raw Data'!$A$3:$A$2927,$A80)=0,0,SUMIF('Raw Data'!$A$3:$A$2927, $A80,'Raw Data'!Q$3:Q$2927) / COUNTIF('Raw Data'!$A$3:$A$2927,$A80))</f>
        <v>0</v>
      </c>
      <c r="U80">
        <f>IF( COUNTIF('Raw Data'!$A$3:$A$2927,$A80)=0,0,SUMIF('Raw Data'!$A$3:$A$2927, $A80,'Raw Data'!R$3:R$2927) / COUNTIF('Raw Data'!$A$3:$A$2927,$A80))</f>
        <v>0</v>
      </c>
      <c r="V80">
        <f>IF( COUNTIF('Raw Data'!$A$3:$A$2927,$A80)=0,0,SUMIF('Raw Data'!$A$3:$A$2927, $A80,'Raw Data'!S$3:S$2927) / COUNTIF('Raw Data'!$A$3:$A$2927,$A80))</f>
        <v>0</v>
      </c>
      <c r="W80">
        <f t="array" ref="W80">MAX(IF('Raw Data'!$A$3:$A$927=$A80, 'Raw Data'!$Y$3:$Y$927))</f>
        <v>0</v>
      </c>
      <c r="X80">
        <f>IF( COUNTIF('Raw Data'!$A$3:$A$2927,$A80)=0,0,SUMIF('Raw Data'!$A$3:$A$2927, $A80,'Raw Data'!U$3:U$2927) / COUNTIF('Raw Data'!$A$3:$A$2927,$A80))</f>
        <v>0</v>
      </c>
      <c r="Y80">
        <f>IF( COUNTIF('Raw Data'!$A$3:$A$2927,$A80)=0,0,SUMIF('Raw Data'!$A$3:$A$2927, $A80,'Raw Data'!V$3:V$2927) / COUNTIF('Raw Data'!$A$3:$A$2927,$A80))</f>
        <v>0</v>
      </c>
      <c r="Z80">
        <f>IF( COUNTIF('Raw Data'!$A$3:$A$2927,$A80)=0,0,SUMIF('Raw Data'!$A$3:$A$2927, $A80,'Raw Data'!W$3:W$2927) / COUNTIF('Raw Data'!$A$3:$A$2927,$A80))</f>
        <v>0</v>
      </c>
      <c r="AA80">
        <f>IF( COUNTIF('Raw Data'!$A$3:$A$2927,$A80)=0,0,SUMIF('Raw Data'!$A$3:$A$2927, $A80,'Raw Data'!X$3:X$2927) / COUNTIF('Raw Data'!$A$3:$A$2927,$A80))</f>
        <v>0</v>
      </c>
      <c r="AB80">
        <f>IF( COUNTIF('Raw Data'!$A$3:$A$2927,$A80)=0,0,SUMIF('Raw Data'!$A$3:$A$2927, $A80,'Raw Data'!AA$3:AA$2927) / COUNTIF('Raw Data'!$A$3:$A$2927,$A80))</f>
        <v>0</v>
      </c>
      <c r="AC80">
        <f>IF( COUNTIF('Raw Data'!$A$3:$A$2927,$A80)=0,0,SUMIF('Raw Data'!$A$3:$A$2927, $A80,'Raw Data'!AB$3:AB$2927) / COUNTIF('Raw Data'!$A$3:$A$2927,$A80))</f>
        <v>0</v>
      </c>
      <c r="AD80">
        <f>IF( COUNTIF('Raw Data'!$A$3:$A$2927,$A80)=0,0,SUMIF('Raw Data'!$A$3:$A$2927, $A80,'Raw Data'!AC$3:AC$2927) / COUNTIF('Raw Data'!$A$3:$A$2927,$A80))</f>
        <v>0</v>
      </c>
      <c r="AE80" s="117">
        <f>IF( COUNTIF('Raw Data'!$A$3:$A$2927,$A80)=0,0,SUMIF('Raw Data'!$A$3:$A$2927, $A80,'Raw Data'!AD$3:AD$2927) / COUNTIF('Raw Data'!$A$3:$A$2927,$A80))</f>
        <v>0</v>
      </c>
      <c r="AF80">
        <f>IF( COUNTIF('Raw Data'!$A$3:$A$2927,$A80)=0,0,SUMIF('Raw Data'!$A$3:$A$2927, $A80,'Raw Data'!AE$3:AE$2927) / COUNTIF('Raw Data'!$A$3:$A$2927,$A80))</f>
        <v>0</v>
      </c>
      <c r="AG80">
        <f>IF( COUNTIF('Raw Data'!$A$3:$A$2927,$A80)=0,0,SUMIF('Raw Data'!$A$3:$A$2927, $A80,'Raw Data'!AF$3:AF$2927) / COUNTIF('Raw Data'!$A$3:$A$2927,$A80))</f>
        <v>0</v>
      </c>
      <c r="AH80">
        <f>IF( COUNTIF('Raw Data'!$A$3:$A$2927,$A80)=0,0,SUMIF('Raw Data'!$A$3:$A$2927, $A80,'Raw Data'!AG$3:AG$2927) / COUNTIF('Raw Data'!$A$3:$A$2927,$A80))</f>
        <v>0</v>
      </c>
      <c r="AI80">
        <f>IF( COUNTIF('Raw Data'!$A$3:$A$2927,$A80)=0,0,SUMIF('Raw Data'!$A$3:$A$2927, $A80,'Raw Data'!AH$3:AH$2927) / COUNTIF('Raw Data'!$A$3:$A$2927,$A80))</f>
        <v>0</v>
      </c>
      <c r="AJ80" s="116">
        <f>COUNTIF('Raw Data'!A$3:A$2927, $A80)</f>
        <v>0</v>
      </c>
      <c r="AK80">
        <f>IFERROR(SUM(IF($E80 &gt;autoThreshold, auto), hatch * SUM($H80:$K80), cargo * SUM($M80:$P80),hatch * SUM( $S80:$V80), cargo * SUM($X80:$AA80), rocket23 * SUM($J80:$K80, $O80:$P80, $U80:$V80, $Z80:$AA80), IF($AD80 &gt; climbThreshold, climb), IF($AC80 &gt; assistThreshold, $AC80 * assist), $AH80 * penalty, dropHatch * $AI80, tippedBroke * SUM($AE80:$AF80),  IF( $E80 &lt; noAutoThreshold, noAuto), IF($C80 &lt; doesNothingThreshold, doesNothing, IF($AD80 &gt;1.45, 2) )), "h")</f>
        <v>-21</v>
      </c>
      <c r="AL80">
        <f>SUM(hHatch * SUM($H80:$K80), hHatch * SUM($S80:$V80), hRocket23 * SUM($J80:$K80), hRocket23 * SUM($U80:$V80), hSandstorm * SUM($H80:$K80), hPenalty * $AH80, hDropHatch * $AI80,hTippedBroke * SUM($AE80:$AF80), IF($E80 &lt; hNoAutoThreshold, hNoAuto), IF($AG80 &gt; hFloorHatchThreshold, hFloorHatch))</f>
        <v>-1.5</v>
      </c>
      <c r="AM80">
        <f>SUM(cCargo * SUM($M80:$P80), cCargo *SUM( $X80:$AA80), cRocket23 * SUM($O80:$P80, $Z80:$AA80),cSandstorm * SUM($M80:$P80), cPenalty * $AH80, cTippedBroke * SUM($AE80:$AF80), IF($E80 &lt; cNoAutoThreshold, cNoAuto, 0))</f>
        <v>-1</v>
      </c>
    </row>
    <row r="81" spans="1:39" ht="15.75" thickBot="1">
      <c r="A81">
        <v>6461</v>
      </c>
      <c r="B81" t="s">
        <v>457</v>
      </c>
      <c r="C81">
        <f>PRODUCT($E81,3)+PRODUCT(SUM($H81:$K81),2)+PRODUCT(SUM($M81:$P81),3)+PRODUCT(SUM($S81:$V81),2)+PRODUCT(SUM($X81:$AA81), 3)+IF($AC81 &gt; 2, PRODUCT(SUM($AC81, -1),6), PRODUCT($AC81,3)) + IF($AD81 &gt; 2, PRODUCT(SUM($AD81, -1),6), PRODUCT($AD81,3)) + PRODUCT($AH81, -1)</f>
        <v>7.2857142857142856</v>
      </c>
      <c r="D81">
        <f>PRODUCT(SUM($H81:$I81), 2) + PRODUCT(SUM($M81:$N81),3) + PRODUCT(SUM($S81:$T81), 2) + PRODUCT(SUM($X81:$Y81), 3)</f>
        <v>1.7142857142857142</v>
      </c>
      <c r="E81">
        <f>IF( COUNTIF('Raw Data'!$A$3:$A$2927,$A81)=0,0,SUMIF('Raw Data'!$A$3:$A$2927, $A81,'Raw Data'!D$3:D$2927) / COUNTIF('Raw Data'!$A$3:$A$2927,$A81))</f>
        <v>1.1428571428571428</v>
      </c>
      <c r="F81">
        <f t="array" ref="F81">MAX(IF('Raw Data'!$A$3:$A$927=$A81, 'Raw Data'!$O$3:$O$927))</f>
        <v>0</v>
      </c>
      <c r="G81">
        <f t="array" ref="G81">MAX(IF('Raw Data'!$A$3:$A$927=$A81, 'Raw Data'!$I$3:$I$927))</f>
        <v>0</v>
      </c>
      <c r="H81">
        <f>IF( COUNTIF('Raw Data'!$A$3:$A$2927,$A81)=0,0,SUMIF('Raw Data'!$A$3:$A$2927, $A81,'Raw Data'!E$3:E$2927) / COUNTIF('Raw Data'!$A$3:$A$2927,$A81))</f>
        <v>0</v>
      </c>
      <c r="I81">
        <f>IF( COUNTIF('Raw Data'!$A$3:$A$2927,$A81)=0,0,SUMIF('Raw Data'!$A$3:$A$2927, $A81,'Raw Data'!F$3:F$2927) / COUNTIF('Raw Data'!$A$3:$A$2927,$A81))</f>
        <v>0</v>
      </c>
      <c r="J81">
        <f>IF( COUNTIF('Raw Data'!$A$3:$A$2927,$A81)=0,0,SUMIF('Raw Data'!$A$3:$A$2927, $A81,'Raw Data'!G$3:G$2927) / COUNTIF('Raw Data'!$A$3:$A$2927,$A81))</f>
        <v>0</v>
      </c>
      <c r="K81">
        <f>IF( COUNTIF('Raw Data'!$A$3:$A$2927,$A81)=0,0,SUMIF('Raw Data'!$A$3:$A$2927, $A81,'Raw Data'!H$3:H$2927) / COUNTIF('Raw Data'!$A$3:$A$2927,$A81))</f>
        <v>0</v>
      </c>
      <c r="L81">
        <f t="array" ref="L81">MAX(IF('Raw Data'!$A$3:$A$927=$A81, 'Raw Data'!$N$3:$N$927))</f>
        <v>0</v>
      </c>
      <c r="M81">
        <f>IF( COUNTIF('Raw Data'!$A$3:$A$2927,$A81)=0,0,SUMIF('Raw Data'!$A$3:$A$2927, $A81,'Raw Data'!J$3:J$2927) / COUNTIF('Raw Data'!$A$3:$A$2927,$A81))</f>
        <v>0</v>
      </c>
      <c r="N81">
        <f>IF( COUNTIF('Raw Data'!$A$3:$A$2927,$A81)=0,0,SUMIF('Raw Data'!$A$3:$A$2927, $A81,'Raw Data'!K$3:K$2927) / COUNTIF('Raw Data'!$A$3:$A$2927,$A81))</f>
        <v>0</v>
      </c>
      <c r="O81">
        <f>IF( COUNTIF('Raw Data'!$A$3:$A$2927,$A81)=0,0,SUMIF('Raw Data'!$A$3:$A$2927, $A81,'Raw Data'!L$3:L$2927) / COUNTIF('Raw Data'!$A$3:$A$2927,$A81))</f>
        <v>0</v>
      </c>
      <c r="P81" s="58">
        <f>IF( COUNTIF('Raw Data'!$A$3:$A$2927,$A81)=0,0,SUMIF('Raw Data'!$A$3:$A$2927, $A81,'Raw Data'!M$3:M$2927) / COUNTIF('Raw Data'!$A$3:$A$2927,$A81))</f>
        <v>0</v>
      </c>
      <c r="Q81">
        <f t="array" ref="Q81">MAX(IF('Raw Data'!$A$3:$A$927=$A81, 'Raw Data'!$Z$3:$Z$927))</f>
        <v>3</v>
      </c>
      <c r="R81">
        <f t="array" ref="R81">MAX(IF('Raw Data'!$A$3:$A$927=$A81, 'Raw Data'!$T$3:$T$927))</f>
        <v>3</v>
      </c>
      <c r="S81" s="118">
        <f>IF( COUNTIF('Raw Data'!$A$3:$A$2927,$A81)=0,0,SUMIF('Raw Data'!$A$3:$A$2927, $A81,'Raw Data'!P$3:P$2927) / COUNTIF('Raw Data'!$A$3:$A$2927,$A81))</f>
        <v>0.2857142857142857</v>
      </c>
      <c r="T81">
        <f>IF( COUNTIF('Raw Data'!$A$3:$A$2927,$A81)=0,0,SUMIF('Raw Data'!$A$3:$A$2927, $A81,'Raw Data'!Q$3:Q$2927) / COUNTIF('Raw Data'!$A$3:$A$2927,$A81))</f>
        <v>0.5714285714285714</v>
      </c>
      <c r="U81">
        <f>IF( COUNTIF('Raw Data'!$A$3:$A$2927,$A81)=0,0,SUMIF('Raw Data'!$A$3:$A$2927, $A81,'Raw Data'!R$3:R$2927) / COUNTIF('Raw Data'!$A$3:$A$2927,$A81))</f>
        <v>0</v>
      </c>
      <c r="V81">
        <f>IF( COUNTIF('Raw Data'!$A$3:$A$2927,$A81)=0,0,SUMIF('Raw Data'!$A$3:$A$2927, $A81,'Raw Data'!S$3:S$2927) / COUNTIF('Raw Data'!$A$3:$A$2927,$A81))</f>
        <v>0</v>
      </c>
      <c r="W81">
        <f t="array" ref="W81">MAX(IF('Raw Data'!$A$3:$A$927=$A81, 'Raw Data'!$Y$3:$Y$927))</f>
        <v>0</v>
      </c>
      <c r="X81">
        <f>IF( COUNTIF('Raw Data'!$A$3:$A$2927,$A81)=0,0,SUMIF('Raw Data'!$A$3:$A$2927, $A81,'Raw Data'!U$3:U$2927) / COUNTIF('Raw Data'!$A$3:$A$2927,$A81))</f>
        <v>0</v>
      </c>
      <c r="Y81">
        <f>IF( COUNTIF('Raw Data'!$A$3:$A$2927,$A81)=0,0,SUMIF('Raw Data'!$A$3:$A$2927, $A81,'Raw Data'!V$3:V$2927) / COUNTIF('Raw Data'!$A$3:$A$2927,$A81))</f>
        <v>0</v>
      </c>
      <c r="Z81">
        <f>IF( COUNTIF('Raw Data'!$A$3:$A$2927,$A81)=0,0,SUMIF('Raw Data'!$A$3:$A$2927, $A81,'Raw Data'!W$3:W$2927) / COUNTIF('Raw Data'!$A$3:$A$2927,$A81))</f>
        <v>0</v>
      </c>
      <c r="AA81">
        <f>IF( COUNTIF('Raw Data'!$A$3:$A$2927,$A81)=0,0,SUMIF('Raw Data'!$A$3:$A$2927, $A81,'Raw Data'!X$3:X$2927) / COUNTIF('Raw Data'!$A$3:$A$2927,$A81))</f>
        <v>0</v>
      </c>
      <c r="AB81">
        <f>IF( COUNTIF('Raw Data'!$A$3:$A$2927,$A81)=0,0,SUMIF('Raw Data'!$A$3:$A$2927, $A81,'Raw Data'!AA$3:AA$2927) / COUNTIF('Raw Data'!$A$3:$A$2927,$A81))</f>
        <v>52.428571428571431</v>
      </c>
      <c r="AC81">
        <f>IF( COUNTIF('Raw Data'!$A$3:$A$2927,$A81)=0,0,SUMIF('Raw Data'!$A$3:$A$2927, $A81,'Raw Data'!AB$3:AB$2927) / COUNTIF('Raw Data'!$A$3:$A$2927,$A81))</f>
        <v>0</v>
      </c>
      <c r="AD81">
        <f>IF( COUNTIF('Raw Data'!$A$3:$A$2927,$A81)=0,0,SUMIF('Raw Data'!$A$3:$A$2927, $A81,'Raw Data'!AC$3:AC$2927) / COUNTIF('Raw Data'!$A$3:$A$2927,$A81))</f>
        <v>1</v>
      </c>
      <c r="AE81" s="117">
        <f>IF( COUNTIF('Raw Data'!$A$3:$A$2927,$A81)=0,0,SUMIF('Raw Data'!$A$3:$A$2927, $A81,'Raw Data'!AD$3:AD$2927) / COUNTIF('Raw Data'!$A$3:$A$2927,$A81))</f>
        <v>0</v>
      </c>
      <c r="AF81">
        <f>IF( COUNTIF('Raw Data'!$A$3:$A$2927,$A81)=0,0,SUMIF('Raw Data'!$A$3:$A$2927, $A81,'Raw Data'!AE$3:AE$2927) / COUNTIF('Raw Data'!$A$3:$A$2927,$A81))</f>
        <v>0</v>
      </c>
      <c r="AG81">
        <f>IF( COUNTIF('Raw Data'!$A$3:$A$2927,$A81)=0,0,SUMIF('Raw Data'!$A$3:$A$2927, $A81,'Raw Data'!AF$3:AF$2927) / COUNTIF('Raw Data'!$A$3:$A$2927,$A81))</f>
        <v>0</v>
      </c>
      <c r="AH81">
        <f>IF( COUNTIF('Raw Data'!$A$3:$A$2927,$A81)=0,0,SUMIF('Raw Data'!$A$3:$A$2927, $A81,'Raw Data'!AG$3:AG$2927) / COUNTIF('Raw Data'!$A$3:$A$2927,$A81))</f>
        <v>0.8571428571428571</v>
      </c>
      <c r="AI81">
        <f>IF( COUNTIF('Raw Data'!$A$3:$A$2927,$A81)=0,0,SUMIF('Raw Data'!$A$3:$A$2927, $A81,'Raw Data'!AH$3:AH$2927) / COUNTIF('Raw Data'!$A$3:$A$2927,$A81))</f>
        <v>0.2857142857142857</v>
      </c>
      <c r="AJ81" s="116">
        <f>COUNTIF('Raw Data'!A$3:A$2927, $A81)</f>
        <v>7</v>
      </c>
      <c r="AK81">
        <f>IFERROR(SUM(IF($E81 &gt;autoThreshold, auto), hatch * SUM($H81:$K81), cargo * SUM($M81:$P81),hatch * SUM( $S81:$V81), cargo * SUM($X81:$AA81), rocket23 * SUM($J81:$K81, $O81:$P81, $U81:$V81, $Z81:$AA81), IF($AD81 &gt; climbThreshold, climb), IF($AC81 &gt; assistThreshold, $AC81 * assist), $AH81 * penalty, dropHatch * $AI81, tippedBroke * SUM($AE81:$AF81),  IF( $E81 &lt; noAutoThreshold, noAuto), IF($C81 &lt; doesNothingThreshold, doesNothing, IF($AD81 &gt;1.45, 2) )), "h")</f>
        <v>-0.14285714285714285</v>
      </c>
      <c r="AL81">
        <f>SUM(hHatch * SUM($H81:$K81), hHatch * SUM($S81:$V81), hRocket23 * SUM($J81:$K81), hRocket23 * SUM($U81:$V81), hSandstorm * SUM($H81:$K81), hPenalty * $AH81, hDropHatch * $AI81,hTippedBroke * SUM($AE81:$AF81), IF($E81 &lt; hNoAutoThreshold, hNoAuto), IF($AG81 &gt; hFloorHatchThreshold, hFloorHatch))</f>
        <v>-0.14285714285714285</v>
      </c>
      <c r="AM81">
        <f>SUM(cCargo * SUM($M81:$P81), cCargo *SUM( $X81:$AA81), cRocket23 * SUM($O81:$P81, $Z81:$AA81),cSandstorm * SUM($M81:$P81), cPenalty * $AH81, cTippedBroke * SUM($AE81:$AF81), IF($E81 &lt; cNoAutoThreshold, cNoAuto, 0))</f>
        <v>-0.28285714285714286</v>
      </c>
    </row>
    <row r="82" spans="1:39" ht="15.75" thickBot="1">
      <c r="A82">
        <v>6481</v>
      </c>
      <c r="B82" t="s">
        <v>458</v>
      </c>
      <c r="C82">
        <f>PRODUCT($E82,3)+PRODUCT(SUM($H82:$K82),2)+PRODUCT(SUM($M82:$P82),3)+PRODUCT(SUM($S82:$V82),2)+PRODUCT(SUM($X82:$AA82), 3)+IF($AC82 &gt; 2, PRODUCT(SUM($AC82, -1),6), PRODUCT($AC82,3)) + IF($AD82 &gt; 2, PRODUCT(SUM($AD82, -1),6), PRODUCT($AD82,3)) + PRODUCT($AH82, -1)</f>
        <v>0</v>
      </c>
      <c r="D82">
        <f>PRODUCT(SUM($H82:$I82), 2) + PRODUCT(SUM($M82:$N82),3) + PRODUCT(SUM($S82:$T82), 2) + PRODUCT(SUM($X82:$Y82), 3)</f>
        <v>0</v>
      </c>
      <c r="E82">
        <f>IF( COUNTIF('Raw Data'!$A$3:$A$2927,$A82)=0,0,SUMIF('Raw Data'!$A$3:$A$2927, $A82,'Raw Data'!D$3:D$2927) / COUNTIF('Raw Data'!$A$3:$A$2927,$A82))</f>
        <v>0</v>
      </c>
      <c r="F82">
        <f t="array" ref="F82">MAX(IF('Raw Data'!$A$3:$A$927=$A82, 'Raw Data'!$O$3:$O$927))</f>
        <v>0</v>
      </c>
      <c r="G82">
        <f t="array" ref="G82">MAX(IF('Raw Data'!$A$3:$A$927=$A82, 'Raw Data'!$I$3:$I$927))</f>
        <v>0</v>
      </c>
      <c r="H82">
        <f>IF( COUNTIF('Raw Data'!$A$3:$A$2927,$A82)=0,0,SUMIF('Raw Data'!$A$3:$A$2927, $A82,'Raw Data'!E$3:E$2927) / COUNTIF('Raw Data'!$A$3:$A$2927,$A82))</f>
        <v>0</v>
      </c>
      <c r="I82">
        <f>IF( COUNTIF('Raw Data'!$A$3:$A$2927,$A82)=0,0,SUMIF('Raw Data'!$A$3:$A$2927, $A82,'Raw Data'!F$3:F$2927) / COUNTIF('Raw Data'!$A$3:$A$2927,$A82))</f>
        <v>0</v>
      </c>
      <c r="J82">
        <f>IF( COUNTIF('Raw Data'!$A$3:$A$2927,$A82)=0,0,SUMIF('Raw Data'!$A$3:$A$2927, $A82,'Raw Data'!G$3:G$2927) / COUNTIF('Raw Data'!$A$3:$A$2927,$A82))</f>
        <v>0</v>
      </c>
      <c r="K82">
        <f>IF( COUNTIF('Raw Data'!$A$3:$A$2927,$A82)=0,0,SUMIF('Raw Data'!$A$3:$A$2927, $A82,'Raw Data'!H$3:H$2927) / COUNTIF('Raw Data'!$A$3:$A$2927,$A82))</f>
        <v>0</v>
      </c>
      <c r="L82">
        <f t="array" ref="L82">MAX(IF('Raw Data'!$A$3:$A$927=$A82, 'Raw Data'!$N$3:$N$927))</f>
        <v>0</v>
      </c>
      <c r="M82">
        <f>IF( COUNTIF('Raw Data'!$A$3:$A$2927,$A82)=0,0,SUMIF('Raw Data'!$A$3:$A$2927, $A82,'Raw Data'!J$3:J$2927) / COUNTIF('Raw Data'!$A$3:$A$2927,$A82))</f>
        <v>0</v>
      </c>
      <c r="N82">
        <f>IF( COUNTIF('Raw Data'!$A$3:$A$2927,$A82)=0,0,SUMIF('Raw Data'!$A$3:$A$2927, $A82,'Raw Data'!K$3:K$2927) / COUNTIF('Raw Data'!$A$3:$A$2927,$A82))</f>
        <v>0</v>
      </c>
      <c r="O82">
        <f>IF( COUNTIF('Raw Data'!$A$3:$A$2927,$A82)=0,0,SUMIF('Raw Data'!$A$3:$A$2927, $A82,'Raw Data'!L$3:L$2927) / COUNTIF('Raw Data'!$A$3:$A$2927,$A82))</f>
        <v>0</v>
      </c>
      <c r="P82" s="58">
        <f>IF( COUNTIF('Raw Data'!$A$3:$A$2927,$A82)=0,0,SUMIF('Raw Data'!$A$3:$A$2927, $A82,'Raw Data'!M$3:M$2927) / COUNTIF('Raw Data'!$A$3:$A$2927,$A82))</f>
        <v>0</v>
      </c>
      <c r="Q82">
        <f t="array" ref="Q82">MAX(IF('Raw Data'!$A$3:$A$927=$A82, 'Raw Data'!$Z$3:$Z$927))</f>
        <v>0</v>
      </c>
      <c r="R82">
        <f t="array" ref="R82">MAX(IF('Raw Data'!$A$3:$A$927=$A82, 'Raw Data'!$T$3:$T$927))</f>
        <v>0</v>
      </c>
      <c r="S82" s="118">
        <f>IF( COUNTIF('Raw Data'!$A$3:$A$2927,$A82)=0,0,SUMIF('Raw Data'!$A$3:$A$2927, $A82,'Raw Data'!P$3:P$2927) / COUNTIF('Raw Data'!$A$3:$A$2927,$A82))</f>
        <v>0</v>
      </c>
      <c r="T82">
        <f>IF( COUNTIF('Raw Data'!$A$3:$A$2927,$A82)=0,0,SUMIF('Raw Data'!$A$3:$A$2927, $A82,'Raw Data'!Q$3:Q$2927) / COUNTIF('Raw Data'!$A$3:$A$2927,$A82))</f>
        <v>0</v>
      </c>
      <c r="U82">
        <f>IF( COUNTIF('Raw Data'!$A$3:$A$2927,$A82)=0,0,SUMIF('Raw Data'!$A$3:$A$2927, $A82,'Raw Data'!R$3:R$2927) / COUNTIF('Raw Data'!$A$3:$A$2927,$A82))</f>
        <v>0</v>
      </c>
      <c r="V82">
        <f>IF( COUNTIF('Raw Data'!$A$3:$A$2927,$A82)=0,0,SUMIF('Raw Data'!$A$3:$A$2927, $A82,'Raw Data'!S$3:S$2927) / COUNTIF('Raw Data'!$A$3:$A$2927,$A82))</f>
        <v>0</v>
      </c>
      <c r="W82">
        <f t="array" ref="W82">MAX(IF('Raw Data'!$A$3:$A$927=$A82, 'Raw Data'!$Y$3:$Y$927))</f>
        <v>0</v>
      </c>
      <c r="X82">
        <f>IF( COUNTIF('Raw Data'!$A$3:$A$2927,$A82)=0,0,SUMIF('Raw Data'!$A$3:$A$2927, $A82,'Raw Data'!U$3:U$2927) / COUNTIF('Raw Data'!$A$3:$A$2927,$A82))</f>
        <v>0</v>
      </c>
      <c r="Y82">
        <f>IF( COUNTIF('Raw Data'!$A$3:$A$2927,$A82)=0,0,SUMIF('Raw Data'!$A$3:$A$2927, $A82,'Raw Data'!V$3:V$2927) / COUNTIF('Raw Data'!$A$3:$A$2927,$A82))</f>
        <v>0</v>
      </c>
      <c r="Z82">
        <f>IF( COUNTIF('Raw Data'!$A$3:$A$2927,$A82)=0,0,SUMIF('Raw Data'!$A$3:$A$2927, $A82,'Raw Data'!W$3:W$2927) / COUNTIF('Raw Data'!$A$3:$A$2927,$A82))</f>
        <v>0</v>
      </c>
      <c r="AA82">
        <f>IF( COUNTIF('Raw Data'!$A$3:$A$2927,$A82)=0,0,SUMIF('Raw Data'!$A$3:$A$2927, $A82,'Raw Data'!X$3:X$2927) / COUNTIF('Raw Data'!$A$3:$A$2927,$A82))</f>
        <v>0</v>
      </c>
      <c r="AB82">
        <f>IF( COUNTIF('Raw Data'!$A$3:$A$2927,$A82)=0,0,SUMIF('Raw Data'!$A$3:$A$2927, $A82,'Raw Data'!AA$3:AA$2927) / COUNTIF('Raw Data'!$A$3:$A$2927,$A82))</f>
        <v>0</v>
      </c>
      <c r="AC82">
        <f>IF( COUNTIF('Raw Data'!$A$3:$A$2927,$A82)=0,0,SUMIF('Raw Data'!$A$3:$A$2927, $A82,'Raw Data'!AB$3:AB$2927) / COUNTIF('Raw Data'!$A$3:$A$2927,$A82))</f>
        <v>0</v>
      </c>
      <c r="AD82">
        <f>IF( COUNTIF('Raw Data'!$A$3:$A$2927,$A82)=0,0,SUMIF('Raw Data'!$A$3:$A$2927, $A82,'Raw Data'!AC$3:AC$2927) / COUNTIF('Raw Data'!$A$3:$A$2927,$A82))</f>
        <v>0</v>
      </c>
      <c r="AE82" s="117">
        <f>IF( COUNTIF('Raw Data'!$A$3:$A$2927,$A82)=0,0,SUMIF('Raw Data'!$A$3:$A$2927, $A82,'Raw Data'!AD$3:AD$2927) / COUNTIF('Raw Data'!$A$3:$A$2927,$A82))</f>
        <v>0</v>
      </c>
      <c r="AF82">
        <f>IF( COUNTIF('Raw Data'!$A$3:$A$2927,$A82)=0,0,SUMIF('Raw Data'!$A$3:$A$2927, $A82,'Raw Data'!AE$3:AE$2927) / COUNTIF('Raw Data'!$A$3:$A$2927,$A82))</f>
        <v>0</v>
      </c>
      <c r="AG82">
        <f>IF( COUNTIF('Raw Data'!$A$3:$A$2927,$A82)=0,0,SUMIF('Raw Data'!$A$3:$A$2927, $A82,'Raw Data'!AF$3:AF$2927) / COUNTIF('Raw Data'!$A$3:$A$2927,$A82))</f>
        <v>0</v>
      </c>
      <c r="AH82">
        <f>IF( COUNTIF('Raw Data'!$A$3:$A$2927,$A82)=0,0,SUMIF('Raw Data'!$A$3:$A$2927, $A82,'Raw Data'!AG$3:AG$2927) / COUNTIF('Raw Data'!$A$3:$A$2927,$A82))</f>
        <v>0</v>
      </c>
      <c r="AI82">
        <f>IF( COUNTIF('Raw Data'!$A$3:$A$2927,$A82)=0,0,SUMIF('Raw Data'!$A$3:$A$2927, $A82,'Raw Data'!AH$3:AH$2927) / COUNTIF('Raw Data'!$A$3:$A$2927,$A82))</f>
        <v>0</v>
      </c>
      <c r="AJ82" s="116">
        <f>COUNTIF('Raw Data'!A$3:A$2927, $A82)</f>
        <v>0</v>
      </c>
      <c r="AK82">
        <f>IFERROR(SUM(IF($E82 &gt;autoThreshold, auto), hatch * SUM($H82:$K82), cargo * SUM($M82:$P82),hatch * SUM( $S82:$V82), cargo * SUM($X82:$AA82), rocket23 * SUM($J82:$K82, $O82:$P82, $U82:$V82, $Z82:$AA82), IF($AD82 &gt; climbThreshold, climb), IF($AC82 &gt; assistThreshold, $AC82 * assist), $AH82 * penalty, dropHatch * $AI82, tippedBroke * SUM($AE82:$AF82),  IF( $E82 &lt; noAutoThreshold, noAuto), IF($C82 &lt; doesNothingThreshold, doesNothing, IF($AD82 &gt;1.45, 2) )), "h")</f>
        <v>-21</v>
      </c>
      <c r="AL82">
        <f>SUM(hHatch * SUM($H82:$K82), hHatch * SUM($S82:$V82), hRocket23 * SUM($J82:$K82), hRocket23 * SUM($U82:$V82), hSandstorm * SUM($H82:$K82), hPenalty * $AH82, hDropHatch * $AI82,hTippedBroke * SUM($AE82:$AF82), IF($E82 &lt; hNoAutoThreshold, hNoAuto), IF($AG82 &gt; hFloorHatchThreshold, hFloorHatch))</f>
        <v>-1.5</v>
      </c>
      <c r="AM82">
        <f>SUM(cCargo * SUM($M82:$P82), cCargo *SUM( $X82:$AA82), cRocket23 * SUM($O82:$P82, $Z82:$AA82),cSandstorm * SUM($M82:$P82), cPenalty * $AH82, cTippedBroke * SUM($AE82:$AF82), IF($E82 &lt; cNoAutoThreshold, cNoAuto, 0))</f>
        <v>-1</v>
      </c>
    </row>
    <row r="83" spans="1:39" ht="15.75" thickBot="1">
      <c r="A83">
        <v>6514</v>
      </c>
      <c r="B83" t="s">
        <v>224</v>
      </c>
      <c r="C83">
        <f>PRODUCT($E83,3)+PRODUCT(SUM($H83:$K83),2)+PRODUCT(SUM($M83:$P83),3)+PRODUCT(SUM($S83:$V83),2)+PRODUCT(SUM($X83:$AA83), 3)+IF($AC83 &gt; 2, PRODUCT(SUM($AC83, -1),6), PRODUCT($AC83,3)) + IF($AD83 &gt; 2, PRODUCT(SUM($AD83, -1),6), PRODUCT($AD83,3)) + PRODUCT($AH83, -1)</f>
        <v>6.7777777777777777</v>
      </c>
      <c r="D83">
        <f>PRODUCT(SUM($H83:$I83), 2) + PRODUCT(SUM($M83:$N83),3) + PRODUCT(SUM($S83:$T83), 2) + PRODUCT(SUM($X83:$Y83), 3)</f>
        <v>1.7777777777777777</v>
      </c>
      <c r="E83">
        <f>IF( COUNTIF('Raw Data'!$A$3:$A$2927,$A83)=0,0,SUMIF('Raw Data'!$A$3:$A$2927, $A83,'Raw Data'!D$3:D$2927) / COUNTIF('Raw Data'!$A$3:$A$2927,$A83))</f>
        <v>1.3333333333333333</v>
      </c>
      <c r="F83">
        <f t="array" ref="F83">MAX(IF('Raw Data'!$A$3:$A$927=$A83, 'Raw Data'!$O$3:$O$927))</f>
        <v>0</v>
      </c>
      <c r="G83">
        <f t="array" ref="G83">MAX(IF('Raw Data'!$A$3:$A$927=$A83, 'Raw Data'!$I$3:$I$927))</f>
        <v>0</v>
      </c>
      <c r="H83">
        <f>IF( COUNTIF('Raw Data'!$A$3:$A$2927,$A83)=0,0,SUMIF('Raw Data'!$A$3:$A$2927, $A83,'Raw Data'!E$3:E$2927) / COUNTIF('Raw Data'!$A$3:$A$2927,$A83))</f>
        <v>0</v>
      </c>
      <c r="I83">
        <f>IF( COUNTIF('Raw Data'!$A$3:$A$2927,$A83)=0,0,SUMIF('Raw Data'!$A$3:$A$2927, $A83,'Raw Data'!F$3:F$2927) / COUNTIF('Raw Data'!$A$3:$A$2927,$A83))</f>
        <v>0</v>
      </c>
      <c r="J83">
        <f>IF( COUNTIF('Raw Data'!$A$3:$A$2927,$A83)=0,0,SUMIF('Raw Data'!$A$3:$A$2927, $A83,'Raw Data'!G$3:G$2927) / COUNTIF('Raw Data'!$A$3:$A$2927,$A83))</f>
        <v>0</v>
      </c>
      <c r="K83">
        <f>IF( COUNTIF('Raw Data'!$A$3:$A$2927,$A83)=0,0,SUMIF('Raw Data'!$A$3:$A$2927, $A83,'Raw Data'!H$3:H$2927) / COUNTIF('Raw Data'!$A$3:$A$2927,$A83))</f>
        <v>0</v>
      </c>
      <c r="L83">
        <f t="array" ref="L83">MAX(IF('Raw Data'!$A$3:$A$927=$A83, 'Raw Data'!$N$3:$N$927))</f>
        <v>0</v>
      </c>
      <c r="M83">
        <f>IF( COUNTIF('Raw Data'!$A$3:$A$2927,$A83)=0,0,SUMIF('Raw Data'!$A$3:$A$2927, $A83,'Raw Data'!J$3:J$2927) / COUNTIF('Raw Data'!$A$3:$A$2927,$A83))</f>
        <v>0</v>
      </c>
      <c r="N83">
        <f>IF( COUNTIF('Raw Data'!$A$3:$A$2927,$A83)=0,0,SUMIF('Raw Data'!$A$3:$A$2927, $A83,'Raw Data'!K$3:K$2927) / COUNTIF('Raw Data'!$A$3:$A$2927,$A83))</f>
        <v>0</v>
      </c>
      <c r="O83">
        <f>IF( COUNTIF('Raw Data'!$A$3:$A$2927,$A83)=0,0,SUMIF('Raw Data'!$A$3:$A$2927, $A83,'Raw Data'!L$3:L$2927) / COUNTIF('Raw Data'!$A$3:$A$2927,$A83))</f>
        <v>0</v>
      </c>
      <c r="P83" s="58">
        <f>IF( COUNTIF('Raw Data'!$A$3:$A$2927,$A83)=0,0,SUMIF('Raw Data'!$A$3:$A$2927, $A83,'Raw Data'!M$3:M$2927) / COUNTIF('Raw Data'!$A$3:$A$2927,$A83))</f>
        <v>0</v>
      </c>
      <c r="Q83">
        <f t="array" ref="Q83">MAX(IF('Raw Data'!$A$3:$A$927=$A83, 'Raw Data'!$Z$3:$Z$927))</f>
        <v>2</v>
      </c>
      <c r="R83">
        <f t="array" ref="R83">MAX(IF('Raw Data'!$A$3:$A$927=$A83, 'Raw Data'!$T$3:$T$927))</f>
        <v>2</v>
      </c>
      <c r="S83" s="118">
        <f>IF( COUNTIF('Raw Data'!$A$3:$A$2927,$A83)=0,0,SUMIF('Raw Data'!$A$3:$A$2927, $A83,'Raw Data'!P$3:P$2927) / COUNTIF('Raw Data'!$A$3:$A$2927,$A83))</f>
        <v>0.66666666666666663</v>
      </c>
      <c r="T83">
        <f>IF( COUNTIF('Raw Data'!$A$3:$A$2927,$A83)=0,0,SUMIF('Raw Data'!$A$3:$A$2927, $A83,'Raw Data'!Q$3:Q$2927) / COUNTIF('Raw Data'!$A$3:$A$2927,$A83))</f>
        <v>0.22222222222222221</v>
      </c>
      <c r="U83">
        <f>IF( COUNTIF('Raw Data'!$A$3:$A$2927,$A83)=0,0,SUMIF('Raw Data'!$A$3:$A$2927, $A83,'Raw Data'!R$3:R$2927) / COUNTIF('Raw Data'!$A$3:$A$2927,$A83))</f>
        <v>0</v>
      </c>
      <c r="V83">
        <f>IF( COUNTIF('Raw Data'!$A$3:$A$2927,$A83)=0,0,SUMIF('Raw Data'!$A$3:$A$2927, $A83,'Raw Data'!S$3:S$2927) / COUNTIF('Raw Data'!$A$3:$A$2927,$A83))</f>
        <v>0</v>
      </c>
      <c r="W83">
        <f t="array" ref="W83">MAX(IF('Raw Data'!$A$3:$A$927=$A83, 'Raw Data'!$Y$3:$Y$927))</f>
        <v>0</v>
      </c>
      <c r="X83">
        <f>IF( COUNTIF('Raw Data'!$A$3:$A$2927,$A83)=0,0,SUMIF('Raw Data'!$A$3:$A$2927, $A83,'Raw Data'!U$3:U$2927) / COUNTIF('Raw Data'!$A$3:$A$2927,$A83))</f>
        <v>0</v>
      </c>
      <c r="Y83">
        <f>IF( COUNTIF('Raw Data'!$A$3:$A$2927,$A83)=0,0,SUMIF('Raw Data'!$A$3:$A$2927, $A83,'Raw Data'!V$3:V$2927) / COUNTIF('Raw Data'!$A$3:$A$2927,$A83))</f>
        <v>0</v>
      </c>
      <c r="Z83">
        <f>IF( COUNTIF('Raw Data'!$A$3:$A$2927,$A83)=0,0,SUMIF('Raw Data'!$A$3:$A$2927, $A83,'Raw Data'!W$3:W$2927) / COUNTIF('Raw Data'!$A$3:$A$2927,$A83))</f>
        <v>0</v>
      </c>
      <c r="AA83">
        <f>IF( COUNTIF('Raw Data'!$A$3:$A$2927,$A83)=0,0,SUMIF('Raw Data'!$A$3:$A$2927, $A83,'Raw Data'!X$3:X$2927) / COUNTIF('Raw Data'!$A$3:$A$2927,$A83))</f>
        <v>0</v>
      </c>
      <c r="AB83">
        <f>IF( COUNTIF('Raw Data'!$A$3:$A$2927,$A83)=0,0,SUMIF('Raw Data'!$A$3:$A$2927, $A83,'Raw Data'!AA$3:AA$2927) / COUNTIF('Raw Data'!$A$3:$A$2927,$A83))</f>
        <v>0</v>
      </c>
      <c r="AC83">
        <f>IF( COUNTIF('Raw Data'!$A$3:$A$2927,$A83)=0,0,SUMIF('Raw Data'!$A$3:$A$2927, $A83,'Raw Data'!AB$3:AB$2927) / COUNTIF('Raw Data'!$A$3:$A$2927,$A83))</f>
        <v>0</v>
      </c>
      <c r="AD83">
        <f>IF( COUNTIF('Raw Data'!$A$3:$A$2927,$A83)=0,0,SUMIF('Raw Data'!$A$3:$A$2927, $A83,'Raw Data'!AC$3:AC$2927) / COUNTIF('Raw Data'!$A$3:$A$2927,$A83))</f>
        <v>0.55555555555555558</v>
      </c>
      <c r="AE83" s="117">
        <f>IF( COUNTIF('Raw Data'!$A$3:$A$2927,$A83)=0,0,SUMIF('Raw Data'!$A$3:$A$2927, $A83,'Raw Data'!AD$3:AD$2927) / COUNTIF('Raw Data'!$A$3:$A$2927,$A83))</f>
        <v>0</v>
      </c>
      <c r="AF83">
        <f>IF( COUNTIF('Raw Data'!$A$3:$A$2927,$A83)=0,0,SUMIF('Raw Data'!$A$3:$A$2927, $A83,'Raw Data'!AE$3:AE$2927) / COUNTIF('Raw Data'!$A$3:$A$2927,$A83))</f>
        <v>0</v>
      </c>
      <c r="AG83">
        <f>IF( COUNTIF('Raw Data'!$A$3:$A$2927,$A83)=0,0,SUMIF('Raw Data'!$A$3:$A$2927, $A83,'Raw Data'!AF$3:AF$2927) / COUNTIF('Raw Data'!$A$3:$A$2927,$A83))</f>
        <v>0</v>
      </c>
      <c r="AH83">
        <f>IF( COUNTIF('Raw Data'!$A$3:$A$2927,$A83)=0,0,SUMIF('Raw Data'!$A$3:$A$2927, $A83,'Raw Data'!AG$3:AG$2927) / COUNTIF('Raw Data'!$A$3:$A$2927,$A83))</f>
        <v>0.66666666666666663</v>
      </c>
      <c r="AI83">
        <f>IF( COUNTIF('Raw Data'!$A$3:$A$2927,$A83)=0,0,SUMIF('Raw Data'!$A$3:$A$2927, $A83,'Raw Data'!AH$3:AH$2927) / COUNTIF('Raw Data'!$A$3:$A$2927,$A83))</f>
        <v>0.66666666666666663</v>
      </c>
      <c r="AJ83" s="116">
        <f>COUNTIF('Raw Data'!A$3:A$2927, $A83)</f>
        <v>9</v>
      </c>
      <c r="AK83">
        <f>IFERROR(SUM(IF($E83 &gt;autoThreshold, auto), hatch * SUM($H83:$K83), cargo * SUM($M83:$P83),hatch * SUM( $S83:$V83), cargo * SUM($X83:$AA83), rocket23 * SUM($J83:$K83, $O83:$P83, $U83:$V83, $Z83:$AA83), IF($AD83 &gt; climbThreshold, climb), IF($AC83 &gt; assistThreshold, $AC83 * assist), $AH83 * penalty, dropHatch * $AI83, tippedBroke * SUM($AE83:$AF83),  IF( $E83 &lt; noAutoThreshold, noAuto), IF($C83 &lt; doesNothingThreshold, doesNothing, IF($AD83 &gt;1.45, 2) )), "h")</f>
        <v>-0.77777777777777768</v>
      </c>
      <c r="AL83">
        <f>SUM(hHatch * SUM($H83:$K83), hHatch * SUM($S83:$V83), hRocket23 * SUM($J83:$K83), hRocket23 * SUM($U83:$V83), hSandstorm * SUM($H83:$K83), hPenalty * $AH83, hDropHatch * $AI83,hTippedBroke * SUM($AE83:$AF83), IF($E83 &lt; hNoAutoThreshold, hNoAuto), IF($AG83 &gt; hFloorHatchThreshold, hFloorHatch))</f>
        <v>-0.77777777777777768</v>
      </c>
      <c r="AM83">
        <f>SUM(cCargo * SUM($M83:$P83), cCargo *SUM( $X83:$AA83), cRocket23 * SUM($O83:$P83, $Z83:$AA83),cSandstorm * SUM($M83:$P83), cPenalty * $AH83, cTippedBroke * SUM($AE83:$AF83), IF($E83 &lt; cNoAutoThreshold, cNoAuto, 0))</f>
        <v>-0.22</v>
      </c>
    </row>
    <row r="84" spans="1:39" ht="15.75" thickBot="1">
      <c r="A84">
        <v>6544</v>
      </c>
      <c r="B84" t="s">
        <v>459</v>
      </c>
      <c r="C84">
        <f>PRODUCT($E84,3)+PRODUCT(SUM($H84:$K84),2)+PRODUCT(SUM($M84:$P84),3)+PRODUCT(SUM($S84:$V84),2)+PRODUCT(SUM($X84:$AA84), 3)+IF($AC84 &gt; 2, PRODUCT(SUM($AC84, -1),6), PRODUCT($AC84,3)) + IF($AD84 &gt; 2, PRODUCT(SUM($AD84, -1),6), PRODUCT($AD84,3)) + PRODUCT($AH84, -1)</f>
        <v>0</v>
      </c>
      <c r="D84">
        <f>PRODUCT(SUM($H84:$I84), 2) + PRODUCT(SUM($M84:$N84),3) + PRODUCT(SUM($S84:$T84), 2) + PRODUCT(SUM($X84:$Y84), 3)</f>
        <v>0</v>
      </c>
      <c r="E84">
        <f>IF( COUNTIF('Raw Data'!$A$3:$A$2927,$A84)=0,0,SUMIF('Raw Data'!$A$3:$A$2927, $A84,'Raw Data'!D$3:D$2927) / COUNTIF('Raw Data'!$A$3:$A$2927,$A84))</f>
        <v>0</v>
      </c>
      <c r="F84">
        <f t="array" ref="F84">MAX(IF('Raw Data'!$A$3:$A$927=$A84, 'Raw Data'!$O$3:$O$927))</f>
        <v>0</v>
      </c>
      <c r="G84">
        <f t="array" ref="G84">MAX(IF('Raw Data'!$A$3:$A$927=$A84, 'Raw Data'!$I$3:$I$927))</f>
        <v>0</v>
      </c>
      <c r="H84">
        <f>IF( COUNTIF('Raw Data'!$A$3:$A$2927,$A84)=0,0,SUMIF('Raw Data'!$A$3:$A$2927, $A84,'Raw Data'!E$3:E$2927) / COUNTIF('Raw Data'!$A$3:$A$2927,$A84))</f>
        <v>0</v>
      </c>
      <c r="I84">
        <f>IF( COUNTIF('Raw Data'!$A$3:$A$2927,$A84)=0,0,SUMIF('Raw Data'!$A$3:$A$2927, $A84,'Raw Data'!F$3:F$2927) / COUNTIF('Raw Data'!$A$3:$A$2927,$A84))</f>
        <v>0</v>
      </c>
      <c r="J84">
        <f>IF( COUNTIF('Raw Data'!$A$3:$A$2927,$A84)=0,0,SUMIF('Raw Data'!$A$3:$A$2927, $A84,'Raw Data'!G$3:G$2927) / COUNTIF('Raw Data'!$A$3:$A$2927,$A84))</f>
        <v>0</v>
      </c>
      <c r="K84">
        <f>IF( COUNTIF('Raw Data'!$A$3:$A$2927,$A84)=0,0,SUMIF('Raw Data'!$A$3:$A$2927, $A84,'Raw Data'!H$3:H$2927) / COUNTIF('Raw Data'!$A$3:$A$2927,$A84))</f>
        <v>0</v>
      </c>
      <c r="L84">
        <f t="array" ref="L84">MAX(IF('Raw Data'!$A$3:$A$927=$A84, 'Raw Data'!$N$3:$N$927))</f>
        <v>0</v>
      </c>
      <c r="M84">
        <f>IF( COUNTIF('Raw Data'!$A$3:$A$2927,$A84)=0,0,SUMIF('Raw Data'!$A$3:$A$2927, $A84,'Raw Data'!J$3:J$2927) / COUNTIF('Raw Data'!$A$3:$A$2927,$A84))</f>
        <v>0</v>
      </c>
      <c r="N84">
        <f>IF( COUNTIF('Raw Data'!$A$3:$A$2927,$A84)=0,0,SUMIF('Raw Data'!$A$3:$A$2927, $A84,'Raw Data'!K$3:K$2927) / COUNTIF('Raw Data'!$A$3:$A$2927,$A84))</f>
        <v>0</v>
      </c>
      <c r="O84">
        <f>IF( COUNTIF('Raw Data'!$A$3:$A$2927,$A84)=0,0,SUMIF('Raw Data'!$A$3:$A$2927, $A84,'Raw Data'!L$3:L$2927) / COUNTIF('Raw Data'!$A$3:$A$2927,$A84))</f>
        <v>0</v>
      </c>
      <c r="P84" s="58">
        <f>IF( COUNTIF('Raw Data'!$A$3:$A$2927,$A84)=0,0,SUMIF('Raw Data'!$A$3:$A$2927, $A84,'Raw Data'!M$3:M$2927) / COUNTIF('Raw Data'!$A$3:$A$2927,$A84))</f>
        <v>0</v>
      </c>
      <c r="Q84">
        <f t="array" ref="Q84">MAX(IF('Raw Data'!$A$3:$A$927=$A84, 'Raw Data'!$Z$3:$Z$927))</f>
        <v>0</v>
      </c>
      <c r="R84">
        <f t="array" ref="R84">MAX(IF('Raw Data'!$A$3:$A$927=$A84, 'Raw Data'!$T$3:$T$927))</f>
        <v>0</v>
      </c>
      <c r="S84" s="118">
        <f>IF( COUNTIF('Raw Data'!$A$3:$A$2927,$A84)=0,0,SUMIF('Raw Data'!$A$3:$A$2927, $A84,'Raw Data'!P$3:P$2927) / COUNTIF('Raw Data'!$A$3:$A$2927,$A84))</f>
        <v>0</v>
      </c>
      <c r="T84">
        <f>IF( COUNTIF('Raw Data'!$A$3:$A$2927,$A84)=0,0,SUMIF('Raw Data'!$A$3:$A$2927, $A84,'Raw Data'!Q$3:Q$2927) / COUNTIF('Raw Data'!$A$3:$A$2927,$A84))</f>
        <v>0</v>
      </c>
      <c r="U84">
        <f>IF( COUNTIF('Raw Data'!$A$3:$A$2927,$A84)=0,0,SUMIF('Raw Data'!$A$3:$A$2927, $A84,'Raw Data'!R$3:R$2927) / COUNTIF('Raw Data'!$A$3:$A$2927,$A84))</f>
        <v>0</v>
      </c>
      <c r="V84">
        <f>IF( COUNTIF('Raw Data'!$A$3:$A$2927,$A84)=0,0,SUMIF('Raw Data'!$A$3:$A$2927, $A84,'Raw Data'!S$3:S$2927) / COUNTIF('Raw Data'!$A$3:$A$2927,$A84))</f>
        <v>0</v>
      </c>
      <c r="W84">
        <f t="array" ref="W84">MAX(IF('Raw Data'!$A$3:$A$927=$A84, 'Raw Data'!$Y$3:$Y$927))</f>
        <v>0</v>
      </c>
      <c r="X84">
        <f>IF( COUNTIF('Raw Data'!$A$3:$A$2927,$A84)=0,0,SUMIF('Raw Data'!$A$3:$A$2927, $A84,'Raw Data'!U$3:U$2927) / COUNTIF('Raw Data'!$A$3:$A$2927,$A84))</f>
        <v>0</v>
      </c>
      <c r="Y84">
        <f>IF( COUNTIF('Raw Data'!$A$3:$A$2927,$A84)=0,0,SUMIF('Raw Data'!$A$3:$A$2927, $A84,'Raw Data'!V$3:V$2927) / COUNTIF('Raw Data'!$A$3:$A$2927,$A84))</f>
        <v>0</v>
      </c>
      <c r="Z84">
        <f>IF( COUNTIF('Raw Data'!$A$3:$A$2927,$A84)=0,0,SUMIF('Raw Data'!$A$3:$A$2927, $A84,'Raw Data'!W$3:W$2927) / COUNTIF('Raw Data'!$A$3:$A$2927,$A84))</f>
        <v>0</v>
      </c>
      <c r="AA84">
        <f>IF( COUNTIF('Raw Data'!$A$3:$A$2927,$A84)=0,0,SUMIF('Raw Data'!$A$3:$A$2927, $A84,'Raw Data'!X$3:X$2927) / COUNTIF('Raw Data'!$A$3:$A$2927,$A84))</f>
        <v>0</v>
      </c>
      <c r="AB84">
        <f>IF( COUNTIF('Raw Data'!$A$3:$A$2927,$A84)=0,0,SUMIF('Raw Data'!$A$3:$A$2927, $A84,'Raw Data'!AA$3:AA$2927) / COUNTIF('Raw Data'!$A$3:$A$2927,$A84))</f>
        <v>0</v>
      </c>
      <c r="AC84">
        <f>IF( COUNTIF('Raw Data'!$A$3:$A$2927,$A84)=0,0,SUMIF('Raw Data'!$A$3:$A$2927, $A84,'Raw Data'!AB$3:AB$2927) / COUNTIF('Raw Data'!$A$3:$A$2927,$A84))</f>
        <v>0</v>
      </c>
      <c r="AD84">
        <f>IF( COUNTIF('Raw Data'!$A$3:$A$2927,$A84)=0,0,SUMIF('Raw Data'!$A$3:$A$2927, $A84,'Raw Data'!AC$3:AC$2927) / COUNTIF('Raw Data'!$A$3:$A$2927,$A84))</f>
        <v>0</v>
      </c>
      <c r="AE84" s="117">
        <f>IF( COUNTIF('Raw Data'!$A$3:$A$2927,$A84)=0,0,SUMIF('Raw Data'!$A$3:$A$2927, $A84,'Raw Data'!AD$3:AD$2927) / COUNTIF('Raw Data'!$A$3:$A$2927,$A84))</f>
        <v>0</v>
      </c>
      <c r="AF84">
        <f>IF( COUNTIF('Raw Data'!$A$3:$A$2927,$A84)=0,0,SUMIF('Raw Data'!$A$3:$A$2927, $A84,'Raw Data'!AE$3:AE$2927) / COUNTIF('Raw Data'!$A$3:$A$2927,$A84))</f>
        <v>0</v>
      </c>
      <c r="AG84">
        <f>IF( COUNTIF('Raw Data'!$A$3:$A$2927,$A84)=0,0,SUMIF('Raw Data'!$A$3:$A$2927, $A84,'Raw Data'!AF$3:AF$2927) / COUNTIF('Raw Data'!$A$3:$A$2927,$A84))</f>
        <v>0</v>
      </c>
      <c r="AH84">
        <f>IF( COUNTIF('Raw Data'!$A$3:$A$2927,$A84)=0,0,SUMIF('Raw Data'!$A$3:$A$2927, $A84,'Raw Data'!AG$3:AG$2927) / COUNTIF('Raw Data'!$A$3:$A$2927,$A84))</f>
        <v>0</v>
      </c>
      <c r="AI84">
        <f>IF( COUNTIF('Raw Data'!$A$3:$A$2927,$A84)=0,0,SUMIF('Raw Data'!$A$3:$A$2927, $A84,'Raw Data'!AH$3:AH$2927) / COUNTIF('Raw Data'!$A$3:$A$2927,$A84))</f>
        <v>0</v>
      </c>
      <c r="AJ84" s="116">
        <f>COUNTIF('Raw Data'!A$3:A$2927, $A84)</f>
        <v>0</v>
      </c>
      <c r="AK84">
        <f>IFERROR(SUM(IF($E84 &gt;autoThreshold, auto), hatch * SUM($H84:$K84), cargo * SUM($M84:$P84),hatch * SUM( $S84:$V84), cargo * SUM($X84:$AA84), rocket23 * SUM($J84:$K84, $O84:$P84, $U84:$V84, $Z84:$AA84), IF($AD84 &gt; climbThreshold, climb), IF($AC84 &gt; assistThreshold, $AC84 * assist), $AH84 * penalty, dropHatch * $AI84, tippedBroke * SUM($AE84:$AF84),  IF( $E84 &lt; noAutoThreshold, noAuto), IF($C84 &lt; doesNothingThreshold, doesNothing, IF($AD84 &gt;1.45, 2) )), "h")</f>
        <v>-21</v>
      </c>
      <c r="AL84">
        <f>SUM(hHatch * SUM($H84:$K84), hHatch * SUM($S84:$V84), hRocket23 * SUM($J84:$K84), hRocket23 * SUM($U84:$V84), hSandstorm * SUM($H84:$K84), hPenalty * $AH84, hDropHatch * $AI84,hTippedBroke * SUM($AE84:$AF84), IF($E84 &lt; hNoAutoThreshold, hNoAuto), IF($AG84 &gt; hFloorHatchThreshold, hFloorHatch))</f>
        <v>-1.5</v>
      </c>
      <c r="AM84">
        <f>SUM(cCargo * SUM($M84:$P84), cCargo *SUM( $X84:$AA84), cRocket23 * SUM($O84:$P84, $Z84:$AA84),cSandstorm * SUM($M84:$P84), cPenalty * $AH84, cTippedBroke * SUM($AE84:$AF84), IF($E84 &lt; cNoAutoThreshold, cNoAuto, 0))</f>
        <v>-1</v>
      </c>
    </row>
    <row r="85" spans="1:39" ht="15.75" thickBot="1">
      <c r="A85">
        <v>6632</v>
      </c>
      <c r="B85" t="s">
        <v>495</v>
      </c>
      <c r="C85">
        <f>PRODUCT($E85,3)+PRODUCT(SUM($H85:$K85),2)+PRODUCT(SUM($M85:$P85),3)+PRODUCT(SUM($S85:$V85),2)+PRODUCT(SUM($X85:$AA85), 3)+IF($AC85 &gt; 2, PRODUCT(SUM($AC85, -1),6), PRODUCT($AC85,3)) + IF($AD85 &gt; 2, PRODUCT(SUM($AD85, -1),6), PRODUCT($AD85,3)) + PRODUCT($AH85, -1)</f>
        <v>0</v>
      </c>
      <c r="D85">
        <f>PRODUCT(SUM($H85:$I85), 2) + PRODUCT(SUM($M85:$N85),3) + PRODUCT(SUM($S85:$T85), 2) + PRODUCT(SUM($X85:$Y85), 3)</f>
        <v>0</v>
      </c>
      <c r="E85">
        <f>IF( COUNTIF('Raw Data'!$A$3:$A$2927,$A85)=0,0,SUMIF('Raw Data'!$A$3:$A$2927, $A85,'Raw Data'!D$3:D$2927) / COUNTIF('Raw Data'!$A$3:$A$2927,$A85))</f>
        <v>0</v>
      </c>
      <c r="F85">
        <f t="array" ref="F85">MAX(IF('Raw Data'!$A$3:$A$927=$A85, 'Raw Data'!$O$3:$O$927))</f>
        <v>0</v>
      </c>
      <c r="G85">
        <f t="array" ref="G85">MAX(IF('Raw Data'!$A$3:$A$927=$A85, 'Raw Data'!$I$3:$I$927))</f>
        <v>0</v>
      </c>
      <c r="H85">
        <f>IF( COUNTIF('Raw Data'!$A$3:$A$2927,$A85)=0,0,SUMIF('Raw Data'!$A$3:$A$2927, $A85,'Raw Data'!E$3:E$2927) / COUNTIF('Raw Data'!$A$3:$A$2927,$A85))</f>
        <v>0</v>
      </c>
      <c r="I85">
        <f>IF( COUNTIF('Raw Data'!$A$3:$A$2927,$A85)=0,0,SUMIF('Raw Data'!$A$3:$A$2927, $A85,'Raw Data'!F$3:F$2927) / COUNTIF('Raw Data'!$A$3:$A$2927,$A85))</f>
        <v>0</v>
      </c>
      <c r="J85">
        <f>IF( COUNTIF('Raw Data'!$A$3:$A$2927,$A85)=0,0,SUMIF('Raw Data'!$A$3:$A$2927, $A85,'Raw Data'!G$3:G$2927) / COUNTIF('Raw Data'!$A$3:$A$2927,$A85))</f>
        <v>0</v>
      </c>
      <c r="K85">
        <f>IF( COUNTIF('Raw Data'!$A$3:$A$2927,$A85)=0,0,SUMIF('Raw Data'!$A$3:$A$2927, $A85,'Raw Data'!H$3:H$2927) / COUNTIF('Raw Data'!$A$3:$A$2927,$A85))</f>
        <v>0</v>
      </c>
      <c r="L85">
        <f t="array" ref="L85">MAX(IF('Raw Data'!$A$3:$A$927=$A85, 'Raw Data'!$N$3:$N$927))</f>
        <v>0</v>
      </c>
      <c r="M85">
        <f>IF( COUNTIF('Raw Data'!$A$3:$A$2927,$A85)=0,0,SUMIF('Raw Data'!$A$3:$A$2927, $A85,'Raw Data'!J$3:J$2927) / COUNTIF('Raw Data'!$A$3:$A$2927,$A85))</f>
        <v>0</v>
      </c>
      <c r="N85">
        <f>IF( COUNTIF('Raw Data'!$A$3:$A$2927,$A85)=0,0,SUMIF('Raw Data'!$A$3:$A$2927, $A85,'Raw Data'!K$3:K$2927) / COUNTIF('Raw Data'!$A$3:$A$2927,$A85))</f>
        <v>0</v>
      </c>
      <c r="O85">
        <f>IF( COUNTIF('Raw Data'!$A$3:$A$2927,$A85)=0,0,SUMIF('Raw Data'!$A$3:$A$2927, $A85,'Raw Data'!L$3:L$2927) / COUNTIF('Raw Data'!$A$3:$A$2927,$A85))</f>
        <v>0</v>
      </c>
      <c r="P85" s="58">
        <f>IF( COUNTIF('Raw Data'!$A$3:$A$2927,$A85)=0,0,SUMIF('Raw Data'!$A$3:$A$2927, $A85,'Raw Data'!M$3:M$2927) / COUNTIF('Raw Data'!$A$3:$A$2927,$A85))</f>
        <v>0</v>
      </c>
      <c r="Q85">
        <f t="array" ref="Q85">MAX(IF('Raw Data'!$A$3:$A$927=$A85, 'Raw Data'!$Z$3:$Z$927))</f>
        <v>0</v>
      </c>
      <c r="R85">
        <f t="array" ref="R85">MAX(IF('Raw Data'!$A$3:$A$927=$A85, 'Raw Data'!$T$3:$T$927))</f>
        <v>0</v>
      </c>
      <c r="S85" s="118">
        <f>IF( COUNTIF('Raw Data'!$A$3:$A$2927,$A85)=0,0,SUMIF('Raw Data'!$A$3:$A$2927, $A85,'Raw Data'!P$3:P$2927) / COUNTIF('Raw Data'!$A$3:$A$2927,$A85))</f>
        <v>0</v>
      </c>
      <c r="T85">
        <f>IF( COUNTIF('Raw Data'!$A$3:$A$2927,$A85)=0,0,SUMIF('Raw Data'!$A$3:$A$2927, $A85,'Raw Data'!Q$3:Q$2927) / COUNTIF('Raw Data'!$A$3:$A$2927,$A85))</f>
        <v>0</v>
      </c>
      <c r="U85">
        <f>IF( COUNTIF('Raw Data'!$A$3:$A$2927,$A85)=0,0,SUMIF('Raw Data'!$A$3:$A$2927, $A85,'Raw Data'!R$3:R$2927) / COUNTIF('Raw Data'!$A$3:$A$2927,$A85))</f>
        <v>0</v>
      </c>
      <c r="V85">
        <f>IF( COUNTIF('Raw Data'!$A$3:$A$2927,$A85)=0,0,SUMIF('Raw Data'!$A$3:$A$2927, $A85,'Raw Data'!S$3:S$2927) / COUNTIF('Raw Data'!$A$3:$A$2927,$A85))</f>
        <v>0</v>
      </c>
      <c r="W85">
        <f t="array" ref="W85">MAX(IF('Raw Data'!$A$3:$A$927=$A85, 'Raw Data'!$Y$3:$Y$927))</f>
        <v>0</v>
      </c>
      <c r="X85">
        <f>IF( COUNTIF('Raw Data'!$A$3:$A$2927,$A85)=0,0,SUMIF('Raw Data'!$A$3:$A$2927, $A85,'Raw Data'!U$3:U$2927) / COUNTIF('Raw Data'!$A$3:$A$2927,$A85))</f>
        <v>0</v>
      </c>
      <c r="Y85">
        <f>IF( COUNTIF('Raw Data'!$A$3:$A$2927,$A85)=0,0,SUMIF('Raw Data'!$A$3:$A$2927, $A85,'Raw Data'!V$3:V$2927) / COUNTIF('Raw Data'!$A$3:$A$2927,$A85))</f>
        <v>0</v>
      </c>
      <c r="Z85">
        <f>IF( COUNTIF('Raw Data'!$A$3:$A$2927,$A85)=0,0,SUMIF('Raw Data'!$A$3:$A$2927, $A85,'Raw Data'!W$3:W$2927) / COUNTIF('Raw Data'!$A$3:$A$2927,$A85))</f>
        <v>0</v>
      </c>
      <c r="AA85">
        <f>IF( COUNTIF('Raw Data'!$A$3:$A$2927,$A85)=0,0,SUMIF('Raw Data'!$A$3:$A$2927, $A85,'Raw Data'!X$3:X$2927) / COUNTIF('Raw Data'!$A$3:$A$2927,$A85))</f>
        <v>0</v>
      </c>
      <c r="AB85">
        <f>IF( COUNTIF('Raw Data'!$A$3:$A$2927,$A85)=0,0,SUMIF('Raw Data'!$A$3:$A$2927, $A85,'Raw Data'!AA$3:AA$2927) / COUNTIF('Raw Data'!$A$3:$A$2927,$A85))</f>
        <v>0</v>
      </c>
      <c r="AC85">
        <f>IF( COUNTIF('Raw Data'!$A$3:$A$2927,$A85)=0,0,SUMIF('Raw Data'!$A$3:$A$2927, $A85,'Raw Data'!AB$3:AB$2927) / COUNTIF('Raw Data'!$A$3:$A$2927,$A85))</f>
        <v>0</v>
      </c>
      <c r="AD85">
        <f>IF( COUNTIF('Raw Data'!$A$3:$A$2927,$A85)=0,0,SUMIF('Raw Data'!$A$3:$A$2927, $A85,'Raw Data'!AC$3:AC$2927) / COUNTIF('Raw Data'!$A$3:$A$2927,$A85))</f>
        <v>0</v>
      </c>
      <c r="AE85" s="117">
        <f>IF( COUNTIF('Raw Data'!$A$3:$A$2927,$A85)=0,0,SUMIF('Raw Data'!$A$3:$A$2927, $A85,'Raw Data'!AD$3:AD$2927) / COUNTIF('Raw Data'!$A$3:$A$2927,$A85))</f>
        <v>0</v>
      </c>
      <c r="AF85">
        <f>IF( COUNTIF('Raw Data'!$A$3:$A$2927,$A85)=0,0,SUMIF('Raw Data'!$A$3:$A$2927, $A85,'Raw Data'!AE$3:AE$2927) / COUNTIF('Raw Data'!$A$3:$A$2927,$A85))</f>
        <v>0</v>
      </c>
      <c r="AG85">
        <f>IF( COUNTIF('Raw Data'!$A$3:$A$2927,$A85)=0,0,SUMIF('Raw Data'!$A$3:$A$2927, $A85,'Raw Data'!AF$3:AF$2927) / COUNTIF('Raw Data'!$A$3:$A$2927,$A85))</f>
        <v>0</v>
      </c>
      <c r="AH85">
        <f>IF( COUNTIF('Raw Data'!$A$3:$A$2927,$A85)=0,0,SUMIF('Raw Data'!$A$3:$A$2927, $A85,'Raw Data'!AG$3:AG$2927) / COUNTIF('Raw Data'!$A$3:$A$2927,$A85))</f>
        <v>0</v>
      </c>
      <c r="AI85">
        <f>IF( COUNTIF('Raw Data'!$A$3:$A$2927,$A85)=0,0,SUMIF('Raw Data'!$A$3:$A$2927, $A85,'Raw Data'!AH$3:AH$2927) / COUNTIF('Raw Data'!$A$3:$A$2927,$A85))</f>
        <v>0</v>
      </c>
      <c r="AJ85" s="116">
        <f>COUNTIF('Raw Data'!A$3:A$2927, $A85)</f>
        <v>0</v>
      </c>
      <c r="AK85">
        <f>IFERROR(SUM(IF($E85 &gt;autoThreshold, auto), hatch * SUM($H85:$K85), cargo * SUM($M85:$P85),hatch * SUM( $S85:$V85), cargo * SUM($X85:$AA85), rocket23 * SUM($J85:$K85, $O85:$P85, $U85:$V85, $Z85:$AA85), IF($AD85 &gt; climbThreshold, climb), IF($AC85 &gt; assistThreshold, $AC85 * assist), $AH85 * penalty, dropHatch * $AI85, tippedBroke * SUM($AE85:$AF85),  IF( $E85 &lt; noAutoThreshold, noAuto), IF($C85 &lt; doesNothingThreshold, doesNothing, IF($AD85 &gt;1.45, 2) )), "h")</f>
        <v>-21</v>
      </c>
      <c r="AL85">
        <f>SUM(hHatch * SUM($H85:$K85), hHatch * SUM($S85:$V85), hRocket23 * SUM($J85:$K85), hRocket23 * SUM($U85:$V85), hSandstorm * SUM($H85:$K85), hPenalty * $AH85, hDropHatch * $AI85,hTippedBroke * SUM($AE85:$AF85), IF($E85 &lt; hNoAutoThreshold, hNoAuto), IF($AG85 &gt; hFloorHatchThreshold, hFloorHatch))</f>
        <v>-1.5</v>
      </c>
      <c r="AM85">
        <f>SUM(cCargo * SUM($M85:$P85), cCargo *SUM( $X85:$AA85), cRocket23 * SUM($O85:$P85, $Z85:$AA85),cSandstorm * SUM($M85:$P85), cPenalty * $AH85, cTippedBroke * SUM($AE85:$AF85), IF($E85 &lt; cNoAutoThreshold, cNoAuto, 0))</f>
        <v>-1</v>
      </c>
    </row>
    <row r="86" spans="1:39" ht="15.75" thickBot="1">
      <c r="A86">
        <v>6859</v>
      </c>
      <c r="B86" t="s">
        <v>225</v>
      </c>
      <c r="C86">
        <f>PRODUCT($E86,3)+PRODUCT(SUM($H86:$K86),2)+PRODUCT(SUM($M86:$P86),3)+PRODUCT(SUM($S86:$V86),2)+PRODUCT(SUM($X86:$AA86), 3)+IF($AC86 &gt; 2, PRODUCT(SUM($AC86, -1),6), PRODUCT($AC86,3)) + IF($AD86 &gt; 2, PRODUCT(SUM($AD86, -1),6), PRODUCT($AD86,3)) + PRODUCT($AH86, -1)</f>
        <v>5.1111111111111116</v>
      </c>
      <c r="D86">
        <f>PRODUCT(SUM($H86:$I86), 2) + PRODUCT(SUM($M86:$N86),3) + PRODUCT(SUM($S86:$T86), 2) + PRODUCT(SUM($X86:$Y86), 3)</f>
        <v>2.7777777777777777</v>
      </c>
      <c r="E86">
        <f>IF( COUNTIF('Raw Data'!$A$3:$A$2927,$A86)=0,0,SUMIF('Raw Data'!$A$3:$A$2927, $A86,'Raw Data'!D$3:D$2927) / COUNTIF('Raw Data'!$A$3:$A$2927,$A86))</f>
        <v>1</v>
      </c>
      <c r="F86">
        <f t="array" ref="F86">MAX(IF('Raw Data'!$A$3:$A$927=$A86, 'Raw Data'!$O$3:$O$927))</f>
        <v>0</v>
      </c>
      <c r="G86">
        <f t="array" ref="G86">MAX(IF('Raw Data'!$A$3:$A$927=$A86, 'Raw Data'!$I$3:$I$927))</f>
        <v>0</v>
      </c>
      <c r="H86">
        <f>IF( COUNTIF('Raw Data'!$A$3:$A$2927,$A86)=0,0,SUMIF('Raw Data'!$A$3:$A$2927, $A86,'Raw Data'!E$3:E$2927) / COUNTIF('Raw Data'!$A$3:$A$2927,$A86))</f>
        <v>0</v>
      </c>
      <c r="I86">
        <f>IF( COUNTIF('Raw Data'!$A$3:$A$2927,$A86)=0,0,SUMIF('Raw Data'!$A$3:$A$2927, $A86,'Raw Data'!F$3:F$2927) / COUNTIF('Raw Data'!$A$3:$A$2927,$A86))</f>
        <v>0</v>
      </c>
      <c r="J86">
        <f>IF( COUNTIF('Raw Data'!$A$3:$A$2927,$A86)=0,0,SUMIF('Raw Data'!$A$3:$A$2927, $A86,'Raw Data'!G$3:G$2927) / COUNTIF('Raw Data'!$A$3:$A$2927,$A86))</f>
        <v>0</v>
      </c>
      <c r="K86">
        <f>IF( COUNTIF('Raw Data'!$A$3:$A$2927,$A86)=0,0,SUMIF('Raw Data'!$A$3:$A$2927, $A86,'Raw Data'!H$3:H$2927) / COUNTIF('Raw Data'!$A$3:$A$2927,$A86))</f>
        <v>0</v>
      </c>
      <c r="L86">
        <f t="array" ref="L86">MAX(IF('Raw Data'!$A$3:$A$927=$A86, 'Raw Data'!$N$3:$N$927))</f>
        <v>0</v>
      </c>
      <c r="M86">
        <f>IF( COUNTIF('Raw Data'!$A$3:$A$2927,$A86)=0,0,SUMIF('Raw Data'!$A$3:$A$2927, $A86,'Raw Data'!J$3:J$2927) / COUNTIF('Raw Data'!$A$3:$A$2927,$A86))</f>
        <v>0</v>
      </c>
      <c r="N86">
        <f>IF( COUNTIF('Raw Data'!$A$3:$A$2927,$A86)=0,0,SUMIF('Raw Data'!$A$3:$A$2927, $A86,'Raw Data'!K$3:K$2927) / COUNTIF('Raw Data'!$A$3:$A$2927,$A86))</f>
        <v>0</v>
      </c>
      <c r="O86">
        <f>IF( COUNTIF('Raw Data'!$A$3:$A$2927,$A86)=0,0,SUMIF('Raw Data'!$A$3:$A$2927, $A86,'Raw Data'!L$3:L$2927) / COUNTIF('Raw Data'!$A$3:$A$2927,$A86))</f>
        <v>0</v>
      </c>
      <c r="P86" s="58">
        <f>IF( COUNTIF('Raw Data'!$A$3:$A$2927,$A86)=0,0,SUMIF('Raw Data'!$A$3:$A$2927, $A86,'Raw Data'!M$3:M$2927) / COUNTIF('Raw Data'!$A$3:$A$2927,$A86))</f>
        <v>0</v>
      </c>
      <c r="Q86">
        <f t="array" ref="Q86">MAX(IF('Raw Data'!$A$3:$A$927=$A86, 'Raw Data'!$Z$3:$Z$927))</f>
        <v>2</v>
      </c>
      <c r="R86">
        <f t="array" ref="R86">MAX(IF('Raw Data'!$A$3:$A$927=$A86, 'Raw Data'!$T$3:$T$927))</f>
        <v>1</v>
      </c>
      <c r="S86" s="118">
        <f>IF( COUNTIF('Raw Data'!$A$3:$A$2927,$A86)=0,0,SUMIF('Raw Data'!$A$3:$A$2927, $A86,'Raw Data'!P$3:P$2927) / COUNTIF('Raw Data'!$A$3:$A$2927,$A86))</f>
        <v>0.1111111111111111</v>
      </c>
      <c r="T86">
        <f>IF( COUNTIF('Raw Data'!$A$3:$A$2927,$A86)=0,0,SUMIF('Raw Data'!$A$3:$A$2927, $A86,'Raw Data'!Q$3:Q$2927) / COUNTIF('Raw Data'!$A$3:$A$2927,$A86))</f>
        <v>0.1111111111111111</v>
      </c>
      <c r="U86">
        <f>IF( COUNTIF('Raw Data'!$A$3:$A$2927,$A86)=0,0,SUMIF('Raw Data'!$A$3:$A$2927, $A86,'Raw Data'!R$3:R$2927) / COUNTIF('Raw Data'!$A$3:$A$2927,$A86))</f>
        <v>0</v>
      </c>
      <c r="V86">
        <f>IF( COUNTIF('Raw Data'!$A$3:$A$2927,$A86)=0,0,SUMIF('Raw Data'!$A$3:$A$2927, $A86,'Raw Data'!S$3:S$2927) / COUNTIF('Raw Data'!$A$3:$A$2927,$A86))</f>
        <v>0</v>
      </c>
      <c r="W86">
        <f t="array" ref="W86">MAX(IF('Raw Data'!$A$3:$A$927=$A86, 'Raw Data'!$Y$3:$Y$927))</f>
        <v>2</v>
      </c>
      <c r="X86">
        <f>IF( COUNTIF('Raw Data'!$A$3:$A$2927,$A86)=0,0,SUMIF('Raw Data'!$A$3:$A$2927, $A86,'Raw Data'!U$3:U$2927) / COUNTIF('Raw Data'!$A$3:$A$2927,$A86))</f>
        <v>0.77777777777777779</v>
      </c>
      <c r="Y86">
        <f>IF( COUNTIF('Raw Data'!$A$3:$A$2927,$A86)=0,0,SUMIF('Raw Data'!$A$3:$A$2927, $A86,'Raw Data'!V$3:V$2927) / COUNTIF('Raw Data'!$A$3:$A$2927,$A86))</f>
        <v>0</v>
      </c>
      <c r="Z86">
        <f>IF( COUNTIF('Raw Data'!$A$3:$A$2927,$A86)=0,0,SUMIF('Raw Data'!$A$3:$A$2927, $A86,'Raw Data'!W$3:W$2927) / COUNTIF('Raw Data'!$A$3:$A$2927,$A86))</f>
        <v>0</v>
      </c>
      <c r="AA86">
        <f>IF( COUNTIF('Raw Data'!$A$3:$A$2927,$A86)=0,0,SUMIF('Raw Data'!$A$3:$A$2927, $A86,'Raw Data'!X$3:X$2927) / COUNTIF('Raw Data'!$A$3:$A$2927,$A86))</f>
        <v>0</v>
      </c>
      <c r="AB86">
        <f>IF( COUNTIF('Raw Data'!$A$3:$A$2927,$A86)=0,0,SUMIF('Raw Data'!$A$3:$A$2927, $A86,'Raw Data'!AA$3:AA$2927) / COUNTIF('Raw Data'!$A$3:$A$2927,$A86))</f>
        <v>0.66666666666666663</v>
      </c>
      <c r="AC86">
        <f>IF( COUNTIF('Raw Data'!$A$3:$A$2927,$A86)=0,0,SUMIF('Raw Data'!$A$3:$A$2927, $A86,'Raw Data'!AB$3:AB$2927) / COUNTIF('Raw Data'!$A$3:$A$2927,$A86))</f>
        <v>0</v>
      </c>
      <c r="AD86">
        <f>IF( COUNTIF('Raw Data'!$A$3:$A$2927,$A86)=0,0,SUMIF('Raw Data'!$A$3:$A$2927, $A86,'Raw Data'!AC$3:AC$2927) / COUNTIF('Raw Data'!$A$3:$A$2927,$A86))</f>
        <v>0.44444444444444442</v>
      </c>
      <c r="AE86" s="117">
        <f>IF( COUNTIF('Raw Data'!$A$3:$A$2927,$A86)=0,0,SUMIF('Raw Data'!$A$3:$A$2927, $A86,'Raw Data'!AD$3:AD$2927) / COUNTIF('Raw Data'!$A$3:$A$2927,$A86))</f>
        <v>0</v>
      </c>
      <c r="AF86">
        <f>IF( COUNTIF('Raw Data'!$A$3:$A$2927,$A86)=0,0,SUMIF('Raw Data'!$A$3:$A$2927, $A86,'Raw Data'!AE$3:AE$2927) / COUNTIF('Raw Data'!$A$3:$A$2927,$A86))</f>
        <v>0.1111111111111111</v>
      </c>
      <c r="AG86">
        <f>IF( COUNTIF('Raw Data'!$A$3:$A$2927,$A86)=0,0,SUMIF('Raw Data'!$A$3:$A$2927, $A86,'Raw Data'!AF$3:AF$2927) / COUNTIF('Raw Data'!$A$3:$A$2927,$A86))</f>
        <v>0</v>
      </c>
      <c r="AH86">
        <f>IF( COUNTIF('Raw Data'!$A$3:$A$2927,$A86)=0,0,SUMIF('Raw Data'!$A$3:$A$2927, $A86,'Raw Data'!AG$3:AG$2927) / COUNTIF('Raw Data'!$A$3:$A$2927,$A86))</f>
        <v>2</v>
      </c>
      <c r="AI86">
        <f>IF( COUNTIF('Raw Data'!$A$3:$A$2927,$A86)=0,0,SUMIF('Raw Data'!$A$3:$A$2927, $A86,'Raw Data'!AH$3:AH$2927) / COUNTIF('Raw Data'!$A$3:$A$2927,$A86))</f>
        <v>0.1111111111111111</v>
      </c>
      <c r="AJ86" s="116">
        <f>COUNTIF('Raw Data'!A$3:A$2927, $A86)</f>
        <v>9</v>
      </c>
      <c r="AK86">
        <f>IFERROR(SUM(IF($E86 &gt;autoThreshold, auto), hatch * SUM($H86:$K86), cargo * SUM($M86:$P86),hatch * SUM( $S86:$V86), cargo * SUM($X86:$AA86), rocket23 * SUM($J86:$K86, $O86:$P86, $U86:$V86, $Z86:$AA86), IF($AD86 &gt; climbThreshold, climb), IF($AC86 &gt; assistThreshold, $AC86 * assist), $AH86 * penalty, dropHatch * $AI86, tippedBroke * SUM($AE86:$AF86),  IF( $E86 &lt; noAutoThreshold, noAuto), IF($C86 &lt; doesNothingThreshold, doesNothing, IF($AD86 &gt;1.45, 2) )), "h")</f>
        <v>-0.70888888888888879</v>
      </c>
      <c r="AL86">
        <f>SUM(hHatch * SUM($H86:$K86), hHatch * SUM($S86:$V86), hRocket23 * SUM($J86:$K86), hRocket23 * SUM($U86:$V86), hSandstorm * SUM($H86:$K86), hPenalty * $AH86, hDropHatch * $AI86,hTippedBroke * SUM($AE86:$AF86), IF($E86 &lt; hNoAutoThreshold, hNoAuto), IF($AG86 &gt; hFloorHatchThreshold, hFloorHatch))</f>
        <v>-1.2222222222222223</v>
      </c>
      <c r="AM86">
        <f>SUM(cCargo * SUM($M86:$P86), cCargo *SUM( $X86:$AA86), cRocket23 * SUM($O86:$P86, $Z86:$AA86),cSandstorm * SUM($M86:$P86), cPenalty * $AH86, cTippedBroke * SUM($AE86:$AF86), IF($E86 &lt; cNoAutoThreshold, cNoAuto, 0))</f>
        <v>-0.10444444444444445</v>
      </c>
    </row>
    <row r="87" spans="1:39" ht="15.75" thickBot="1">
      <c r="A87">
        <v>6864</v>
      </c>
      <c r="B87" t="s">
        <v>226</v>
      </c>
      <c r="C87">
        <f>PRODUCT($E87,3)+PRODUCT(SUM($H87:$K87),2)+PRODUCT(SUM($M87:$P87),3)+PRODUCT(SUM($S87:$V87),2)+PRODUCT(SUM($X87:$AA87), 3)+IF($AC87 &gt; 2, PRODUCT(SUM($AC87, -1),6), PRODUCT($AC87,3)) + IF($AD87 &gt; 2, PRODUCT(SUM($AD87, -1),6), PRODUCT($AD87,3)) + PRODUCT($AH87, -1)</f>
        <v>7.8181818181818201</v>
      </c>
      <c r="D87">
        <f>PRODUCT(SUM($H87:$I87), 2) + PRODUCT(SUM($M87:$N87),3) + PRODUCT(SUM($S87:$T87), 2) + PRODUCT(SUM($X87:$Y87), 3)</f>
        <v>3.7272727272727275</v>
      </c>
      <c r="E87">
        <f>IF( COUNTIF('Raw Data'!$A$3:$A$2927,$A87)=0,0,SUMIF('Raw Data'!$A$3:$A$2927, $A87,'Raw Data'!D$3:D$2927) / COUNTIF('Raw Data'!$A$3:$A$2927,$A87))</f>
        <v>1.1818181818181819</v>
      </c>
      <c r="F87">
        <f t="array" ref="F87">MAX(IF('Raw Data'!$A$3:$A$927=$A87, 'Raw Data'!$O$3:$O$927))</f>
        <v>1</v>
      </c>
      <c r="G87">
        <f t="array" ref="G87">MAX(IF('Raw Data'!$A$3:$A$927=$A87, 'Raw Data'!$I$3:$I$927))</f>
        <v>1</v>
      </c>
      <c r="H87">
        <f>IF( COUNTIF('Raw Data'!$A$3:$A$2927,$A87)=0,0,SUMIF('Raw Data'!$A$3:$A$2927, $A87,'Raw Data'!E$3:E$2927) / COUNTIF('Raw Data'!$A$3:$A$2927,$A87))</f>
        <v>9.0909090909090912E-2</v>
      </c>
      <c r="I87">
        <f>IF( COUNTIF('Raw Data'!$A$3:$A$2927,$A87)=0,0,SUMIF('Raw Data'!$A$3:$A$2927, $A87,'Raw Data'!F$3:F$2927) / COUNTIF('Raw Data'!$A$3:$A$2927,$A87))</f>
        <v>0</v>
      </c>
      <c r="J87">
        <f>IF( COUNTIF('Raw Data'!$A$3:$A$2927,$A87)=0,0,SUMIF('Raw Data'!$A$3:$A$2927, $A87,'Raw Data'!G$3:G$2927) / COUNTIF('Raw Data'!$A$3:$A$2927,$A87))</f>
        <v>0</v>
      </c>
      <c r="K87">
        <f>IF( COUNTIF('Raw Data'!$A$3:$A$2927,$A87)=0,0,SUMIF('Raw Data'!$A$3:$A$2927, $A87,'Raw Data'!H$3:H$2927) / COUNTIF('Raw Data'!$A$3:$A$2927,$A87))</f>
        <v>0</v>
      </c>
      <c r="L87">
        <f t="array" ref="L87">MAX(IF('Raw Data'!$A$3:$A$927=$A87, 'Raw Data'!$N$3:$N$927))</f>
        <v>0</v>
      </c>
      <c r="M87">
        <f>IF( COUNTIF('Raw Data'!$A$3:$A$2927,$A87)=0,0,SUMIF('Raw Data'!$A$3:$A$2927, $A87,'Raw Data'!J$3:J$2927) / COUNTIF('Raw Data'!$A$3:$A$2927,$A87))</f>
        <v>0</v>
      </c>
      <c r="N87">
        <f>IF( COUNTIF('Raw Data'!$A$3:$A$2927,$A87)=0,0,SUMIF('Raw Data'!$A$3:$A$2927, $A87,'Raw Data'!K$3:K$2927) / COUNTIF('Raw Data'!$A$3:$A$2927,$A87))</f>
        <v>0</v>
      </c>
      <c r="O87">
        <f>IF( COUNTIF('Raw Data'!$A$3:$A$2927,$A87)=0,0,SUMIF('Raw Data'!$A$3:$A$2927, $A87,'Raw Data'!L$3:L$2927) / COUNTIF('Raw Data'!$A$3:$A$2927,$A87))</f>
        <v>0</v>
      </c>
      <c r="P87" s="58">
        <f>IF( COUNTIF('Raw Data'!$A$3:$A$2927,$A87)=0,0,SUMIF('Raw Data'!$A$3:$A$2927, $A87,'Raw Data'!M$3:M$2927) / COUNTIF('Raw Data'!$A$3:$A$2927,$A87))</f>
        <v>0</v>
      </c>
      <c r="Q87">
        <f t="array" ref="Q87">MAX(IF('Raw Data'!$A$3:$A$927=$A87, 'Raw Data'!$Z$3:$Z$927))</f>
        <v>3</v>
      </c>
      <c r="R87">
        <f t="array" ref="R87">MAX(IF('Raw Data'!$A$3:$A$927=$A87, 'Raw Data'!$T$3:$T$927))</f>
        <v>1</v>
      </c>
      <c r="S87" s="118">
        <f>IF( COUNTIF('Raw Data'!$A$3:$A$2927,$A87)=0,0,SUMIF('Raw Data'!$A$3:$A$2927, $A87,'Raw Data'!P$3:P$2927) / COUNTIF('Raw Data'!$A$3:$A$2927,$A87))</f>
        <v>0.27272727272727271</v>
      </c>
      <c r="T87">
        <f>IF( COUNTIF('Raw Data'!$A$3:$A$2927,$A87)=0,0,SUMIF('Raw Data'!$A$3:$A$2927, $A87,'Raw Data'!Q$3:Q$2927) / COUNTIF('Raw Data'!$A$3:$A$2927,$A87))</f>
        <v>0</v>
      </c>
      <c r="U87">
        <f>IF( COUNTIF('Raw Data'!$A$3:$A$2927,$A87)=0,0,SUMIF('Raw Data'!$A$3:$A$2927, $A87,'Raw Data'!R$3:R$2927) / COUNTIF('Raw Data'!$A$3:$A$2927,$A87))</f>
        <v>0</v>
      </c>
      <c r="V87">
        <f>IF( COUNTIF('Raw Data'!$A$3:$A$2927,$A87)=0,0,SUMIF('Raw Data'!$A$3:$A$2927, $A87,'Raw Data'!S$3:S$2927) / COUNTIF('Raw Data'!$A$3:$A$2927,$A87))</f>
        <v>0</v>
      </c>
      <c r="W87">
        <f t="array" ref="W87">MAX(IF('Raw Data'!$A$3:$A$927=$A87, 'Raw Data'!$Y$3:$Y$927))</f>
        <v>3</v>
      </c>
      <c r="X87">
        <f>IF( COUNTIF('Raw Data'!$A$3:$A$2927,$A87)=0,0,SUMIF('Raw Data'!$A$3:$A$2927, $A87,'Raw Data'!U$3:U$2927) / COUNTIF('Raw Data'!$A$3:$A$2927,$A87))</f>
        <v>1</v>
      </c>
      <c r="Y87">
        <f>IF( COUNTIF('Raw Data'!$A$3:$A$2927,$A87)=0,0,SUMIF('Raw Data'!$A$3:$A$2927, $A87,'Raw Data'!V$3:V$2927) / COUNTIF('Raw Data'!$A$3:$A$2927,$A87))</f>
        <v>0</v>
      </c>
      <c r="Z87">
        <f>IF( COUNTIF('Raw Data'!$A$3:$A$2927,$A87)=0,0,SUMIF('Raw Data'!$A$3:$A$2927, $A87,'Raw Data'!W$3:W$2927) / COUNTIF('Raw Data'!$A$3:$A$2927,$A87))</f>
        <v>0</v>
      </c>
      <c r="AA87">
        <f>IF( COUNTIF('Raw Data'!$A$3:$A$2927,$A87)=0,0,SUMIF('Raw Data'!$A$3:$A$2927, $A87,'Raw Data'!X$3:X$2927) / COUNTIF('Raw Data'!$A$3:$A$2927,$A87))</f>
        <v>0</v>
      </c>
      <c r="AB87">
        <f>IF( COUNTIF('Raw Data'!$A$3:$A$2927,$A87)=0,0,SUMIF('Raw Data'!$A$3:$A$2927, $A87,'Raw Data'!AA$3:AA$2927) / COUNTIF('Raw Data'!$A$3:$A$2927,$A87))</f>
        <v>9.1818181818181817</v>
      </c>
      <c r="AC87">
        <f>IF( COUNTIF('Raw Data'!$A$3:$A$2927,$A87)=0,0,SUMIF('Raw Data'!$A$3:$A$2927, $A87,'Raw Data'!AB$3:AB$2927) / COUNTIF('Raw Data'!$A$3:$A$2927,$A87))</f>
        <v>0</v>
      </c>
      <c r="AD87">
        <f>IF( COUNTIF('Raw Data'!$A$3:$A$2927,$A87)=0,0,SUMIF('Raw Data'!$A$3:$A$2927, $A87,'Raw Data'!AC$3:AC$2927) / COUNTIF('Raw Data'!$A$3:$A$2927,$A87))</f>
        <v>0.63636363636363635</v>
      </c>
      <c r="AE87" s="117">
        <f>IF( COUNTIF('Raw Data'!$A$3:$A$2927,$A87)=0,0,SUMIF('Raw Data'!$A$3:$A$2927, $A87,'Raw Data'!AD$3:AD$2927) / COUNTIF('Raw Data'!$A$3:$A$2927,$A87))</f>
        <v>0</v>
      </c>
      <c r="AF87">
        <f>IF( COUNTIF('Raw Data'!$A$3:$A$2927,$A87)=0,0,SUMIF('Raw Data'!$A$3:$A$2927, $A87,'Raw Data'!AE$3:AE$2927) / COUNTIF('Raw Data'!$A$3:$A$2927,$A87))</f>
        <v>0</v>
      </c>
      <c r="AG87">
        <f>IF( COUNTIF('Raw Data'!$A$3:$A$2927,$A87)=0,0,SUMIF('Raw Data'!$A$3:$A$2927, $A87,'Raw Data'!AF$3:AF$2927) / COUNTIF('Raw Data'!$A$3:$A$2927,$A87))</f>
        <v>0</v>
      </c>
      <c r="AH87">
        <f>IF( COUNTIF('Raw Data'!$A$3:$A$2927,$A87)=0,0,SUMIF('Raw Data'!$A$3:$A$2927, $A87,'Raw Data'!AG$3:AG$2927) / COUNTIF('Raw Data'!$A$3:$A$2927,$A87))</f>
        <v>1.3636363636363635</v>
      </c>
      <c r="AI87">
        <f>IF( COUNTIF('Raw Data'!$A$3:$A$2927,$A87)=0,0,SUMIF('Raw Data'!$A$3:$A$2927, $A87,'Raw Data'!AH$3:AH$2927) / COUNTIF('Raw Data'!$A$3:$A$2927,$A87))</f>
        <v>0.45454545454545453</v>
      </c>
      <c r="AJ87" s="116">
        <f>COUNTIF('Raw Data'!A$3:A$2927, $A87)</f>
        <v>11</v>
      </c>
      <c r="AK87">
        <f>IFERROR(SUM(IF($E87 &gt;autoThreshold, auto), hatch * SUM($H87:$K87), cargo * SUM($M87:$P87),hatch * SUM( $S87:$V87), cargo * SUM($X87:$AA87), rocket23 * SUM($J87:$K87, $O87:$P87, $U87:$V87, $Z87:$AA87), IF($AD87 &gt; climbThreshold, climb), IF($AC87 &gt; assistThreshold, $AC87 * assist), $AH87 * penalty, dropHatch * $AI87, tippedBroke * SUM($AE87:$AF87),  IF( $E87 &lt; noAutoThreshold, noAuto), IF($C87 &lt; doesNothingThreshold, doesNothing, IF($AD87 &gt;1.45, 2) )), "h")</f>
        <v>-0.56727272727272715</v>
      </c>
      <c r="AL87">
        <f>SUM(hHatch * SUM($H87:$K87), hHatch * SUM($S87:$V87), hRocket23 * SUM($J87:$K87), hRocket23 * SUM($U87:$V87), hSandstorm * SUM($H87:$K87), hPenalty * $AH87, hDropHatch * $AI87,hTippedBroke * SUM($AE87:$AF87), IF($E87 &lt; hNoAutoThreshold, hNoAuto), IF($AG87 &gt; hFloorHatchThreshold, hFloorHatch))</f>
        <v>-1.1818181818181817</v>
      </c>
      <c r="AM87">
        <f>SUM(cCargo * SUM($M87:$P87), cCargo *SUM( $X87:$AA87), cRocket23 * SUM($O87:$P87, $Z87:$AA87),cSandstorm * SUM($M87:$P87), cPenalty * $AH87, cTippedBroke * SUM($AE87:$AF87), IF($E87 &lt; cNoAutoThreshold, cNoAuto, 0))</f>
        <v>0.55000000000000004</v>
      </c>
    </row>
    <row r="88" spans="1:39" ht="15.75" thickBot="1">
      <c r="A88">
        <v>6866</v>
      </c>
      <c r="B88" t="s">
        <v>227</v>
      </c>
      <c r="C88">
        <f>PRODUCT($E88,3)+PRODUCT(SUM($H88:$K88),2)+PRODUCT(SUM($M88:$P88),3)+PRODUCT(SUM($S88:$V88),2)+PRODUCT(SUM($X88:$AA88), 3)+IF($AC88 &gt; 2, PRODUCT(SUM($AC88, -1),6), PRODUCT($AC88,3)) + IF($AD88 &gt; 2, PRODUCT(SUM($AD88, -1),6), PRODUCT($AD88,3)) + PRODUCT($AH88, -1)</f>
        <v>13.75</v>
      </c>
      <c r="D88">
        <f>PRODUCT(SUM($H88:$I88), 2) + PRODUCT(SUM($M88:$N88),3) + PRODUCT(SUM($S88:$T88), 2) + PRODUCT(SUM($X88:$Y88), 3)</f>
        <v>8.125</v>
      </c>
      <c r="E88">
        <f>IF( COUNTIF('Raw Data'!$A$3:$A$2927,$A88)=0,0,SUMIF('Raw Data'!$A$3:$A$2927, $A88,'Raw Data'!D$3:D$2927) / COUNTIF('Raw Data'!$A$3:$A$2927,$A88))</f>
        <v>1.75</v>
      </c>
      <c r="F88">
        <f t="array" ref="F88">MAX(IF('Raw Data'!$A$3:$A$927=$A88, 'Raw Data'!$O$3:$O$927))</f>
        <v>0</v>
      </c>
      <c r="G88">
        <f t="array" ref="G88">MAX(IF('Raw Data'!$A$3:$A$927=$A88, 'Raw Data'!$I$3:$I$927))</f>
        <v>0</v>
      </c>
      <c r="H88">
        <f>IF( COUNTIF('Raw Data'!$A$3:$A$2927,$A88)=0,0,SUMIF('Raw Data'!$A$3:$A$2927, $A88,'Raw Data'!E$3:E$2927) / COUNTIF('Raw Data'!$A$3:$A$2927,$A88))</f>
        <v>0</v>
      </c>
      <c r="I88">
        <f>IF( COUNTIF('Raw Data'!$A$3:$A$2927,$A88)=0,0,SUMIF('Raw Data'!$A$3:$A$2927, $A88,'Raw Data'!F$3:F$2927) / COUNTIF('Raw Data'!$A$3:$A$2927,$A88))</f>
        <v>0</v>
      </c>
      <c r="J88">
        <f>IF( COUNTIF('Raw Data'!$A$3:$A$2927,$A88)=0,0,SUMIF('Raw Data'!$A$3:$A$2927, $A88,'Raw Data'!G$3:G$2927) / COUNTIF('Raw Data'!$A$3:$A$2927,$A88))</f>
        <v>0</v>
      </c>
      <c r="K88">
        <f>IF( COUNTIF('Raw Data'!$A$3:$A$2927,$A88)=0,0,SUMIF('Raw Data'!$A$3:$A$2927, $A88,'Raw Data'!H$3:H$2927) / COUNTIF('Raw Data'!$A$3:$A$2927,$A88))</f>
        <v>0</v>
      </c>
      <c r="L88">
        <f t="array" ref="L88">MAX(IF('Raw Data'!$A$3:$A$927=$A88, 'Raw Data'!$N$3:$N$927))</f>
        <v>0</v>
      </c>
      <c r="M88">
        <f>IF( COUNTIF('Raw Data'!$A$3:$A$2927,$A88)=0,0,SUMIF('Raw Data'!$A$3:$A$2927, $A88,'Raw Data'!J$3:J$2927) / COUNTIF('Raw Data'!$A$3:$A$2927,$A88))</f>
        <v>0</v>
      </c>
      <c r="N88">
        <f>IF( COUNTIF('Raw Data'!$A$3:$A$2927,$A88)=0,0,SUMIF('Raw Data'!$A$3:$A$2927, $A88,'Raw Data'!K$3:K$2927) / COUNTIF('Raw Data'!$A$3:$A$2927,$A88))</f>
        <v>0</v>
      </c>
      <c r="O88">
        <f>IF( COUNTIF('Raw Data'!$A$3:$A$2927,$A88)=0,0,SUMIF('Raw Data'!$A$3:$A$2927, $A88,'Raw Data'!L$3:L$2927) / COUNTIF('Raw Data'!$A$3:$A$2927,$A88))</f>
        <v>0</v>
      </c>
      <c r="P88" s="58">
        <f>IF( COUNTIF('Raw Data'!$A$3:$A$2927,$A88)=0,0,SUMIF('Raw Data'!$A$3:$A$2927, $A88,'Raw Data'!M$3:M$2927) / COUNTIF('Raw Data'!$A$3:$A$2927,$A88))</f>
        <v>0</v>
      </c>
      <c r="Q88">
        <f t="array" ref="Q88">MAX(IF('Raw Data'!$A$3:$A$927=$A88, 'Raw Data'!$Z$3:$Z$927))</f>
        <v>4</v>
      </c>
      <c r="R88">
        <f t="array" ref="R88">MAX(IF('Raw Data'!$A$3:$A$927=$A88, 'Raw Data'!$T$3:$T$927))</f>
        <v>1</v>
      </c>
      <c r="S88" s="118">
        <f>IF( COUNTIF('Raw Data'!$A$3:$A$2927,$A88)=0,0,SUMIF('Raw Data'!$A$3:$A$2927, $A88,'Raw Data'!P$3:P$2927) / COUNTIF('Raw Data'!$A$3:$A$2927,$A88))</f>
        <v>0.125</v>
      </c>
      <c r="T88">
        <f>IF( COUNTIF('Raw Data'!$A$3:$A$2927,$A88)=0,0,SUMIF('Raw Data'!$A$3:$A$2927, $A88,'Raw Data'!Q$3:Q$2927) / COUNTIF('Raw Data'!$A$3:$A$2927,$A88))</f>
        <v>0</v>
      </c>
      <c r="U88">
        <f>IF( COUNTIF('Raw Data'!$A$3:$A$2927,$A88)=0,0,SUMIF('Raw Data'!$A$3:$A$2927, $A88,'Raw Data'!R$3:R$2927) / COUNTIF('Raw Data'!$A$3:$A$2927,$A88))</f>
        <v>0</v>
      </c>
      <c r="V88">
        <f>IF( COUNTIF('Raw Data'!$A$3:$A$2927,$A88)=0,0,SUMIF('Raw Data'!$A$3:$A$2927, $A88,'Raw Data'!S$3:S$2927) / COUNTIF('Raw Data'!$A$3:$A$2927,$A88))</f>
        <v>0</v>
      </c>
      <c r="W88">
        <f t="array" ref="W88">MAX(IF('Raw Data'!$A$3:$A$927=$A88, 'Raw Data'!$Y$3:$Y$927))</f>
        <v>4</v>
      </c>
      <c r="X88">
        <f>IF( COUNTIF('Raw Data'!$A$3:$A$2927,$A88)=0,0,SUMIF('Raw Data'!$A$3:$A$2927, $A88,'Raw Data'!U$3:U$2927) / COUNTIF('Raw Data'!$A$3:$A$2927,$A88))</f>
        <v>2.625</v>
      </c>
      <c r="Y88">
        <f>IF( COUNTIF('Raw Data'!$A$3:$A$2927,$A88)=0,0,SUMIF('Raw Data'!$A$3:$A$2927, $A88,'Raw Data'!V$3:V$2927) / COUNTIF('Raw Data'!$A$3:$A$2927,$A88))</f>
        <v>0</v>
      </c>
      <c r="Z88">
        <f>IF( COUNTIF('Raw Data'!$A$3:$A$2927,$A88)=0,0,SUMIF('Raw Data'!$A$3:$A$2927, $A88,'Raw Data'!W$3:W$2927) / COUNTIF('Raw Data'!$A$3:$A$2927,$A88))</f>
        <v>0</v>
      </c>
      <c r="AA88">
        <f>IF( COUNTIF('Raw Data'!$A$3:$A$2927,$A88)=0,0,SUMIF('Raw Data'!$A$3:$A$2927, $A88,'Raw Data'!X$3:X$2927) / COUNTIF('Raw Data'!$A$3:$A$2927,$A88))</f>
        <v>0</v>
      </c>
      <c r="AB88">
        <f>IF( COUNTIF('Raw Data'!$A$3:$A$2927,$A88)=0,0,SUMIF('Raw Data'!$A$3:$A$2927, $A88,'Raw Data'!AA$3:AA$2927) / COUNTIF('Raw Data'!$A$3:$A$2927,$A88))</f>
        <v>6.875</v>
      </c>
      <c r="AC88">
        <f>IF( COUNTIF('Raw Data'!$A$3:$A$2927,$A88)=0,0,SUMIF('Raw Data'!$A$3:$A$2927, $A88,'Raw Data'!AB$3:AB$2927) / COUNTIF('Raw Data'!$A$3:$A$2927,$A88))</f>
        <v>0</v>
      </c>
      <c r="AD88">
        <f>IF( COUNTIF('Raw Data'!$A$3:$A$2927,$A88)=0,0,SUMIF('Raw Data'!$A$3:$A$2927, $A88,'Raw Data'!AC$3:AC$2927) / COUNTIF('Raw Data'!$A$3:$A$2927,$A88))</f>
        <v>0.875</v>
      </c>
      <c r="AE88" s="117">
        <f>IF( COUNTIF('Raw Data'!$A$3:$A$2927,$A88)=0,0,SUMIF('Raw Data'!$A$3:$A$2927, $A88,'Raw Data'!AD$3:AD$2927) / COUNTIF('Raw Data'!$A$3:$A$2927,$A88))</f>
        <v>0</v>
      </c>
      <c r="AF88">
        <f>IF( COUNTIF('Raw Data'!$A$3:$A$2927,$A88)=0,0,SUMIF('Raw Data'!$A$3:$A$2927, $A88,'Raw Data'!AE$3:AE$2927) / COUNTIF('Raw Data'!$A$3:$A$2927,$A88))</f>
        <v>0</v>
      </c>
      <c r="AG88">
        <f>IF( COUNTIF('Raw Data'!$A$3:$A$2927,$A88)=0,0,SUMIF('Raw Data'!$A$3:$A$2927, $A88,'Raw Data'!AF$3:AF$2927) / COUNTIF('Raw Data'!$A$3:$A$2927,$A88))</f>
        <v>0</v>
      </c>
      <c r="AH88">
        <f>IF( COUNTIF('Raw Data'!$A$3:$A$2927,$A88)=0,0,SUMIF('Raw Data'!$A$3:$A$2927, $A88,'Raw Data'!AG$3:AG$2927) / COUNTIF('Raw Data'!$A$3:$A$2927,$A88))</f>
        <v>2.25</v>
      </c>
      <c r="AI88">
        <f>IF( COUNTIF('Raw Data'!$A$3:$A$2927,$A88)=0,0,SUMIF('Raw Data'!$A$3:$A$2927, $A88,'Raw Data'!AH$3:AH$2927) / COUNTIF('Raw Data'!$A$3:$A$2927,$A88))</f>
        <v>0</v>
      </c>
      <c r="AJ88" s="116">
        <f>COUNTIF('Raw Data'!A$3:A$2927, $A88)</f>
        <v>8</v>
      </c>
      <c r="AK88">
        <f>IFERROR(SUM(IF($E88 &gt;autoThreshold, auto), hatch * SUM($H88:$K88), cargo * SUM($M88:$P88),hatch * SUM( $S88:$V88), cargo * SUM($X88:$AA88), rocket23 * SUM($J88:$K88, $O88:$P88, $U88:$V88, $Z88:$AA88), IF($AD88 &gt; climbThreshold, climb), IF($AC88 &gt; assistThreshold, $AC88 * assist), $AH88 * penalty, dropHatch * $AI88, tippedBroke * SUM($AE88:$AF88),  IF( $E88 &lt; noAutoThreshold, noAuto), IF($C88 &lt; doesNothingThreshold, doesNothing, IF($AD88 &gt;1.45, 2) )), "h")</f>
        <v>1.7324999999999999</v>
      </c>
      <c r="AL88">
        <f>SUM(hHatch * SUM($H88:$K88), hHatch * SUM($S88:$V88), hRocket23 * SUM($J88:$K88), hRocket23 * SUM($U88:$V88), hSandstorm * SUM($H88:$K88), hPenalty * $AH88, hDropHatch * $AI88,hTippedBroke * SUM($AE88:$AF88), IF($E88 &lt; hNoAutoThreshold, hNoAuto), IF($AG88 &gt; hFloorHatchThreshold, hFloorHatch))</f>
        <v>-1</v>
      </c>
      <c r="AM88">
        <f>SUM(cCargo * SUM($M88:$P88), cCargo *SUM( $X88:$AA88), cRocket23 * SUM($O88:$P88, $Z88:$AA88),cSandstorm * SUM($M88:$P88), cPenalty * $AH88, cTippedBroke * SUM($AE88:$AF88), IF($E88 &lt; cNoAutoThreshold, cNoAuto, 0))</f>
        <v>1.8824999999999998</v>
      </c>
    </row>
    <row r="89" spans="1:39" ht="15.75" thickBot="1">
      <c r="A89">
        <v>6867</v>
      </c>
      <c r="B89" t="s">
        <v>228</v>
      </c>
      <c r="C89">
        <f>PRODUCT($E89,3)+PRODUCT(SUM($H89:$K89),2)+PRODUCT(SUM($M89:$P89),3)+PRODUCT(SUM($S89:$V89),2)+PRODUCT(SUM($X89:$AA89), 3)+IF($AC89 &gt; 2, PRODUCT(SUM($AC89, -1),6), PRODUCT($AC89,3)) + IF($AD89 &gt; 2, PRODUCT(SUM($AD89, -1),6), PRODUCT($AD89,3)) + PRODUCT($AH89, -1)</f>
        <v>16.818181818181817</v>
      </c>
      <c r="D89">
        <f>PRODUCT(SUM($H89:$I89), 2) + PRODUCT(SUM($M89:$N89),3) + PRODUCT(SUM($S89:$T89), 2) + PRODUCT(SUM($X89:$Y89), 3)</f>
        <v>8.9090909090909083</v>
      </c>
      <c r="E89">
        <f>IF( COUNTIF('Raw Data'!$A$3:$A$2927,$A89)=0,0,SUMIF('Raw Data'!$A$3:$A$2927, $A89,'Raw Data'!D$3:D$2927) / COUNTIF('Raw Data'!$A$3:$A$2927,$A89))</f>
        <v>1.7272727272727273</v>
      </c>
      <c r="F89">
        <f t="array" ref="F89">MAX(IF('Raw Data'!$A$3:$A$927=$A89, 'Raw Data'!$O$3:$O$927))</f>
        <v>1</v>
      </c>
      <c r="G89">
        <f t="array" ref="G89">MAX(IF('Raw Data'!$A$3:$A$927=$A89, 'Raw Data'!$I$3:$I$927))</f>
        <v>1</v>
      </c>
      <c r="H89">
        <f>IF( COUNTIF('Raw Data'!$A$3:$A$2927,$A89)=0,0,SUMIF('Raw Data'!$A$3:$A$2927, $A89,'Raw Data'!E$3:E$2927) / COUNTIF('Raw Data'!$A$3:$A$2927,$A89))</f>
        <v>0.54545454545454541</v>
      </c>
      <c r="I89">
        <f>IF( COUNTIF('Raw Data'!$A$3:$A$2927,$A89)=0,0,SUMIF('Raw Data'!$A$3:$A$2927, $A89,'Raw Data'!F$3:F$2927) / COUNTIF('Raw Data'!$A$3:$A$2927,$A89))</f>
        <v>0</v>
      </c>
      <c r="J89">
        <f>IF( COUNTIF('Raw Data'!$A$3:$A$2927,$A89)=0,0,SUMIF('Raw Data'!$A$3:$A$2927, $A89,'Raw Data'!G$3:G$2927) / COUNTIF('Raw Data'!$A$3:$A$2927,$A89))</f>
        <v>0</v>
      </c>
      <c r="K89">
        <f>IF( COUNTIF('Raw Data'!$A$3:$A$2927,$A89)=0,0,SUMIF('Raw Data'!$A$3:$A$2927, $A89,'Raw Data'!H$3:H$2927) / COUNTIF('Raw Data'!$A$3:$A$2927,$A89))</f>
        <v>0</v>
      </c>
      <c r="L89">
        <f t="array" ref="L89">MAX(IF('Raw Data'!$A$3:$A$927=$A89, 'Raw Data'!$N$3:$N$927))</f>
        <v>0</v>
      </c>
      <c r="M89">
        <f>IF( COUNTIF('Raw Data'!$A$3:$A$2927,$A89)=0,0,SUMIF('Raw Data'!$A$3:$A$2927, $A89,'Raw Data'!J$3:J$2927) / COUNTIF('Raw Data'!$A$3:$A$2927,$A89))</f>
        <v>0</v>
      </c>
      <c r="N89">
        <f>IF( COUNTIF('Raw Data'!$A$3:$A$2927,$A89)=0,0,SUMIF('Raw Data'!$A$3:$A$2927, $A89,'Raw Data'!K$3:K$2927) / COUNTIF('Raw Data'!$A$3:$A$2927,$A89))</f>
        <v>0</v>
      </c>
      <c r="O89">
        <f>IF( COUNTIF('Raw Data'!$A$3:$A$2927,$A89)=0,0,SUMIF('Raw Data'!$A$3:$A$2927, $A89,'Raw Data'!L$3:L$2927) / COUNTIF('Raw Data'!$A$3:$A$2927,$A89))</f>
        <v>0</v>
      </c>
      <c r="P89" s="58">
        <f>IF( COUNTIF('Raw Data'!$A$3:$A$2927,$A89)=0,0,SUMIF('Raw Data'!$A$3:$A$2927, $A89,'Raw Data'!M$3:M$2927) / COUNTIF('Raw Data'!$A$3:$A$2927,$A89))</f>
        <v>0</v>
      </c>
      <c r="Q89">
        <f t="array" ref="Q89">MAX(IF('Raw Data'!$A$3:$A$927=$A89, 'Raw Data'!$Z$3:$Z$927))</f>
        <v>5</v>
      </c>
      <c r="R89">
        <f t="array" ref="R89">MAX(IF('Raw Data'!$A$3:$A$927=$A89, 'Raw Data'!$T$3:$T$927))</f>
        <v>5</v>
      </c>
      <c r="S89" s="118">
        <f>IF( COUNTIF('Raw Data'!$A$3:$A$2927,$A89)=0,0,SUMIF('Raw Data'!$A$3:$A$2927, $A89,'Raw Data'!P$3:P$2927) / COUNTIF('Raw Data'!$A$3:$A$2927,$A89))</f>
        <v>2.5454545454545454</v>
      </c>
      <c r="T89">
        <f>IF( COUNTIF('Raw Data'!$A$3:$A$2927,$A89)=0,0,SUMIF('Raw Data'!$A$3:$A$2927, $A89,'Raw Data'!Q$3:Q$2927) / COUNTIF('Raw Data'!$A$3:$A$2927,$A89))</f>
        <v>1.0909090909090908</v>
      </c>
      <c r="U89">
        <f>IF( COUNTIF('Raw Data'!$A$3:$A$2927,$A89)=0,0,SUMIF('Raw Data'!$A$3:$A$2927, $A89,'Raw Data'!R$3:R$2927) / COUNTIF('Raw Data'!$A$3:$A$2927,$A89))</f>
        <v>0</v>
      </c>
      <c r="V89">
        <f>IF( COUNTIF('Raw Data'!$A$3:$A$2927,$A89)=0,0,SUMIF('Raw Data'!$A$3:$A$2927, $A89,'Raw Data'!S$3:S$2927) / COUNTIF('Raw Data'!$A$3:$A$2927,$A89))</f>
        <v>0</v>
      </c>
      <c r="W89">
        <f t="array" ref="W89">MAX(IF('Raw Data'!$A$3:$A$927=$A89, 'Raw Data'!$Y$3:$Y$927))</f>
        <v>2</v>
      </c>
      <c r="X89">
        <f>IF( COUNTIF('Raw Data'!$A$3:$A$2927,$A89)=0,0,SUMIF('Raw Data'!$A$3:$A$2927, $A89,'Raw Data'!U$3:U$2927) / COUNTIF('Raw Data'!$A$3:$A$2927,$A89))</f>
        <v>0.18181818181818182</v>
      </c>
      <c r="Y89">
        <f>IF( COUNTIF('Raw Data'!$A$3:$A$2927,$A89)=0,0,SUMIF('Raw Data'!$A$3:$A$2927, $A89,'Raw Data'!V$3:V$2927) / COUNTIF('Raw Data'!$A$3:$A$2927,$A89))</f>
        <v>0</v>
      </c>
      <c r="Z89">
        <f>IF( COUNTIF('Raw Data'!$A$3:$A$2927,$A89)=0,0,SUMIF('Raw Data'!$A$3:$A$2927, $A89,'Raw Data'!W$3:W$2927) / COUNTIF('Raw Data'!$A$3:$A$2927,$A89))</f>
        <v>0</v>
      </c>
      <c r="AA89">
        <f>IF( COUNTIF('Raw Data'!$A$3:$A$2927,$A89)=0,0,SUMIF('Raw Data'!$A$3:$A$2927, $A89,'Raw Data'!X$3:X$2927) / COUNTIF('Raw Data'!$A$3:$A$2927,$A89))</f>
        <v>0</v>
      </c>
      <c r="AB89">
        <f>IF( COUNTIF('Raw Data'!$A$3:$A$2927,$A89)=0,0,SUMIF('Raw Data'!$A$3:$A$2927, $A89,'Raw Data'!AA$3:AA$2927) / COUNTIF('Raw Data'!$A$3:$A$2927,$A89))</f>
        <v>3.1818181818181817</v>
      </c>
      <c r="AC89">
        <f>IF( COUNTIF('Raw Data'!$A$3:$A$2927,$A89)=0,0,SUMIF('Raw Data'!$A$3:$A$2927, $A89,'Raw Data'!AB$3:AB$2927) / COUNTIF('Raw Data'!$A$3:$A$2927,$A89))</f>
        <v>0</v>
      </c>
      <c r="AD89">
        <f>IF( COUNTIF('Raw Data'!$A$3:$A$2927,$A89)=0,0,SUMIF('Raw Data'!$A$3:$A$2927, $A89,'Raw Data'!AC$3:AC$2927) / COUNTIF('Raw Data'!$A$3:$A$2927,$A89))</f>
        <v>1.4545454545454546</v>
      </c>
      <c r="AE89" s="117">
        <f>IF( COUNTIF('Raw Data'!$A$3:$A$2927,$A89)=0,0,SUMIF('Raw Data'!$A$3:$A$2927, $A89,'Raw Data'!AD$3:AD$2927) / COUNTIF('Raw Data'!$A$3:$A$2927,$A89))</f>
        <v>0</v>
      </c>
      <c r="AF89">
        <f>IF( COUNTIF('Raw Data'!$A$3:$A$2927,$A89)=0,0,SUMIF('Raw Data'!$A$3:$A$2927, $A89,'Raw Data'!AE$3:AE$2927) / COUNTIF('Raw Data'!$A$3:$A$2927,$A89))</f>
        <v>0</v>
      </c>
      <c r="AG89">
        <f>IF( COUNTIF('Raw Data'!$A$3:$A$2927,$A89)=0,0,SUMIF('Raw Data'!$A$3:$A$2927, $A89,'Raw Data'!AF$3:AF$2927) / COUNTIF('Raw Data'!$A$3:$A$2927,$A89))</f>
        <v>0</v>
      </c>
      <c r="AH89">
        <f>IF( COUNTIF('Raw Data'!$A$3:$A$2927,$A89)=0,0,SUMIF('Raw Data'!$A$3:$A$2927, $A89,'Raw Data'!AG$3:AG$2927) / COUNTIF('Raw Data'!$A$3:$A$2927,$A89))</f>
        <v>1.6363636363636365</v>
      </c>
      <c r="AI89">
        <f>IF( COUNTIF('Raw Data'!$A$3:$A$2927,$A89)=0,0,SUMIF('Raw Data'!$A$3:$A$2927, $A89,'Raw Data'!AH$3:AH$2927) / COUNTIF('Raw Data'!$A$3:$A$2927,$A89))</f>
        <v>0.81818181818181823</v>
      </c>
      <c r="AJ89" s="116">
        <f>COUNTIF('Raw Data'!A$3:A$2927, $A89)</f>
        <v>11</v>
      </c>
      <c r="AK89">
        <f>IFERROR(SUM(IF($E89 &gt;autoThreshold, auto), hatch * SUM($H89:$K89), cargo * SUM($M89:$P89),hatch * SUM( $S89:$V89), cargo * SUM($X89:$AA89), rocket23 * SUM($J89:$K89, $O89:$P89, $U89:$V89, $Z89:$AA89), IF($AD89 &gt; climbThreshold, climb), IF($AC89 &gt; assistThreshold, $AC89 * assist), $AH89 * penalty, dropHatch * $AI89, tippedBroke * SUM($AE89:$AF89),  IF( $E89 &lt; noAutoThreshold, noAuto), IF($C89 &lt; doesNothingThreshold, doesNothing, IF($AD89 &gt;1.45, 2) )), "h")</f>
        <v>4.8472727272727267</v>
      </c>
      <c r="AL89">
        <f>SUM(hHatch * SUM($H89:$K89), hHatch * SUM($S89:$V89), hRocket23 * SUM($J89:$K89), hRocket23 * SUM($U89:$V89), hSandstorm * SUM($H89:$K89), hPenalty * $AH89, hDropHatch * $AI89,hTippedBroke * SUM($AE89:$AF89), IF($E89 &lt; hNoAutoThreshold, hNoAuto), IF($AG89 &gt; hFloorHatchThreshold, hFloorHatch))</f>
        <v>1.9999999999999993</v>
      </c>
      <c r="AM89">
        <f>SUM(cCargo * SUM($M89:$P89), cCargo *SUM( $X89:$AA89), cRocket23 * SUM($O89:$P89, $Z89:$AA89),cSandstorm * SUM($M89:$P89), cPenalty * $AH89, cTippedBroke * SUM($AE89:$AF89), IF($E89 &lt; cNoAutoThreshold, cNoAuto, 0))</f>
        <v>-0.35818181818181821</v>
      </c>
    </row>
    <row r="90" spans="1:39" ht="15.75" thickBot="1">
      <c r="A90">
        <v>6878</v>
      </c>
      <c r="B90" t="s">
        <v>435</v>
      </c>
      <c r="C90">
        <f>PRODUCT($E90,3)+PRODUCT(SUM($H90:$K90),2)+PRODUCT(SUM($M90:$P90),3)+PRODUCT(SUM($S90:$V90),2)+PRODUCT(SUM($X90:$AA90), 3)+IF($AC90 &gt; 2, PRODUCT(SUM($AC90, -1),6), PRODUCT($AC90,3)) + IF($AD90 &gt; 2, PRODUCT(SUM($AD90, -1),6), PRODUCT($AD90,3)) + PRODUCT($AH90, -1)</f>
        <v>0</v>
      </c>
      <c r="D90">
        <f>PRODUCT(SUM($H90:$I90), 2) + PRODUCT(SUM($M90:$N90),3) + PRODUCT(SUM($S90:$T90), 2) + PRODUCT(SUM($X90:$Y90), 3)</f>
        <v>0</v>
      </c>
      <c r="E90">
        <f>IF( COUNTIF('Raw Data'!$A$3:$A$2927,$A90)=0,0,SUMIF('Raw Data'!$A$3:$A$2927, $A90,'Raw Data'!D$3:D$2927) / COUNTIF('Raw Data'!$A$3:$A$2927,$A90))</f>
        <v>0</v>
      </c>
      <c r="F90">
        <f t="array" ref="F90">MAX(IF('Raw Data'!$A$3:$A$927=$A90, 'Raw Data'!$O$3:$O$927))</f>
        <v>0</v>
      </c>
      <c r="G90">
        <f t="array" ref="G90">MAX(IF('Raw Data'!$A$3:$A$927=$A90, 'Raw Data'!$I$3:$I$927))</f>
        <v>0</v>
      </c>
      <c r="H90">
        <f>IF( COUNTIF('Raw Data'!$A$3:$A$2927,$A90)=0,0,SUMIF('Raw Data'!$A$3:$A$2927, $A90,'Raw Data'!E$3:E$2927) / COUNTIF('Raw Data'!$A$3:$A$2927,$A90))</f>
        <v>0</v>
      </c>
      <c r="I90">
        <f>IF( COUNTIF('Raw Data'!$A$3:$A$2927,$A90)=0,0,SUMIF('Raw Data'!$A$3:$A$2927, $A90,'Raw Data'!F$3:F$2927) / COUNTIF('Raw Data'!$A$3:$A$2927,$A90))</f>
        <v>0</v>
      </c>
      <c r="J90">
        <f>IF( COUNTIF('Raw Data'!$A$3:$A$2927,$A90)=0,0,SUMIF('Raw Data'!$A$3:$A$2927, $A90,'Raw Data'!G$3:G$2927) / COUNTIF('Raw Data'!$A$3:$A$2927,$A90))</f>
        <v>0</v>
      </c>
      <c r="K90">
        <f>IF( COUNTIF('Raw Data'!$A$3:$A$2927,$A90)=0,0,SUMIF('Raw Data'!$A$3:$A$2927, $A90,'Raw Data'!H$3:H$2927) / COUNTIF('Raw Data'!$A$3:$A$2927,$A90))</f>
        <v>0</v>
      </c>
      <c r="L90">
        <f t="array" ref="L90">MAX(IF('Raw Data'!$A$3:$A$927=$A90, 'Raw Data'!$N$3:$N$927))</f>
        <v>0</v>
      </c>
      <c r="M90">
        <f>IF( COUNTIF('Raw Data'!$A$3:$A$2927,$A90)=0,0,SUMIF('Raw Data'!$A$3:$A$2927, $A90,'Raw Data'!J$3:J$2927) / COUNTIF('Raw Data'!$A$3:$A$2927,$A90))</f>
        <v>0</v>
      </c>
      <c r="N90">
        <f>IF( COUNTIF('Raw Data'!$A$3:$A$2927,$A90)=0,0,SUMIF('Raw Data'!$A$3:$A$2927, $A90,'Raw Data'!K$3:K$2927) / COUNTIF('Raw Data'!$A$3:$A$2927,$A90))</f>
        <v>0</v>
      </c>
      <c r="O90">
        <f>IF( COUNTIF('Raw Data'!$A$3:$A$2927,$A90)=0,0,SUMIF('Raw Data'!$A$3:$A$2927, $A90,'Raw Data'!L$3:L$2927) / COUNTIF('Raw Data'!$A$3:$A$2927,$A90))</f>
        <v>0</v>
      </c>
      <c r="P90" s="58">
        <f>IF( COUNTIF('Raw Data'!$A$3:$A$2927,$A90)=0,0,SUMIF('Raw Data'!$A$3:$A$2927, $A90,'Raw Data'!M$3:M$2927) / COUNTIF('Raw Data'!$A$3:$A$2927,$A90))</f>
        <v>0</v>
      </c>
      <c r="Q90">
        <f t="array" ref="Q90">MAX(IF('Raw Data'!$A$3:$A$927=$A90, 'Raw Data'!$Z$3:$Z$927))</f>
        <v>0</v>
      </c>
      <c r="R90">
        <f t="array" ref="R90">MAX(IF('Raw Data'!$A$3:$A$927=$A90, 'Raw Data'!$T$3:$T$927))</f>
        <v>0</v>
      </c>
      <c r="S90" s="118">
        <f>IF( COUNTIF('Raw Data'!$A$3:$A$2927,$A90)=0,0,SUMIF('Raw Data'!$A$3:$A$2927, $A90,'Raw Data'!P$3:P$2927) / COUNTIF('Raw Data'!$A$3:$A$2927,$A90))</f>
        <v>0</v>
      </c>
      <c r="T90">
        <f>IF( COUNTIF('Raw Data'!$A$3:$A$2927,$A90)=0,0,SUMIF('Raw Data'!$A$3:$A$2927, $A90,'Raw Data'!Q$3:Q$2927) / COUNTIF('Raw Data'!$A$3:$A$2927,$A90))</f>
        <v>0</v>
      </c>
      <c r="U90">
        <f>IF( COUNTIF('Raw Data'!$A$3:$A$2927,$A90)=0,0,SUMIF('Raw Data'!$A$3:$A$2927, $A90,'Raw Data'!R$3:R$2927) / COUNTIF('Raw Data'!$A$3:$A$2927,$A90))</f>
        <v>0</v>
      </c>
      <c r="V90">
        <f>IF( COUNTIF('Raw Data'!$A$3:$A$2927,$A90)=0,0,SUMIF('Raw Data'!$A$3:$A$2927, $A90,'Raw Data'!S$3:S$2927) / COUNTIF('Raw Data'!$A$3:$A$2927,$A90))</f>
        <v>0</v>
      </c>
      <c r="W90">
        <f t="array" ref="W90">MAX(IF('Raw Data'!$A$3:$A$927=$A90, 'Raw Data'!$Y$3:$Y$927))</f>
        <v>0</v>
      </c>
      <c r="X90">
        <f>IF( COUNTIF('Raw Data'!$A$3:$A$2927,$A90)=0,0,SUMIF('Raw Data'!$A$3:$A$2927, $A90,'Raw Data'!U$3:U$2927) / COUNTIF('Raw Data'!$A$3:$A$2927,$A90))</f>
        <v>0</v>
      </c>
      <c r="Y90">
        <f>IF( COUNTIF('Raw Data'!$A$3:$A$2927,$A90)=0,0,SUMIF('Raw Data'!$A$3:$A$2927, $A90,'Raw Data'!V$3:V$2927) / COUNTIF('Raw Data'!$A$3:$A$2927,$A90))</f>
        <v>0</v>
      </c>
      <c r="Z90">
        <f>IF( COUNTIF('Raw Data'!$A$3:$A$2927,$A90)=0,0,SUMIF('Raw Data'!$A$3:$A$2927, $A90,'Raw Data'!W$3:W$2927) / COUNTIF('Raw Data'!$A$3:$A$2927,$A90))</f>
        <v>0</v>
      </c>
      <c r="AA90">
        <f>IF( COUNTIF('Raw Data'!$A$3:$A$2927,$A90)=0,0,SUMIF('Raw Data'!$A$3:$A$2927, $A90,'Raw Data'!X$3:X$2927) / COUNTIF('Raw Data'!$A$3:$A$2927,$A90))</f>
        <v>0</v>
      </c>
      <c r="AB90">
        <f>IF( COUNTIF('Raw Data'!$A$3:$A$2927,$A90)=0,0,SUMIF('Raw Data'!$A$3:$A$2927, $A90,'Raw Data'!AA$3:AA$2927) / COUNTIF('Raw Data'!$A$3:$A$2927,$A90))</f>
        <v>0</v>
      </c>
      <c r="AC90">
        <f>IF( COUNTIF('Raw Data'!$A$3:$A$2927,$A90)=0,0,SUMIF('Raw Data'!$A$3:$A$2927, $A90,'Raw Data'!AB$3:AB$2927) / COUNTIF('Raw Data'!$A$3:$A$2927,$A90))</f>
        <v>0</v>
      </c>
      <c r="AD90">
        <f>IF( COUNTIF('Raw Data'!$A$3:$A$2927,$A90)=0,0,SUMIF('Raw Data'!$A$3:$A$2927, $A90,'Raw Data'!AC$3:AC$2927) / COUNTIF('Raw Data'!$A$3:$A$2927,$A90))</f>
        <v>0</v>
      </c>
      <c r="AE90" s="117">
        <f>IF( COUNTIF('Raw Data'!$A$3:$A$2927,$A90)=0,0,SUMIF('Raw Data'!$A$3:$A$2927, $A90,'Raw Data'!AD$3:AD$2927) / COUNTIF('Raw Data'!$A$3:$A$2927,$A90))</f>
        <v>0</v>
      </c>
      <c r="AF90">
        <f>IF( COUNTIF('Raw Data'!$A$3:$A$2927,$A90)=0,0,SUMIF('Raw Data'!$A$3:$A$2927, $A90,'Raw Data'!AE$3:AE$2927) / COUNTIF('Raw Data'!$A$3:$A$2927,$A90))</f>
        <v>0</v>
      </c>
      <c r="AG90">
        <f>IF( COUNTIF('Raw Data'!$A$3:$A$2927,$A90)=0,0,SUMIF('Raw Data'!$A$3:$A$2927, $A90,'Raw Data'!AF$3:AF$2927) / COUNTIF('Raw Data'!$A$3:$A$2927,$A90))</f>
        <v>0</v>
      </c>
      <c r="AH90">
        <f>IF( COUNTIF('Raw Data'!$A$3:$A$2927,$A90)=0,0,SUMIF('Raw Data'!$A$3:$A$2927, $A90,'Raw Data'!AG$3:AG$2927) / COUNTIF('Raw Data'!$A$3:$A$2927,$A90))</f>
        <v>0</v>
      </c>
      <c r="AI90">
        <f>IF( COUNTIF('Raw Data'!$A$3:$A$2927,$A90)=0,0,SUMIF('Raw Data'!$A$3:$A$2927, $A90,'Raw Data'!AH$3:AH$2927) / COUNTIF('Raw Data'!$A$3:$A$2927,$A90))</f>
        <v>0</v>
      </c>
      <c r="AJ90" s="116">
        <f>COUNTIF('Raw Data'!A$3:A$2927, $A90)</f>
        <v>0</v>
      </c>
      <c r="AK90">
        <f>IFERROR(SUM(IF($E90 &gt;autoThreshold, auto), hatch * SUM($H90:$K90), cargo * SUM($M90:$P90),hatch * SUM( $S90:$V90), cargo * SUM($X90:$AA90), rocket23 * SUM($J90:$K90, $O90:$P90, $U90:$V90, $Z90:$AA90), IF($AD90 &gt; climbThreshold, climb), IF($AC90 &gt; assistThreshold, $AC90 * assist), $AH90 * penalty, dropHatch * $AI90, tippedBroke * SUM($AE90:$AF90),  IF( $E90 &lt; noAutoThreshold, noAuto), IF($C90 &lt; doesNothingThreshold, doesNothing, IF($AD90 &gt;1.45, 2) )), "h")</f>
        <v>-21</v>
      </c>
      <c r="AL90">
        <f>SUM(hHatch * SUM($H90:$K90), hHatch * SUM($S90:$V90), hRocket23 * SUM($J90:$K90), hRocket23 * SUM($U90:$V90), hSandstorm * SUM($H90:$K90), hPenalty * $AH90, hDropHatch * $AI90,hTippedBroke * SUM($AE90:$AF90), IF($E90 &lt; hNoAutoThreshold, hNoAuto), IF($AG90 &gt; hFloorHatchThreshold, hFloorHatch))</f>
        <v>-1.5</v>
      </c>
      <c r="AM90">
        <f>SUM(cCargo * SUM($M90:$P90), cCargo *SUM( $X90:$AA90), cRocket23 * SUM($O90:$P90, $Z90:$AA90),cSandstorm * SUM($M90:$P90), cPenalty * $AH90, cTippedBroke * SUM($AE90:$AF90), IF($E90 &lt; cNoAutoThreshold, cNoAuto, 0))</f>
        <v>-1</v>
      </c>
    </row>
    <row r="91" spans="1:39" ht="15.75" thickBot="1">
      <c r="A91">
        <v>6917</v>
      </c>
      <c r="B91" t="s">
        <v>496</v>
      </c>
      <c r="C91">
        <f>PRODUCT($E91,3)+PRODUCT(SUM($H91:$K91),2)+PRODUCT(SUM($M91:$P91),3)+PRODUCT(SUM($S91:$V91),2)+PRODUCT(SUM($X91:$AA91), 3)+IF($AC91 &gt; 2, PRODUCT(SUM($AC91, -1),6), PRODUCT($AC91,3)) + IF($AD91 &gt; 2, PRODUCT(SUM($AD91, -1),6), PRODUCT($AD91,3)) + PRODUCT($AH91, -1)</f>
        <v>0</v>
      </c>
      <c r="D91">
        <f>PRODUCT(SUM($H91:$I91), 2) + PRODUCT(SUM($M91:$N91),3) + PRODUCT(SUM($S91:$T91), 2) + PRODUCT(SUM($X91:$Y91), 3)</f>
        <v>0</v>
      </c>
      <c r="E91">
        <f>IF( COUNTIF('Raw Data'!$A$3:$A$2927,$A91)=0,0,SUMIF('Raw Data'!$A$3:$A$2927, $A91,'Raw Data'!D$3:D$2927) / COUNTIF('Raw Data'!$A$3:$A$2927,$A91))</f>
        <v>0</v>
      </c>
      <c r="F91">
        <f t="array" ref="F91">MAX(IF('Raw Data'!$A$3:$A$927=$A91, 'Raw Data'!$O$3:$O$927))</f>
        <v>0</v>
      </c>
      <c r="G91">
        <f t="array" ref="G91">MAX(IF('Raw Data'!$A$3:$A$927=$A91, 'Raw Data'!$I$3:$I$927))</f>
        <v>0</v>
      </c>
      <c r="H91">
        <f>IF( COUNTIF('Raw Data'!$A$3:$A$2927,$A91)=0,0,SUMIF('Raw Data'!$A$3:$A$2927, $A91,'Raw Data'!E$3:E$2927) / COUNTIF('Raw Data'!$A$3:$A$2927,$A91))</f>
        <v>0</v>
      </c>
      <c r="I91">
        <f>IF( COUNTIF('Raw Data'!$A$3:$A$2927,$A91)=0,0,SUMIF('Raw Data'!$A$3:$A$2927, $A91,'Raw Data'!F$3:F$2927) / COUNTIF('Raw Data'!$A$3:$A$2927,$A91))</f>
        <v>0</v>
      </c>
      <c r="J91">
        <f>IF( COUNTIF('Raw Data'!$A$3:$A$2927,$A91)=0,0,SUMIF('Raw Data'!$A$3:$A$2927, $A91,'Raw Data'!G$3:G$2927) / COUNTIF('Raw Data'!$A$3:$A$2927,$A91))</f>
        <v>0</v>
      </c>
      <c r="K91">
        <f>IF( COUNTIF('Raw Data'!$A$3:$A$2927,$A91)=0,0,SUMIF('Raw Data'!$A$3:$A$2927, $A91,'Raw Data'!H$3:H$2927) / COUNTIF('Raw Data'!$A$3:$A$2927,$A91))</f>
        <v>0</v>
      </c>
      <c r="L91">
        <f t="array" ref="L91">MAX(IF('Raw Data'!$A$3:$A$927=$A91, 'Raw Data'!$N$3:$N$927))</f>
        <v>0</v>
      </c>
      <c r="M91">
        <f>IF( COUNTIF('Raw Data'!$A$3:$A$2927,$A91)=0,0,SUMIF('Raw Data'!$A$3:$A$2927, $A91,'Raw Data'!J$3:J$2927) / COUNTIF('Raw Data'!$A$3:$A$2927,$A91))</f>
        <v>0</v>
      </c>
      <c r="N91">
        <f>IF( COUNTIF('Raw Data'!$A$3:$A$2927,$A91)=0,0,SUMIF('Raw Data'!$A$3:$A$2927, $A91,'Raw Data'!K$3:K$2927) / COUNTIF('Raw Data'!$A$3:$A$2927,$A91))</f>
        <v>0</v>
      </c>
      <c r="O91">
        <f>IF( COUNTIF('Raw Data'!$A$3:$A$2927,$A91)=0,0,SUMIF('Raw Data'!$A$3:$A$2927, $A91,'Raw Data'!L$3:L$2927) / COUNTIF('Raw Data'!$A$3:$A$2927,$A91))</f>
        <v>0</v>
      </c>
      <c r="P91" s="58">
        <f>IF( COUNTIF('Raw Data'!$A$3:$A$2927,$A91)=0,0,SUMIF('Raw Data'!$A$3:$A$2927, $A91,'Raw Data'!M$3:M$2927) / COUNTIF('Raw Data'!$A$3:$A$2927,$A91))</f>
        <v>0</v>
      </c>
      <c r="Q91">
        <f t="array" ref="Q91">MAX(IF('Raw Data'!$A$3:$A$927=$A91, 'Raw Data'!$Z$3:$Z$927))</f>
        <v>0</v>
      </c>
      <c r="R91">
        <f t="array" ref="R91">MAX(IF('Raw Data'!$A$3:$A$927=$A91, 'Raw Data'!$T$3:$T$927))</f>
        <v>0</v>
      </c>
      <c r="S91" s="118">
        <f>IF( COUNTIF('Raw Data'!$A$3:$A$2927,$A91)=0,0,SUMIF('Raw Data'!$A$3:$A$2927, $A91,'Raw Data'!P$3:P$2927) / COUNTIF('Raw Data'!$A$3:$A$2927,$A91))</f>
        <v>0</v>
      </c>
      <c r="T91">
        <f>IF( COUNTIF('Raw Data'!$A$3:$A$2927,$A91)=0,0,SUMIF('Raw Data'!$A$3:$A$2927, $A91,'Raw Data'!Q$3:Q$2927) / COUNTIF('Raw Data'!$A$3:$A$2927,$A91))</f>
        <v>0</v>
      </c>
      <c r="U91">
        <f>IF( COUNTIF('Raw Data'!$A$3:$A$2927,$A91)=0,0,SUMIF('Raw Data'!$A$3:$A$2927, $A91,'Raw Data'!R$3:R$2927) / COUNTIF('Raw Data'!$A$3:$A$2927,$A91))</f>
        <v>0</v>
      </c>
      <c r="V91">
        <f>IF( COUNTIF('Raw Data'!$A$3:$A$2927,$A91)=0,0,SUMIF('Raw Data'!$A$3:$A$2927, $A91,'Raw Data'!S$3:S$2927) / COUNTIF('Raw Data'!$A$3:$A$2927,$A91))</f>
        <v>0</v>
      </c>
      <c r="W91">
        <f t="array" ref="W91">MAX(IF('Raw Data'!$A$3:$A$927=$A91, 'Raw Data'!$Y$3:$Y$927))</f>
        <v>0</v>
      </c>
      <c r="X91">
        <f>IF( COUNTIF('Raw Data'!$A$3:$A$2927,$A91)=0,0,SUMIF('Raw Data'!$A$3:$A$2927, $A91,'Raw Data'!U$3:U$2927) / COUNTIF('Raw Data'!$A$3:$A$2927,$A91))</f>
        <v>0</v>
      </c>
      <c r="Y91">
        <f>IF( COUNTIF('Raw Data'!$A$3:$A$2927,$A91)=0,0,SUMIF('Raw Data'!$A$3:$A$2927, $A91,'Raw Data'!V$3:V$2927) / COUNTIF('Raw Data'!$A$3:$A$2927,$A91))</f>
        <v>0</v>
      </c>
      <c r="Z91">
        <f>IF( COUNTIF('Raw Data'!$A$3:$A$2927,$A91)=0,0,SUMIF('Raw Data'!$A$3:$A$2927, $A91,'Raw Data'!W$3:W$2927) / COUNTIF('Raw Data'!$A$3:$A$2927,$A91))</f>
        <v>0</v>
      </c>
      <c r="AA91">
        <f>IF( COUNTIF('Raw Data'!$A$3:$A$2927,$A91)=0,0,SUMIF('Raw Data'!$A$3:$A$2927, $A91,'Raw Data'!X$3:X$2927) / COUNTIF('Raw Data'!$A$3:$A$2927,$A91))</f>
        <v>0</v>
      </c>
      <c r="AB91">
        <f>IF( COUNTIF('Raw Data'!$A$3:$A$2927,$A91)=0,0,SUMIF('Raw Data'!$A$3:$A$2927, $A91,'Raw Data'!AA$3:AA$2927) / COUNTIF('Raw Data'!$A$3:$A$2927,$A91))</f>
        <v>0</v>
      </c>
      <c r="AC91">
        <f>IF( COUNTIF('Raw Data'!$A$3:$A$2927,$A91)=0,0,SUMIF('Raw Data'!$A$3:$A$2927, $A91,'Raw Data'!AB$3:AB$2927) / COUNTIF('Raw Data'!$A$3:$A$2927,$A91))</f>
        <v>0</v>
      </c>
      <c r="AD91">
        <f>IF( COUNTIF('Raw Data'!$A$3:$A$2927,$A91)=0,0,SUMIF('Raw Data'!$A$3:$A$2927, $A91,'Raw Data'!AC$3:AC$2927) / COUNTIF('Raw Data'!$A$3:$A$2927,$A91))</f>
        <v>0</v>
      </c>
      <c r="AE91" s="117">
        <f>IF( COUNTIF('Raw Data'!$A$3:$A$2927,$A91)=0,0,SUMIF('Raw Data'!$A$3:$A$2927, $A91,'Raw Data'!AD$3:AD$2927) / COUNTIF('Raw Data'!$A$3:$A$2927,$A91))</f>
        <v>0</v>
      </c>
      <c r="AF91">
        <f>IF( COUNTIF('Raw Data'!$A$3:$A$2927,$A91)=0,0,SUMIF('Raw Data'!$A$3:$A$2927, $A91,'Raw Data'!AE$3:AE$2927) / COUNTIF('Raw Data'!$A$3:$A$2927,$A91))</f>
        <v>0</v>
      </c>
      <c r="AG91">
        <f>IF( COUNTIF('Raw Data'!$A$3:$A$2927,$A91)=0,0,SUMIF('Raw Data'!$A$3:$A$2927, $A91,'Raw Data'!AF$3:AF$2927) / COUNTIF('Raw Data'!$A$3:$A$2927,$A91))</f>
        <v>0</v>
      </c>
      <c r="AH91">
        <f>IF( COUNTIF('Raw Data'!$A$3:$A$2927,$A91)=0,0,SUMIF('Raw Data'!$A$3:$A$2927, $A91,'Raw Data'!AG$3:AG$2927) / COUNTIF('Raw Data'!$A$3:$A$2927,$A91))</f>
        <v>0</v>
      </c>
      <c r="AI91">
        <f>IF( COUNTIF('Raw Data'!$A$3:$A$2927,$A91)=0,0,SUMIF('Raw Data'!$A$3:$A$2927, $A91,'Raw Data'!AH$3:AH$2927) / COUNTIF('Raw Data'!$A$3:$A$2927,$A91))</f>
        <v>0</v>
      </c>
      <c r="AJ91" s="116">
        <f>COUNTIF('Raw Data'!A$3:A$2927, $A91)</f>
        <v>0</v>
      </c>
      <c r="AK91">
        <f>IFERROR(SUM(IF($E91 &gt;autoThreshold, auto), hatch * SUM($H91:$K91), cargo * SUM($M91:$P91),hatch * SUM( $S91:$V91), cargo * SUM($X91:$AA91), rocket23 * SUM($J91:$K91, $O91:$P91, $U91:$V91, $Z91:$AA91), IF($AD91 &gt; climbThreshold, climb), IF($AC91 &gt; assistThreshold, $AC91 * assist), $AH91 * penalty, dropHatch * $AI91, tippedBroke * SUM($AE91:$AF91),  IF( $E91 &lt; noAutoThreshold, noAuto), IF($C91 &lt; doesNothingThreshold, doesNothing, IF($AD91 &gt;1.45, 2) )), "h")</f>
        <v>-21</v>
      </c>
      <c r="AL91">
        <f>SUM(hHatch * SUM($H91:$K91), hHatch * SUM($S91:$V91), hRocket23 * SUM($J91:$K91), hRocket23 * SUM($U91:$V91), hSandstorm * SUM($H91:$K91), hPenalty * $AH91, hDropHatch * $AI91,hTippedBroke * SUM($AE91:$AF91), IF($E91 &lt; hNoAutoThreshold, hNoAuto), IF($AG91 &gt; hFloorHatchThreshold, hFloorHatch))</f>
        <v>-1.5</v>
      </c>
      <c r="AM91">
        <f>SUM(cCargo * SUM($M91:$P91), cCargo *SUM( $X91:$AA91), cRocket23 * SUM($O91:$P91, $Z91:$AA91),cSandstorm * SUM($M91:$P91), cPenalty * $AH91, cTippedBroke * SUM($AE91:$AF91), IF($E91 &lt; cNoAutoThreshold, cNoAuto, 0))</f>
        <v>-1</v>
      </c>
    </row>
    <row r="92" spans="1:39" ht="15.75" thickBot="1">
      <c r="A92">
        <v>6975</v>
      </c>
      <c r="B92" t="s">
        <v>229</v>
      </c>
      <c r="C92">
        <f>PRODUCT($E92,3)+PRODUCT(SUM($H92:$K92),2)+PRODUCT(SUM($M92:$P92),3)+PRODUCT(SUM($S92:$V92),2)+PRODUCT(SUM($X92:$AA92), 3)+IF($AC92 &gt; 2, PRODUCT(SUM($AC92, -1),6), PRODUCT($AC92,3)) + IF($AD92 &gt; 2, PRODUCT(SUM($AD92, -1),6), PRODUCT($AD92,3)) + PRODUCT($AH92, -1)</f>
        <v>2.8888888888888893</v>
      </c>
      <c r="D92">
        <f>PRODUCT(SUM($H92:$I92), 2) + PRODUCT(SUM($M92:$N92),3) + PRODUCT(SUM($S92:$T92), 2) + PRODUCT(SUM($X92:$Y92), 3)</f>
        <v>0.22222222222222221</v>
      </c>
      <c r="E92">
        <f>IF( COUNTIF('Raw Data'!$A$3:$A$2927,$A92)=0,0,SUMIF('Raw Data'!$A$3:$A$2927, $A92,'Raw Data'!D$3:D$2927) / COUNTIF('Raw Data'!$A$3:$A$2927,$A92))</f>
        <v>0.88888888888888884</v>
      </c>
      <c r="F92">
        <f t="array" ref="F92">MAX(IF('Raw Data'!$A$3:$A$927=$A92, 'Raw Data'!$O$3:$O$927))</f>
        <v>1</v>
      </c>
      <c r="G92">
        <f t="array" ref="G92">MAX(IF('Raw Data'!$A$3:$A$927=$A92, 'Raw Data'!$I$3:$I$927))</f>
        <v>1</v>
      </c>
      <c r="H92">
        <f>IF( COUNTIF('Raw Data'!$A$3:$A$2927,$A92)=0,0,SUMIF('Raw Data'!$A$3:$A$2927, $A92,'Raw Data'!E$3:E$2927) / COUNTIF('Raw Data'!$A$3:$A$2927,$A92))</f>
        <v>0.1111111111111111</v>
      </c>
      <c r="I92">
        <f>IF( COUNTIF('Raw Data'!$A$3:$A$2927,$A92)=0,0,SUMIF('Raw Data'!$A$3:$A$2927, $A92,'Raw Data'!F$3:F$2927) / COUNTIF('Raw Data'!$A$3:$A$2927,$A92))</f>
        <v>0</v>
      </c>
      <c r="J92">
        <f>IF( COUNTIF('Raw Data'!$A$3:$A$2927,$A92)=0,0,SUMIF('Raw Data'!$A$3:$A$2927, $A92,'Raw Data'!G$3:G$2927) / COUNTIF('Raw Data'!$A$3:$A$2927,$A92))</f>
        <v>0</v>
      </c>
      <c r="K92">
        <f>IF( COUNTIF('Raw Data'!$A$3:$A$2927,$A92)=0,0,SUMIF('Raw Data'!$A$3:$A$2927, $A92,'Raw Data'!H$3:H$2927) / COUNTIF('Raw Data'!$A$3:$A$2927,$A92))</f>
        <v>0</v>
      </c>
      <c r="L92">
        <f t="array" ref="L92">MAX(IF('Raw Data'!$A$3:$A$927=$A92, 'Raw Data'!$N$3:$N$927))</f>
        <v>0</v>
      </c>
      <c r="M92">
        <f>IF( COUNTIF('Raw Data'!$A$3:$A$2927,$A92)=0,0,SUMIF('Raw Data'!$A$3:$A$2927, $A92,'Raw Data'!J$3:J$2927) / COUNTIF('Raw Data'!$A$3:$A$2927,$A92))</f>
        <v>0</v>
      </c>
      <c r="N92">
        <f>IF( COUNTIF('Raw Data'!$A$3:$A$2927,$A92)=0,0,SUMIF('Raw Data'!$A$3:$A$2927, $A92,'Raw Data'!K$3:K$2927) / COUNTIF('Raw Data'!$A$3:$A$2927,$A92))</f>
        <v>0</v>
      </c>
      <c r="O92">
        <f>IF( COUNTIF('Raw Data'!$A$3:$A$2927,$A92)=0,0,SUMIF('Raw Data'!$A$3:$A$2927, $A92,'Raw Data'!L$3:L$2927) / COUNTIF('Raw Data'!$A$3:$A$2927,$A92))</f>
        <v>0</v>
      </c>
      <c r="P92" s="58">
        <f>IF( COUNTIF('Raw Data'!$A$3:$A$2927,$A92)=0,0,SUMIF('Raw Data'!$A$3:$A$2927, $A92,'Raw Data'!M$3:M$2927) / COUNTIF('Raw Data'!$A$3:$A$2927,$A92))</f>
        <v>0</v>
      </c>
      <c r="Q92">
        <f t="array" ref="Q92">MAX(IF('Raw Data'!$A$3:$A$927=$A92, 'Raw Data'!$Z$3:$Z$927))</f>
        <v>0</v>
      </c>
      <c r="R92">
        <f t="array" ref="R92">MAX(IF('Raw Data'!$A$3:$A$927=$A92, 'Raw Data'!$T$3:$T$927))</f>
        <v>0</v>
      </c>
      <c r="S92" s="118">
        <f>IF( COUNTIF('Raw Data'!$A$3:$A$2927,$A92)=0,0,SUMIF('Raw Data'!$A$3:$A$2927, $A92,'Raw Data'!P$3:P$2927) / COUNTIF('Raw Data'!$A$3:$A$2927,$A92))</f>
        <v>0</v>
      </c>
      <c r="T92">
        <f>IF( COUNTIF('Raw Data'!$A$3:$A$2927,$A92)=0,0,SUMIF('Raw Data'!$A$3:$A$2927, $A92,'Raw Data'!Q$3:Q$2927) / COUNTIF('Raw Data'!$A$3:$A$2927,$A92))</f>
        <v>0</v>
      </c>
      <c r="U92">
        <f>IF( COUNTIF('Raw Data'!$A$3:$A$2927,$A92)=0,0,SUMIF('Raw Data'!$A$3:$A$2927, $A92,'Raw Data'!R$3:R$2927) / COUNTIF('Raw Data'!$A$3:$A$2927,$A92))</f>
        <v>0</v>
      </c>
      <c r="V92">
        <f>IF( COUNTIF('Raw Data'!$A$3:$A$2927,$A92)=0,0,SUMIF('Raw Data'!$A$3:$A$2927, $A92,'Raw Data'!S$3:S$2927) / COUNTIF('Raw Data'!$A$3:$A$2927,$A92))</f>
        <v>0</v>
      </c>
      <c r="W92">
        <f t="array" ref="W92">MAX(IF('Raw Data'!$A$3:$A$927=$A92, 'Raw Data'!$Y$3:$Y$927))</f>
        <v>0</v>
      </c>
      <c r="X92">
        <f>IF( COUNTIF('Raw Data'!$A$3:$A$2927,$A92)=0,0,SUMIF('Raw Data'!$A$3:$A$2927, $A92,'Raw Data'!U$3:U$2927) / COUNTIF('Raw Data'!$A$3:$A$2927,$A92))</f>
        <v>0</v>
      </c>
      <c r="Y92">
        <f>IF( COUNTIF('Raw Data'!$A$3:$A$2927,$A92)=0,0,SUMIF('Raw Data'!$A$3:$A$2927, $A92,'Raw Data'!V$3:V$2927) / COUNTIF('Raw Data'!$A$3:$A$2927,$A92))</f>
        <v>0</v>
      </c>
      <c r="Z92">
        <f>IF( COUNTIF('Raw Data'!$A$3:$A$2927,$A92)=0,0,SUMIF('Raw Data'!$A$3:$A$2927, $A92,'Raw Data'!W$3:W$2927) / COUNTIF('Raw Data'!$A$3:$A$2927,$A92))</f>
        <v>0</v>
      </c>
      <c r="AA92">
        <f>IF( COUNTIF('Raw Data'!$A$3:$A$2927,$A92)=0,0,SUMIF('Raw Data'!$A$3:$A$2927, $A92,'Raw Data'!X$3:X$2927) / COUNTIF('Raw Data'!$A$3:$A$2927,$A92))</f>
        <v>0</v>
      </c>
      <c r="AB92">
        <f>IF( COUNTIF('Raw Data'!$A$3:$A$2927,$A92)=0,0,SUMIF('Raw Data'!$A$3:$A$2927, $A92,'Raw Data'!AA$3:AA$2927) / COUNTIF('Raw Data'!$A$3:$A$2927,$A92))</f>
        <v>68.666666666666671</v>
      </c>
      <c r="AC92">
        <f>IF( COUNTIF('Raw Data'!$A$3:$A$2927,$A92)=0,0,SUMIF('Raw Data'!$A$3:$A$2927, $A92,'Raw Data'!AB$3:AB$2927) / COUNTIF('Raw Data'!$A$3:$A$2927,$A92))</f>
        <v>0</v>
      </c>
      <c r="AD92">
        <f>IF( COUNTIF('Raw Data'!$A$3:$A$2927,$A92)=0,0,SUMIF('Raw Data'!$A$3:$A$2927, $A92,'Raw Data'!AC$3:AC$2927) / COUNTIF('Raw Data'!$A$3:$A$2927,$A92))</f>
        <v>0.44444444444444442</v>
      </c>
      <c r="AE92" s="117">
        <f>IF( COUNTIF('Raw Data'!$A$3:$A$2927,$A92)=0,0,SUMIF('Raw Data'!$A$3:$A$2927, $A92,'Raw Data'!AD$3:AD$2927) / COUNTIF('Raw Data'!$A$3:$A$2927,$A92))</f>
        <v>0</v>
      </c>
      <c r="AF92">
        <f>IF( COUNTIF('Raw Data'!$A$3:$A$2927,$A92)=0,0,SUMIF('Raw Data'!$A$3:$A$2927, $A92,'Raw Data'!AE$3:AE$2927) / COUNTIF('Raw Data'!$A$3:$A$2927,$A92))</f>
        <v>0.22222222222222221</v>
      </c>
      <c r="AG92">
        <f>IF( COUNTIF('Raw Data'!$A$3:$A$2927,$A92)=0,0,SUMIF('Raw Data'!$A$3:$A$2927, $A92,'Raw Data'!AF$3:AF$2927) / COUNTIF('Raw Data'!$A$3:$A$2927,$A92))</f>
        <v>0</v>
      </c>
      <c r="AH92">
        <f>IF( COUNTIF('Raw Data'!$A$3:$A$2927,$A92)=0,0,SUMIF('Raw Data'!$A$3:$A$2927, $A92,'Raw Data'!AG$3:AG$2927) / COUNTIF('Raw Data'!$A$3:$A$2927,$A92))</f>
        <v>1.3333333333333333</v>
      </c>
      <c r="AI92">
        <f>IF( COUNTIF('Raw Data'!$A$3:$A$2927,$A92)=0,0,SUMIF('Raw Data'!$A$3:$A$2927, $A92,'Raw Data'!AH$3:AH$2927) / COUNTIF('Raw Data'!$A$3:$A$2927,$A92))</f>
        <v>0</v>
      </c>
      <c r="AJ92" s="116">
        <f>COUNTIF('Raw Data'!A$3:A$2927, $A92)</f>
        <v>9</v>
      </c>
      <c r="AK92">
        <f>IFERROR(SUM(IF($E92 &gt;autoThreshold, auto), hatch * SUM($H92:$K92), cargo * SUM($M92:$P92),hatch * SUM( $S92:$V92), cargo * SUM($X92:$AA92), rocket23 * SUM($J92:$K92, $O92:$P92, $U92:$V92, $Z92:$AA92), IF($AD92 &gt; climbThreshold, climb), IF($AC92 &gt; assistThreshold, $AC92 * assist), $AH92 * penalty, dropHatch * $AI92, tippedBroke * SUM($AE92:$AF92),  IF( $E92 &lt; noAutoThreshold, noAuto), IF($C92 &lt; doesNothingThreshold, doesNothing, IF($AD92 &gt;1.45, 2) )), "h")</f>
        <v>-22</v>
      </c>
      <c r="AL92">
        <f>SUM(hHatch * SUM($H92:$K92), hHatch * SUM($S92:$V92), hRocket23 * SUM($J92:$K92), hRocket23 * SUM($U92:$V92), hSandstorm * SUM($H92:$K92), hPenalty * $AH92, hDropHatch * $AI92,hTippedBroke * SUM($AE92:$AF92), IF($E92 &lt; hNoAutoThreshold, hNoAuto), IF($AG92 &gt; hFloorHatchThreshold, hFloorHatch))</f>
        <v>-2.4444444444444446</v>
      </c>
      <c r="AM92">
        <f>SUM(cCargo * SUM($M92:$P92), cCargo *SUM( $X92:$AA92), cRocket23 * SUM($O92:$P92, $Z92:$AA92),cSandstorm * SUM($M92:$P92), cPenalty * $AH92, cTippedBroke * SUM($AE92:$AF92), IF($E92 &lt; cNoAutoThreshold, cNoAuto, 0))</f>
        <v>-1.8844444444444444</v>
      </c>
    </row>
    <row r="93" spans="1:39" ht="15.75" thickBot="1">
      <c r="A93">
        <v>6977</v>
      </c>
      <c r="B93" t="s">
        <v>497</v>
      </c>
      <c r="C93">
        <f>PRODUCT($E93,3)+PRODUCT(SUM($H93:$K93),2)+PRODUCT(SUM($M93:$P93),3)+PRODUCT(SUM($S93:$V93),2)+PRODUCT(SUM($X93:$AA93), 3)+IF($AC93 &gt; 2, PRODUCT(SUM($AC93, -1),6), PRODUCT($AC93,3)) + IF($AD93 &gt; 2, PRODUCT(SUM($AD93, -1),6), PRODUCT($AD93,3)) + PRODUCT($AH93, -1)</f>
        <v>0</v>
      </c>
      <c r="D93">
        <f>PRODUCT(SUM($H93:$I93), 2) + PRODUCT(SUM($M93:$N93),3) + PRODUCT(SUM($S93:$T93), 2) + PRODUCT(SUM($X93:$Y93), 3)</f>
        <v>0</v>
      </c>
      <c r="E93">
        <f>IF( COUNTIF('Raw Data'!$A$3:$A$2927,$A93)=0,0,SUMIF('Raw Data'!$A$3:$A$2927, $A93,'Raw Data'!D$3:D$2927) / COUNTIF('Raw Data'!$A$3:$A$2927,$A93))</f>
        <v>0</v>
      </c>
      <c r="F93">
        <f t="array" ref="F93">MAX(IF('Raw Data'!$A$3:$A$927=$A93, 'Raw Data'!$O$3:$O$927))</f>
        <v>0</v>
      </c>
      <c r="G93">
        <f t="array" ref="G93">MAX(IF('Raw Data'!$A$3:$A$927=$A93, 'Raw Data'!$I$3:$I$927))</f>
        <v>0</v>
      </c>
      <c r="H93">
        <f>IF( COUNTIF('Raw Data'!$A$3:$A$2927,$A93)=0,0,SUMIF('Raw Data'!$A$3:$A$2927, $A93,'Raw Data'!E$3:E$2927) / COUNTIF('Raw Data'!$A$3:$A$2927,$A93))</f>
        <v>0</v>
      </c>
      <c r="I93">
        <f>IF( COUNTIF('Raw Data'!$A$3:$A$2927,$A93)=0,0,SUMIF('Raw Data'!$A$3:$A$2927, $A93,'Raw Data'!F$3:F$2927) / COUNTIF('Raw Data'!$A$3:$A$2927,$A93))</f>
        <v>0</v>
      </c>
      <c r="J93">
        <f>IF( COUNTIF('Raw Data'!$A$3:$A$2927,$A93)=0,0,SUMIF('Raw Data'!$A$3:$A$2927, $A93,'Raw Data'!G$3:G$2927) / COUNTIF('Raw Data'!$A$3:$A$2927,$A93))</f>
        <v>0</v>
      </c>
      <c r="K93">
        <f>IF( COUNTIF('Raw Data'!$A$3:$A$2927,$A93)=0,0,SUMIF('Raw Data'!$A$3:$A$2927, $A93,'Raw Data'!H$3:H$2927) / COUNTIF('Raw Data'!$A$3:$A$2927,$A93))</f>
        <v>0</v>
      </c>
      <c r="L93">
        <f t="array" ref="L93">MAX(IF('Raw Data'!$A$3:$A$927=$A93, 'Raw Data'!$N$3:$N$927))</f>
        <v>0</v>
      </c>
      <c r="M93">
        <f>IF( COUNTIF('Raw Data'!$A$3:$A$2927,$A93)=0,0,SUMIF('Raw Data'!$A$3:$A$2927, $A93,'Raw Data'!J$3:J$2927) / COUNTIF('Raw Data'!$A$3:$A$2927,$A93))</f>
        <v>0</v>
      </c>
      <c r="N93">
        <f>IF( COUNTIF('Raw Data'!$A$3:$A$2927,$A93)=0,0,SUMIF('Raw Data'!$A$3:$A$2927, $A93,'Raw Data'!K$3:K$2927) / COUNTIF('Raw Data'!$A$3:$A$2927,$A93))</f>
        <v>0</v>
      </c>
      <c r="O93">
        <f>IF( COUNTIF('Raw Data'!$A$3:$A$2927,$A93)=0,0,SUMIF('Raw Data'!$A$3:$A$2927, $A93,'Raw Data'!L$3:L$2927) / COUNTIF('Raw Data'!$A$3:$A$2927,$A93))</f>
        <v>0</v>
      </c>
      <c r="P93" s="58">
        <f>IF( COUNTIF('Raw Data'!$A$3:$A$2927,$A93)=0,0,SUMIF('Raw Data'!$A$3:$A$2927, $A93,'Raw Data'!M$3:M$2927) / COUNTIF('Raw Data'!$A$3:$A$2927,$A93))</f>
        <v>0</v>
      </c>
      <c r="Q93">
        <f t="array" ref="Q93">MAX(IF('Raw Data'!$A$3:$A$927=$A93, 'Raw Data'!$Z$3:$Z$927))</f>
        <v>0</v>
      </c>
      <c r="R93">
        <f t="array" ref="R93">MAX(IF('Raw Data'!$A$3:$A$927=$A93, 'Raw Data'!$T$3:$T$927))</f>
        <v>0</v>
      </c>
      <c r="S93" s="118">
        <f>IF( COUNTIF('Raw Data'!$A$3:$A$2927,$A93)=0,0,SUMIF('Raw Data'!$A$3:$A$2927, $A93,'Raw Data'!P$3:P$2927) / COUNTIF('Raw Data'!$A$3:$A$2927,$A93))</f>
        <v>0</v>
      </c>
      <c r="T93">
        <f>IF( COUNTIF('Raw Data'!$A$3:$A$2927,$A93)=0,0,SUMIF('Raw Data'!$A$3:$A$2927, $A93,'Raw Data'!Q$3:Q$2927) / COUNTIF('Raw Data'!$A$3:$A$2927,$A93))</f>
        <v>0</v>
      </c>
      <c r="U93">
        <f>IF( COUNTIF('Raw Data'!$A$3:$A$2927,$A93)=0,0,SUMIF('Raw Data'!$A$3:$A$2927, $A93,'Raw Data'!R$3:R$2927) / COUNTIF('Raw Data'!$A$3:$A$2927,$A93))</f>
        <v>0</v>
      </c>
      <c r="V93">
        <f>IF( COUNTIF('Raw Data'!$A$3:$A$2927,$A93)=0,0,SUMIF('Raw Data'!$A$3:$A$2927, $A93,'Raw Data'!S$3:S$2927) / COUNTIF('Raw Data'!$A$3:$A$2927,$A93))</f>
        <v>0</v>
      </c>
      <c r="W93">
        <f t="array" ref="W93">MAX(IF('Raw Data'!$A$3:$A$927=$A93, 'Raw Data'!$Y$3:$Y$927))</f>
        <v>0</v>
      </c>
      <c r="X93">
        <f>IF( COUNTIF('Raw Data'!$A$3:$A$2927,$A93)=0,0,SUMIF('Raw Data'!$A$3:$A$2927, $A93,'Raw Data'!U$3:U$2927) / COUNTIF('Raw Data'!$A$3:$A$2927,$A93))</f>
        <v>0</v>
      </c>
      <c r="Y93">
        <f>IF( COUNTIF('Raw Data'!$A$3:$A$2927,$A93)=0,0,SUMIF('Raw Data'!$A$3:$A$2927, $A93,'Raw Data'!V$3:V$2927) / COUNTIF('Raw Data'!$A$3:$A$2927,$A93))</f>
        <v>0</v>
      </c>
      <c r="Z93">
        <f>IF( COUNTIF('Raw Data'!$A$3:$A$2927,$A93)=0,0,SUMIF('Raw Data'!$A$3:$A$2927, $A93,'Raw Data'!W$3:W$2927) / COUNTIF('Raw Data'!$A$3:$A$2927,$A93))</f>
        <v>0</v>
      </c>
      <c r="AA93">
        <f>IF( COUNTIF('Raw Data'!$A$3:$A$2927,$A93)=0,0,SUMIF('Raw Data'!$A$3:$A$2927, $A93,'Raw Data'!X$3:X$2927) / COUNTIF('Raw Data'!$A$3:$A$2927,$A93))</f>
        <v>0</v>
      </c>
      <c r="AB93">
        <f>IF( COUNTIF('Raw Data'!$A$3:$A$2927,$A93)=0,0,SUMIF('Raw Data'!$A$3:$A$2927, $A93,'Raw Data'!AA$3:AA$2927) / COUNTIF('Raw Data'!$A$3:$A$2927,$A93))</f>
        <v>0</v>
      </c>
      <c r="AC93">
        <f>IF( COUNTIF('Raw Data'!$A$3:$A$2927,$A93)=0,0,SUMIF('Raw Data'!$A$3:$A$2927, $A93,'Raw Data'!AB$3:AB$2927) / COUNTIF('Raw Data'!$A$3:$A$2927,$A93))</f>
        <v>0</v>
      </c>
      <c r="AD93">
        <f>IF( COUNTIF('Raw Data'!$A$3:$A$2927,$A93)=0,0,SUMIF('Raw Data'!$A$3:$A$2927, $A93,'Raw Data'!AC$3:AC$2927) / COUNTIF('Raw Data'!$A$3:$A$2927,$A93))</f>
        <v>0</v>
      </c>
      <c r="AE93" s="117">
        <f>IF( COUNTIF('Raw Data'!$A$3:$A$2927,$A93)=0,0,SUMIF('Raw Data'!$A$3:$A$2927, $A93,'Raw Data'!AD$3:AD$2927) / COUNTIF('Raw Data'!$A$3:$A$2927,$A93))</f>
        <v>0</v>
      </c>
      <c r="AF93">
        <f>IF( COUNTIF('Raw Data'!$A$3:$A$2927,$A93)=0,0,SUMIF('Raw Data'!$A$3:$A$2927, $A93,'Raw Data'!AE$3:AE$2927) / COUNTIF('Raw Data'!$A$3:$A$2927,$A93))</f>
        <v>0</v>
      </c>
      <c r="AG93">
        <f>IF( COUNTIF('Raw Data'!$A$3:$A$2927,$A93)=0,0,SUMIF('Raw Data'!$A$3:$A$2927, $A93,'Raw Data'!AF$3:AF$2927) / COUNTIF('Raw Data'!$A$3:$A$2927,$A93))</f>
        <v>0</v>
      </c>
      <c r="AH93">
        <f>IF( COUNTIF('Raw Data'!$A$3:$A$2927,$A93)=0,0,SUMIF('Raw Data'!$A$3:$A$2927, $A93,'Raw Data'!AG$3:AG$2927) / COUNTIF('Raw Data'!$A$3:$A$2927,$A93))</f>
        <v>0</v>
      </c>
      <c r="AI93">
        <f>IF( COUNTIF('Raw Data'!$A$3:$A$2927,$A93)=0,0,SUMIF('Raw Data'!$A$3:$A$2927, $A93,'Raw Data'!AH$3:AH$2927) / COUNTIF('Raw Data'!$A$3:$A$2927,$A93))</f>
        <v>0</v>
      </c>
      <c r="AJ93" s="116">
        <f>COUNTIF('Raw Data'!A$3:A$2927, $A93)</f>
        <v>0</v>
      </c>
      <c r="AK93">
        <f>IFERROR(SUM(IF($E93 &gt;autoThreshold, auto), hatch * SUM($H93:$K93), cargo * SUM($M93:$P93),hatch * SUM( $S93:$V93), cargo * SUM($X93:$AA93), rocket23 * SUM($J93:$K93, $O93:$P93, $U93:$V93, $Z93:$AA93), IF($AD93 &gt; climbThreshold, climb), IF($AC93 &gt; assistThreshold, $AC93 * assist), $AH93 * penalty, dropHatch * $AI93, tippedBroke * SUM($AE93:$AF93),  IF( $E93 &lt; noAutoThreshold, noAuto), IF($C93 &lt; doesNothingThreshold, doesNothing, IF($AD93 &gt;1.45, 2) )), "h")</f>
        <v>-21</v>
      </c>
      <c r="AL93">
        <f>SUM(hHatch * SUM($H93:$K93), hHatch * SUM($S93:$V93), hRocket23 * SUM($J93:$K93), hRocket23 * SUM($U93:$V93), hSandstorm * SUM($H93:$K93), hPenalty * $AH93, hDropHatch * $AI93,hTippedBroke * SUM($AE93:$AF93), IF($E93 &lt; hNoAutoThreshold, hNoAuto), IF($AG93 &gt; hFloorHatchThreshold, hFloorHatch))</f>
        <v>-1.5</v>
      </c>
      <c r="AM93">
        <f>SUM(cCargo * SUM($M93:$P93), cCargo *SUM( $X93:$AA93), cRocket23 * SUM($O93:$P93, $Z93:$AA93),cSandstorm * SUM($M93:$P93), cPenalty * $AH93, cTippedBroke * SUM($AE93:$AF93), IF($E93 &lt; cNoAutoThreshold, cNoAuto, 0))</f>
        <v>-1</v>
      </c>
    </row>
    <row r="94" spans="1:39" ht="15.75" thickBot="1">
      <c r="A94">
        <v>6987</v>
      </c>
      <c r="B94" t="s">
        <v>230</v>
      </c>
      <c r="C94">
        <f>PRODUCT($E94,3)+PRODUCT(SUM($H94:$K94),2)+PRODUCT(SUM($M94:$P94),3)+PRODUCT(SUM($S94:$V94),2)+PRODUCT(SUM($X94:$AA94), 3)+IF($AC94 &gt; 2, PRODUCT(SUM($AC94, -1),6), PRODUCT($AC94,3)) + IF($AD94 &gt; 2, PRODUCT(SUM($AD94, -1),6), PRODUCT($AD94,3)) + PRODUCT($AH94, -1)</f>
        <v>5.4444444444444446</v>
      </c>
      <c r="D94">
        <f>PRODUCT(SUM($H94:$I94), 2) + PRODUCT(SUM($M94:$N94),3) + PRODUCT(SUM($S94:$T94), 2) + PRODUCT(SUM($X94:$Y94), 3)</f>
        <v>0.44444444444444442</v>
      </c>
      <c r="E94">
        <f>IF( COUNTIF('Raw Data'!$A$3:$A$2927,$A94)=0,0,SUMIF('Raw Data'!$A$3:$A$2927, $A94,'Raw Data'!D$3:D$2927) / COUNTIF('Raw Data'!$A$3:$A$2927,$A94))</f>
        <v>1.2222222222222223</v>
      </c>
      <c r="F94">
        <f t="array" ref="F94">MAX(IF('Raw Data'!$A$3:$A$927=$A94, 'Raw Data'!$O$3:$O$927))</f>
        <v>0</v>
      </c>
      <c r="G94">
        <f t="array" ref="G94">MAX(IF('Raw Data'!$A$3:$A$927=$A94, 'Raw Data'!$I$3:$I$927))</f>
        <v>0</v>
      </c>
      <c r="H94">
        <f>IF( COUNTIF('Raw Data'!$A$3:$A$2927,$A94)=0,0,SUMIF('Raw Data'!$A$3:$A$2927, $A94,'Raw Data'!E$3:E$2927) / COUNTIF('Raw Data'!$A$3:$A$2927,$A94))</f>
        <v>0</v>
      </c>
      <c r="I94">
        <f>IF( COUNTIF('Raw Data'!$A$3:$A$2927,$A94)=0,0,SUMIF('Raw Data'!$A$3:$A$2927, $A94,'Raw Data'!F$3:F$2927) / COUNTIF('Raw Data'!$A$3:$A$2927,$A94))</f>
        <v>0</v>
      </c>
      <c r="J94">
        <f>IF( COUNTIF('Raw Data'!$A$3:$A$2927,$A94)=0,0,SUMIF('Raw Data'!$A$3:$A$2927, $A94,'Raw Data'!G$3:G$2927) / COUNTIF('Raw Data'!$A$3:$A$2927,$A94))</f>
        <v>0</v>
      </c>
      <c r="K94">
        <f>IF( COUNTIF('Raw Data'!$A$3:$A$2927,$A94)=0,0,SUMIF('Raw Data'!$A$3:$A$2927, $A94,'Raw Data'!H$3:H$2927) / COUNTIF('Raw Data'!$A$3:$A$2927,$A94))</f>
        <v>0</v>
      </c>
      <c r="L94">
        <f t="array" ref="L94">MAX(IF('Raw Data'!$A$3:$A$927=$A94, 'Raw Data'!$N$3:$N$927))</f>
        <v>0</v>
      </c>
      <c r="M94">
        <f>IF( COUNTIF('Raw Data'!$A$3:$A$2927,$A94)=0,0,SUMIF('Raw Data'!$A$3:$A$2927, $A94,'Raw Data'!J$3:J$2927) / COUNTIF('Raw Data'!$A$3:$A$2927,$A94))</f>
        <v>0</v>
      </c>
      <c r="N94">
        <f>IF( COUNTIF('Raw Data'!$A$3:$A$2927,$A94)=0,0,SUMIF('Raw Data'!$A$3:$A$2927, $A94,'Raw Data'!K$3:K$2927) / COUNTIF('Raw Data'!$A$3:$A$2927,$A94))</f>
        <v>0</v>
      </c>
      <c r="O94">
        <f>IF( COUNTIF('Raw Data'!$A$3:$A$2927,$A94)=0,0,SUMIF('Raw Data'!$A$3:$A$2927, $A94,'Raw Data'!L$3:L$2927) / COUNTIF('Raw Data'!$A$3:$A$2927,$A94))</f>
        <v>0</v>
      </c>
      <c r="P94" s="58">
        <f>IF( COUNTIF('Raw Data'!$A$3:$A$2927,$A94)=0,0,SUMIF('Raw Data'!$A$3:$A$2927, $A94,'Raw Data'!M$3:M$2927) / COUNTIF('Raw Data'!$A$3:$A$2927,$A94))</f>
        <v>0</v>
      </c>
      <c r="Q94">
        <f t="array" ref="Q94">MAX(IF('Raw Data'!$A$3:$A$927=$A94, 'Raw Data'!$Z$3:$Z$927))</f>
        <v>2</v>
      </c>
      <c r="R94">
        <f t="array" ref="R94">MAX(IF('Raw Data'!$A$3:$A$927=$A94, 'Raw Data'!$T$3:$T$927))</f>
        <v>2</v>
      </c>
      <c r="S94" s="118">
        <f>IF( COUNTIF('Raw Data'!$A$3:$A$2927,$A94)=0,0,SUMIF('Raw Data'!$A$3:$A$2927, $A94,'Raw Data'!P$3:P$2927) / COUNTIF('Raw Data'!$A$3:$A$2927,$A94))</f>
        <v>0.1111111111111111</v>
      </c>
      <c r="T94">
        <f>IF( COUNTIF('Raw Data'!$A$3:$A$2927,$A94)=0,0,SUMIF('Raw Data'!$A$3:$A$2927, $A94,'Raw Data'!Q$3:Q$2927) / COUNTIF('Raw Data'!$A$3:$A$2927,$A94))</f>
        <v>0.1111111111111111</v>
      </c>
      <c r="U94">
        <f>IF( COUNTIF('Raw Data'!$A$3:$A$2927,$A94)=0,0,SUMIF('Raw Data'!$A$3:$A$2927, $A94,'Raw Data'!R$3:R$2927) / COUNTIF('Raw Data'!$A$3:$A$2927,$A94))</f>
        <v>0</v>
      </c>
      <c r="V94">
        <f>IF( COUNTIF('Raw Data'!$A$3:$A$2927,$A94)=0,0,SUMIF('Raw Data'!$A$3:$A$2927, $A94,'Raw Data'!S$3:S$2927) / COUNTIF('Raw Data'!$A$3:$A$2927,$A94))</f>
        <v>0</v>
      </c>
      <c r="W94">
        <f t="array" ref="W94">MAX(IF('Raw Data'!$A$3:$A$927=$A94, 'Raw Data'!$Y$3:$Y$927))</f>
        <v>0</v>
      </c>
      <c r="X94">
        <f>IF( COUNTIF('Raw Data'!$A$3:$A$2927,$A94)=0,0,SUMIF('Raw Data'!$A$3:$A$2927, $A94,'Raw Data'!U$3:U$2927) / COUNTIF('Raw Data'!$A$3:$A$2927,$A94))</f>
        <v>0</v>
      </c>
      <c r="Y94">
        <f>IF( COUNTIF('Raw Data'!$A$3:$A$2927,$A94)=0,0,SUMIF('Raw Data'!$A$3:$A$2927, $A94,'Raw Data'!V$3:V$2927) / COUNTIF('Raw Data'!$A$3:$A$2927,$A94))</f>
        <v>0</v>
      </c>
      <c r="Z94">
        <f>IF( COUNTIF('Raw Data'!$A$3:$A$2927,$A94)=0,0,SUMIF('Raw Data'!$A$3:$A$2927, $A94,'Raw Data'!W$3:W$2927) / COUNTIF('Raw Data'!$A$3:$A$2927,$A94))</f>
        <v>0</v>
      </c>
      <c r="AA94">
        <f>IF( COUNTIF('Raw Data'!$A$3:$A$2927,$A94)=0,0,SUMIF('Raw Data'!$A$3:$A$2927, $A94,'Raw Data'!X$3:X$2927) / COUNTIF('Raw Data'!$A$3:$A$2927,$A94))</f>
        <v>0</v>
      </c>
      <c r="AB94">
        <f>IF( COUNTIF('Raw Data'!$A$3:$A$2927,$A94)=0,0,SUMIF('Raw Data'!$A$3:$A$2927, $A94,'Raw Data'!AA$3:AA$2927) / COUNTIF('Raw Data'!$A$3:$A$2927,$A94))</f>
        <v>70.333333333333329</v>
      </c>
      <c r="AC94">
        <f>IF( COUNTIF('Raw Data'!$A$3:$A$2927,$A94)=0,0,SUMIF('Raw Data'!$A$3:$A$2927, $A94,'Raw Data'!AB$3:AB$2927) / COUNTIF('Raw Data'!$A$3:$A$2927,$A94))</f>
        <v>0</v>
      </c>
      <c r="AD94">
        <f>IF( COUNTIF('Raw Data'!$A$3:$A$2927,$A94)=0,0,SUMIF('Raw Data'!$A$3:$A$2927, $A94,'Raw Data'!AC$3:AC$2927) / COUNTIF('Raw Data'!$A$3:$A$2927,$A94))</f>
        <v>1</v>
      </c>
      <c r="AE94" s="117">
        <f>IF( COUNTIF('Raw Data'!$A$3:$A$2927,$A94)=0,0,SUMIF('Raw Data'!$A$3:$A$2927, $A94,'Raw Data'!AD$3:AD$2927) / COUNTIF('Raw Data'!$A$3:$A$2927,$A94))</f>
        <v>0</v>
      </c>
      <c r="AF94">
        <f>IF( COUNTIF('Raw Data'!$A$3:$A$2927,$A94)=0,0,SUMIF('Raw Data'!$A$3:$A$2927, $A94,'Raw Data'!AE$3:AE$2927) / COUNTIF('Raw Data'!$A$3:$A$2927,$A94))</f>
        <v>0</v>
      </c>
      <c r="AG94">
        <f>IF( COUNTIF('Raw Data'!$A$3:$A$2927,$A94)=0,0,SUMIF('Raw Data'!$A$3:$A$2927, $A94,'Raw Data'!AF$3:AF$2927) / COUNTIF('Raw Data'!$A$3:$A$2927,$A94))</f>
        <v>0</v>
      </c>
      <c r="AH94">
        <f>IF( COUNTIF('Raw Data'!$A$3:$A$2927,$A94)=0,0,SUMIF('Raw Data'!$A$3:$A$2927, $A94,'Raw Data'!AG$3:AG$2927) / COUNTIF('Raw Data'!$A$3:$A$2927,$A94))</f>
        <v>1.6666666666666667</v>
      </c>
      <c r="AI94">
        <f>IF( COUNTIF('Raw Data'!$A$3:$A$2927,$A94)=0,0,SUMIF('Raw Data'!$A$3:$A$2927, $A94,'Raw Data'!AH$3:AH$2927) / COUNTIF('Raw Data'!$A$3:$A$2927,$A94))</f>
        <v>0</v>
      </c>
      <c r="AJ94" s="116">
        <f>COUNTIF('Raw Data'!A$3:A$2927, $A94)</f>
        <v>9</v>
      </c>
      <c r="AK94">
        <f>IFERROR(SUM(IF($E94 &gt;autoThreshold, auto), hatch * SUM($H94:$K94), cargo * SUM($M94:$P94),hatch * SUM( $S94:$V94), cargo * SUM($X94:$AA94), rocket23 * SUM($J94:$K94, $O94:$P94, $U94:$V94, $Z94:$AA94), IF($AD94 &gt; climbThreshold, climb), IF($AC94 &gt; assistThreshold, $AC94 * assist), $AH94 * penalty, dropHatch * $AI94, tippedBroke * SUM($AE94:$AF94),  IF( $E94 &lt; noAutoThreshold, noAuto), IF($C94 &lt; doesNothingThreshold, doesNothing, IF($AD94 &gt;1.45, 2) )), "h")</f>
        <v>-0.61111111111111116</v>
      </c>
      <c r="AL94">
        <f>SUM(hHatch * SUM($H94:$K94), hHatch * SUM($S94:$V94), hRocket23 * SUM($J94:$K94), hRocket23 * SUM($U94:$V94), hSandstorm * SUM($H94:$K94), hPenalty * $AH94, hDropHatch * $AI94,hTippedBroke * SUM($AE94:$AF94), IF($E94 &lt; hNoAutoThreshold, hNoAuto), IF($AG94 &gt; hFloorHatchThreshold, hFloorHatch))</f>
        <v>-0.61111111111111116</v>
      </c>
      <c r="AM94">
        <f>SUM(cCargo * SUM($M94:$P94), cCargo *SUM( $X94:$AA94), cRocket23 * SUM($O94:$P94, $Z94:$AA94),cSandstorm * SUM($M94:$P94), cPenalty * $AH94, cTippedBroke * SUM($AE94:$AF94), IF($E94 &lt; cNoAutoThreshold, cNoAuto, 0))</f>
        <v>-0.55000000000000004</v>
      </c>
    </row>
    <row r="95" spans="1:39" ht="15.75" thickBot="1">
      <c r="A95">
        <v>7013</v>
      </c>
      <c r="B95" t="s">
        <v>498</v>
      </c>
      <c r="C95">
        <f>PRODUCT($E95,3)+PRODUCT(SUM($H95:$K95),2)+PRODUCT(SUM($M95:$P95),3)+PRODUCT(SUM($S95:$V95),2)+PRODUCT(SUM($X95:$AA95), 3)+IF($AC95 &gt; 2, PRODUCT(SUM($AC95, -1),6), PRODUCT($AC95,3)) + IF($AD95 &gt; 2, PRODUCT(SUM($AD95, -1),6), PRODUCT($AD95,3)) + PRODUCT($AH95, -1)</f>
        <v>0</v>
      </c>
      <c r="D95">
        <f>PRODUCT(SUM($H95:$I95), 2) + PRODUCT(SUM($M95:$N95),3) + PRODUCT(SUM($S95:$T95), 2) + PRODUCT(SUM($X95:$Y95), 3)</f>
        <v>0</v>
      </c>
      <c r="E95">
        <f>IF( COUNTIF('Raw Data'!$A$3:$A$2927,$A95)=0,0,SUMIF('Raw Data'!$A$3:$A$2927, $A95,'Raw Data'!D$3:D$2927) / COUNTIF('Raw Data'!$A$3:$A$2927,$A95))</f>
        <v>0</v>
      </c>
      <c r="F95">
        <f t="array" ref="F95">MAX(IF('Raw Data'!$A$3:$A$927=$A95, 'Raw Data'!$O$3:$O$927))</f>
        <v>0</v>
      </c>
      <c r="G95">
        <f t="array" ref="G95">MAX(IF('Raw Data'!$A$3:$A$927=$A95, 'Raw Data'!$I$3:$I$927))</f>
        <v>0</v>
      </c>
      <c r="H95">
        <f>IF( COUNTIF('Raw Data'!$A$3:$A$2927,$A95)=0,0,SUMIF('Raw Data'!$A$3:$A$2927, $A95,'Raw Data'!E$3:E$2927) / COUNTIF('Raw Data'!$A$3:$A$2927,$A95))</f>
        <v>0</v>
      </c>
      <c r="I95">
        <f>IF( COUNTIF('Raw Data'!$A$3:$A$2927,$A95)=0,0,SUMIF('Raw Data'!$A$3:$A$2927, $A95,'Raw Data'!F$3:F$2927) / COUNTIF('Raw Data'!$A$3:$A$2927,$A95))</f>
        <v>0</v>
      </c>
      <c r="J95">
        <f>IF( COUNTIF('Raw Data'!$A$3:$A$2927,$A95)=0,0,SUMIF('Raw Data'!$A$3:$A$2927, $A95,'Raw Data'!G$3:G$2927) / COUNTIF('Raw Data'!$A$3:$A$2927,$A95))</f>
        <v>0</v>
      </c>
      <c r="K95">
        <f>IF( COUNTIF('Raw Data'!$A$3:$A$2927,$A95)=0,0,SUMIF('Raw Data'!$A$3:$A$2927, $A95,'Raw Data'!H$3:H$2927) / COUNTIF('Raw Data'!$A$3:$A$2927,$A95))</f>
        <v>0</v>
      </c>
      <c r="L95">
        <f t="array" ref="L95">MAX(IF('Raw Data'!$A$3:$A$927=$A95, 'Raw Data'!$N$3:$N$927))</f>
        <v>0</v>
      </c>
      <c r="M95">
        <f>IF( COUNTIF('Raw Data'!$A$3:$A$2927,$A95)=0,0,SUMIF('Raw Data'!$A$3:$A$2927, $A95,'Raw Data'!J$3:J$2927) / COUNTIF('Raw Data'!$A$3:$A$2927,$A95))</f>
        <v>0</v>
      </c>
      <c r="N95">
        <f>IF( COUNTIF('Raw Data'!$A$3:$A$2927,$A95)=0,0,SUMIF('Raw Data'!$A$3:$A$2927, $A95,'Raw Data'!K$3:K$2927) / COUNTIF('Raw Data'!$A$3:$A$2927,$A95))</f>
        <v>0</v>
      </c>
      <c r="O95">
        <f>IF( COUNTIF('Raw Data'!$A$3:$A$2927,$A95)=0,0,SUMIF('Raw Data'!$A$3:$A$2927, $A95,'Raw Data'!L$3:L$2927) / COUNTIF('Raw Data'!$A$3:$A$2927,$A95))</f>
        <v>0</v>
      </c>
      <c r="P95" s="58">
        <f>IF( COUNTIF('Raw Data'!$A$3:$A$2927,$A95)=0,0,SUMIF('Raw Data'!$A$3:$A$2927, $A95,'Raw Data'!M$3:M$2927) / COUNTIF('Raw Data'!$A$3:$A$2927,$A95))</f>
        <v>0</v>
      </c>
      <c r="Q95">
        <f t="array" ref="Q95">MAX(IF('Raw Data'!$A$3:$A$927=$A95, 'Raw Data'!$Z$3:$Z$927))</f>
        <v>0</v>
      </c>
      <c r="R95">
        <f t="array" ref="R95">MAX(IF('Raw Data'!$A$3:$A$927=$A95, 'Raw Data'!$T$3:$T$927))</f>
        <v>0</v>
      </c>
      <c r="S95" s="118">
        <f>IF( COUNTIF('Raw Data'!$A$3:$A$2927,$A95)=0,0,SUMIF('Raw Data'!$A$3:$A$2927, $A95,'Raw Data'!P$3:P$2927) / COUNTIF('Raw Data'!$A$3:$A$2927,$A95))</f>
        <v>0</v>
      </c>
      <c r="T95">
        <f>IF( COUNTIF('Raw Data'!$A$3:$A$2927,$A95)=0,0,SUMIF('Raw Data'!$A$3:$A$2927, $A95,'Raw Data'!Q$3:Q$2927) / COUNTIF('Raw Data'!$A$3:$A$2927,$A95))</f>
        <v>0</v>
      </c>
      <c r="U95">
        <f>IF( COUNTIF('Raw Data'!$A$3:$A$2927,$A95)=0,0,SUMIF('Raw Data'!$A$3:$A$2927, $A95,'Raw Data'!R$3:R$2927) / COUNTIF('Raw Data'!$A$3:$A$2927,$A95))</f>
        <v>0</v>
      </c>
      <c r="V95">
        <f>IF( COUNTIF('Raw Data'!$A$3:$A$2927,$A95)=0,0,SUMIF('Raw Data'!$A$3:$A$2927, $A95,'Raw Data'!S$3:S$2927) / COUNTIF('Raw Data'!$A$3:$A$2927,$A95))</f>
        <v>0</v>
      </c>
      <c r="W95">
        <f t="array" ref="W95">MAX(IF('Raw Data'!$A$3:$A$927=$A95, 'Raw Data'!$Y$3:$Y$927))</f>
        <v>0</v>
      </c>
      <c r="X95">
        <f>IF( COUNTIF('Raw Data'!$A$3:$A$2927,$A95)=0,0,SUMIF('Raw Data'!$A$3:$A$2927, $A95,'Raw Data'!U$3:U$2927) / COUNTIF('Raw Data'!$A$3:$A$2927,$A95))</f>
        <v>0</v>
      </c>
      <c r="Y95">
        <f>IF( COUNTIF('Raw Data'!$A$3:$A$2927,$A95)=0,0,SUMIF('Raw Data'!$A$3:$A$2927, $A95,'Raw Data'!V$3:V$2927) / COUNTIF('Raw Data'!$A$3:$A$2927,$A95))</f>
        <v>0</v>
      </c>
      <c r="Z95">
        <f>IF( COUNTIF('Raw Data'!$A$3:$A$2927,$A95)=0,0,SUMIF('Raw Data'!$A$3:$A$2927, $A95,'Raw Data'!W$3:W$2927) / COUNTIF('Raw Data'!$A$3:$A$2927,$A95))</f>
        <v>0</v>
      </c>
      <c r="AA95">
        <f>IF( COUNTIF('Raw Data'!$A$3:$A$2927,$A95)=0,0,SUMIF('Raw Data'!$A$3:$A$2927, $A95,'Raw Data'!X$3:X$2927) / COUNTIF('Raw Data'!$A$3:$A$2927,$A95))</f>
        <v>0</v>
      </c>
      <c r="AB95">
        <f>IF( COUNTIF('Raw Data'!$A$3:$A$2927,$A95)=0,0,SUMIF('Raw Data'!$A$3:$A$2927, $A95,'Raw Data'!AA$3:AA$2927) / COUNTIF('Raw Data'!$A$3:$A$2927,$A95))</f>
        <v>0</v>
      </c>
      <c r="AC95">
        <f>IF( COUNTIF('Raw Data'!$A$3:$A$2927,$A95)=0,0,SUMIF('Raw Data'!$A$3:$A$2927, $A95,'Raw Data'!AB$3:AB$2927) / COUNTIF('Raw Data'!$A$3:$A$2927,$A95))</f>
        <v>0</v>
      </c>
      <c r="AD95">
        <f>IF( COUNTIF('Raw Data'!$A$3:$A$2927,$A95)=0,0,SUMIF('Raw Data'!$A$3:$A$2927, $A95,'Raw Data'!AC$3:AC$2927) / COUNTIF('Raw Data'!$A$3:$A$2927,$A95))</f>
        <v>0</v>
      </c>
      <c r="AE95" s="117">
        <f>IF( COUNTIF('Raw Data'!$A$3:$A$2927,$A95)=0,0,SUMIF('Raw Data'!$A$3:$A$2927, $A95,'Raw Data'!AD$3:AD$2927) / COUNTIF('Raw Data'!$A$3:$A$2927,$A95))</f>
        <v>0</v>
      </c>
      <c r="AF95">
        <f>IF( COUNTIF('Raw Data'!$A$3:$A$2927,$A95)=0,0,SUMIF('Raw Data'!$A$3:$A$2927, $A95,'Raw Data'!AE$3:AE$2927) / COUNTIF('Raw Data'!$A$3:$A$2927,$A95))</f>
        <v>0</v>
      </c>
      <c r="AG95">
        <f>IF( COUNTIF('Raw Data'!$A$3:$A$2927,$A95)=0,0,SUMIF('Raw Data'!$A$3:$A$2927, $A95,'Raw Data'!AF$3:AF$2927) / COUNTIF('Raw Data'!$A$3:$A$2927,$A95))</f>
        <v>0</v>
      </c>
      <c r="AH95">
        <f>IF( COUNTIF('Raw Data'!$A$3:$A$2927,$A95)=0,0,SUMIF('Raw Data'!$A$3:$A$2927, $A95,'Raw Data'!AG$3:AG$2927) / COUNTIF('Raw Data'!$A$3:$A$2927,$A95))</f>
        <v>0</v>
      </c>
      <c r="AI95">
        <f>IF( COUNTIF('Raw Data'!$A$3:$A$2927,$A95)=0,0,SUMIF('Raw Data'!$A$3:$A$2927, $A95,'Raw Data'!AH$3:AH$2927) / COUNTIF('Raw Data'!$A$3:$A$2927,$A95))</f>
        <v>0</v>
      </c>
      <c r="AJ95" s="116">
        <f>COUNTIF('Raw Data'!A$3:A$2927, $A95)</f>
        <v>0</v>
      </c>
      <c r="AK95">
        <f>IFERROR(SUM(IF($E95 &gt;autoThreshold, auto), hatch * SUM($H95:$K95), cargo * SUM($M95:$P95),hatch * SUM( $S95:$V95), cargo * SUM($X95:$AA95), rocket23 * SUM($J95:$K95, $O95:$P95, $U95:$V95, $Z95:$AA95), IF($AD95 &gt; climbThreshold, climb), IF($AC95 &gt; assistThreshold, $AC95 * assist), $AH95 * penalty, dropHatch * $AI95, tippedBroke * SUM($AE95:$AF95),  IF( $E95 &lt; noAutoThreshold, noAuto), IF($C95 &lt; doesNothingThreshold, doesNothing, IF($AD95 &gt;1.45, 2) )), "h")</f>
        <v>-21</v>
      </c>
      <c r="AL95">
        <f>SUM(hHatch * SUM($H95:$K95), hHatch * SUM($S95:$V95), hRocket23 * SUM($J95:$K95), hRocket23 * SUM($U95:$V95), hSandstorm * SUM($H95:$K95), hPenalty * $AH95, hDropHatch * $AI95,hTippedBroke * SUM($AE95:$AF95), IF($E95 &lt; hNoAutoThreshold, hNoAuto), IF($AG95 &gt; hFloorHatchThreshold, hFloorHatch))</f>
        <v>-1.5</v>
      </c>
      <c r="AM95">
        <f>SUM(cCargo * SUM($M95:$P95), cCargo *SUM( $X95:$AA95), cRocket23 * SUM($O95:$P95, $Z95:$AA95),cSandstorm * SUM($M95:$P95), cPenalty * $AH95, cTippedBroke * SUM($AE95:$AF95), IF($E95 &lt; cNoAutoThreshold, cNoAuto, 0))</f>
        <v>-1</v>
      </c>
    </row>
    <row r="96" spans="1:39" ht="15.75" thickBot="1">
      <c r="A96">
        <v>7136</v>
      </c>
      <c r="B96" t="s">
        <v>436</v>
      </c>
      <c r="C96">
        <f>PRODUCT($E96,3)+PRODUCT(SUM($H96:$K96),2)+PRODUCT(SUM($M96:$P96),3)+PRODUCT(SUM($S96:$V96),2)+PRODUCT(SUM($X96:$AA96), 3)+IF($AC96 &gt; 2, PRODUCT(SUM($AC96, -1),6), PRODUCT($AC96,3)) + IF($AD96 &gt; 2, PRODUCT(SUM($AD96, -1),6), PRODUCT($AD96,3)) + PRODUCT($AH96, -1)</f>
        <v>0</v>
      </c>
      <c r="D96">
        <f>PRODUCT(SUM($H96:$I96), 2) + PRODUCT(SUM($M96:$N96),3) + PRODUCT(SUM($S96:$T96), 2) + PRODUCT(SUM($X96:$Y96), 3)</f>
        <v>0</v>
      </c>
      <c r="E96">
        <f>IF( COUNTIF('Raw Data'!$A$3:$A$2927,$A96)=0,0,SUMIF('Raw Data'!$A$3:$A$2927, $A96,'Raw Data'!D$3:D$2927) / COUNTIF('Raw Data'!$A$3:$A$2927,$A96))</f>
        <v>0</v>
      </c>
      <c r="F96">
        <f t="array" ref="F96">MAX(IF('Raw Data'!$A$3:$A$927=$A96, 'Raw Data'!$O$3:$O$927))</f>
        <v>0</v>
      </c>
      <c r="G96">
        <f t="array" ref="G96">MAX(IF('Raw Data'!$A$3:$A$927=$A96, 'Raw Data'!$I$3:$I$927))</f>
        <v>0</v>
      </c>
      <c r="H96">
        <f>IF( COUNTIF('Raw Data'!$A$3:$A$2927,$A96)=0,0,SUMIF('Raw Data'!$A$3:$A$2927, $A96,'Raw Data'!E$3:E$2927) / COUNTIF('Raw Data'!$A$3:$A$2927,$A96))</f>
        <v>0</v>
      </c>
      <c r="I96">
        <f>IF( COUNTIF('Raw Data'!$A$3:$A$2927,$A96)=0,0,SUMIF('Raw Data'!$A$3:$A$2927, $A96,'Raw Data'!F$3:F$2927) / COUNTIF('Raw Data'!$A$3:$A$2927,$A96))</f>
        <v>0</v>
      </c>
      <c r="J96">
        <f>IF( COUNTIF('Raw Data'!$A$3:$A$2927,$A96)=0,0,SUMIF('Raw Data'!$A$3:$A$2927, $A96,'Raw Data'!G$3:G$2927) / COUNTIF('Raw Data'!$A$3:$A$2927,$A96))</f>
        <v>0</v>
      </c>
      <c r="K96">
        <f>IF( COUNTIF('Raw Data'!$A$3:$A$2927,$A96)=0,0,SUMIF('Raw Data'!$A$3:$A$2927, $A96,'Raw Data'!H$3:H$2927) / COUNTIF('Raw Data'!$A$3:$A$2927,$A96))</f>
        <v>0</v>
      </c>
      <c r="L96">
        <f t="array" ref="L96">MAX(IF('Raw Data'!$A$3:$A$927=$A96, 'Raw Data'!$N$3:$N$927))</f>
        <v>0</v>
      </c>
      <c r="M96">
        <f>IF( COUNTIF('Raw Data'!$A$3:$A$2927,$A96)=0,0,SUMIF('Raw Data'!$A$3:$A$2927, $A96,'Raw Data'!J$3:J$2927) / COUNTIF('Raw Data'!$A$3:$A$2927,$A96))</f>
        <v>0</v>
      </c>
      <c r="N96">
        <f>IF( COUNTIF('Raw Data'!$A$3:$A$2927,$A96)=0,0,SUMIF('Raw Data'!$A$3:$A$2927, $A96,'Raw Data'!K$3:K$2927) / COUNTIF('Raw Data'!$A$3:$A$2927,$A96))</f>
        <v>0</v>
      </c>
      <c r="O96">
        <f>IF( COUNTIF('Raw Data'!$A$3:$A$2927,$A96)=0,0,SUMIF('Raw Data'!$A$3:$A$2927, $A96,'Raw Data'!L$3:L$2927) / COUNTIF('Raw Data'!$A$3:$A$2927,$A96))</f>
        <v>0</v>
      </c>
      <c r="P96" s="58">
        <f>IF( COUNTIF('Raw Data'!$A$3:$A$2927,$A96)=0,0,SUMIF('Raw Data'!$A$3:$A$2927, $A96,'Raw Data'!M$3:M$2927) / COUNTIF('Raw Data'!$A$3:$A$2927,$A96))</f>
        <v>0</v>
      </c>
      <c r="Q96">
        <f t="array" ref="Q96">MAX(IF('Raw Data'!$A$3:$A$927=$A96, 'Raw Data'!$Z$3:$Z$927))</f>
        <v>0</v>
      </c>
      <c r="R96">
        <f t="array" ref="R96">MAX(IF('Raw Data'!$A$3:$A$927=$A96, 'Raw Data'!$T$3:$T$927))</f>
        <v>0</v>
      </c>
      <c r="S96" s="118">
        <f>IF( COUNTIF('Raw Data'!$A$3:$A$2927,$A96)=0,0,SUMIF('Raw Data'!$A$3:$A$2927, $A96,'Raw Data'!P$3:P$2927) / COUNTIF('Raw Data'!$A$3:$A$2927,$A96))</f>
        <v>0</v>
      </c>
      <c r="T96">
        <f>IF( COUNTIF('Raw Data'!$A$3:$A$2927,$A96)=0,0,SUMIF('Raw Data'!$A$3:$A$2927, $A96,'Raw Data'!Q$3:Q$2927) / COUNTIF('Raw Data'!$A$3:$A$2927,$A96))</f>
        <v>0</v>
      </c>
      <c r="U96">
        <f>IF( COUNTIF('Raw Data'!$A$3:$A$2927,$A96)=0,0,SUMIF('Raw Data'!$A$3:$A$2927, $A96,'Raw Data'!R$3:R$2927) / COUNTIF('Raw Data'!$A$3:$A$2927,$A96))</f>
        <v>0</v>
      </c>
      <c r="V96">
        <f>IF( COUNTIF('Raw Data'!$A$3:$A$2927,$A96)=0,0,SUMIF('Raw Data'!$A$3:$A$2927, $A96,'Raw Data'!S$3:S$2927) / COUNTIF('Raw Data'!$A$3:$A$2927,$A96))</f>
        <v>0</v>
      </c>
      <c r="W96">
        <f t="array" ref="W96">MAX(IF('Raw Data'!$A$3:$A$927=$A96, 'Raw Data'!$Y$3:$Y$927))</f>
        <v>0</v>
      </c>
      <c r="X96">
        <f>IF( COUNTIF('Raw Data'!$A$3:$A$2927,$A96)=0,0,SUMIF('Raw Data'!$A$3:$A$2927, $A96,'Raw Data'!U$3:U$2927) / COUNTIF('Raw Data'!$A$3:$A$2927,$A96))</f>
        <v>0</v>
      </c>
      <c r="Y96">
        <f>IF( COUNTIF('Raw Data'!$A$3:$A$2927,$A96)=0,0,SUMIF('Raw Data'!$A$3:$A$2927, $A96,'Raw Data'!V$3:V$2927) / COUNTIF('Raw Data'!$A$3:$A$2927,$A96))</f>
        <v>0</v>
      </c>
      <c r="Z96">
        <f>IF( COUNTIF('Raw Data'!$A$3:$A$2927,$A96)=0,0,SUMIF('Raw Data'!$A$3:$A$2927, $A96,'Raw Data'!W$3:W$2927) / COUNTIF('Raw Data'!$A$3:$A$2927,$A96))</f>
        <v>0</v>
      </c>
      <c r="AA96">
        <f>IF( COUNTIF('Raw Data'!$A$3:$A$2927,$A96)=0,0,SUMIF('Raw Data'!$A$3:$A$2927, $A96,'Raw Data'!X$3:X$2927) / COUNTIF('Raw Data'!$A$3:$A$2927,$A96))</f>
        <v>0</v>
      </c>
      <c r="AB96">
        <f>IF( COUNTIF('Raw Data'!$A$3:$A$2927,$A96)=0,0,SUMIF('Raw Data'!$A$3:$A$2927, $A96,'Raw Data'!AA$3:AA$2927) / COUNTIF('Raw Data'!$A$3:$A$2927,$A96))</f>
        <v>0</v>
      </c>
      <c r="AC96">
        <f>IF( COUNTIF('Raw Data'!$A$3:$A$2927,$A96)=0,0,SUMIF('Raw Data'!$A$3:$A$2927, $A96,'Raw Data'!AB$3:AB$2927) / COUNTIF('Raw Data'!$A$3:$A$2927,$A96))</f>
        <v>0</v>
      </c>
      <c r="AD96">
        <f>IF( COUNTIF('Raw Data'!$A$3:$A$2927,$A96)=0,0,SUMIF('Raw Data'!$A$3:$A$2927, $A96,'Raw Data'!AC$3:AC$2927) / COUNTIF('Raw Data'!$A$3:$A$2927,$A96))</f>
        <v>0</v>
      </c>
      <c r="AE96" s="117">
        <f>IF( COUNTIF('Raw Data'!$A$3:$A$2927,$A96)=0,0,SUMIF('Raw Data'!$A$3:$A$2927, $A96,'Raw Data'!AD$3:AD$2927) / COUNTIF('Raw Data'!$A$3:$A$2927,$A96))</f>
        <v>0</v>
      </c>
      <c r="AF96">
        <f>IF( COUNTIF('Raw Data'!$A$3:$A$2927,$A96)=0,0,SUMIF('Raw Data'!$A$3:$A$2927, $A96,'Raw Data'!AE$3:AE$2927) / COUNTIF('Raw Data'!$A$3:$A$2927,$A96))</f>
        <v>0</v>
      </c>
      <c r="AG96">
        <f>IF( COUNTIF('Raw Data'!$A$3:$A$2927,$A96)=0,0,SUMIF('Raw Data'!$A$3:$A$2927, $A96,'Raw Data'!AF$3:AF$2927) / COUNTIF('Raw Data'!$A$3:$A$2927,$A96))</f>
        <v>0</v>
      </c>
      <c r="AH96">
        <f>IF( COUNTIF('Raw Data'!$A$3:$A$2927,$A96)=0,0,SUMIF('Raw Data'!$A$3:$A$2927, $A96,'Raw Data'!AG$3:AG$2927) / COUNTIF('Raw Data'!$A$3:$A$2927,$A96))</f>
        <v>0</v>
      </c>
      <c r="AI96">
        <f>IF( COUNTIF('Raw Data'!$A$3:$A$2927,$A96)=0,0,SUMIF('Raw Data'!$A$3:$A$2927, $A96,'Raw Data'!AH$3:AH$2927) / COUNTIF('Raw Data'!$A$3:$A$2927,$A96))</f>
        <v>0</v>
      </c>
      <c r="AJ96" s="116">
        <f>COUNTIF('Raw Data'!A$3:A$2927, $A96)</f>
        <v>0</v>
      </c>
      <c r="AK96">
        <f>IFERROR(SUM(IF($E96 &gt;autoThreshold, auto), hatch * SUM($H96:$K96), cargo * SUM($M96:$P96),hatch * SUM( $S96:$V96), cargo * SUM($X96:$AA96), rocket23 * SUM($J96:$K96, $O96:$P96, $U96:$V96, $Z96:$AA96), IF($AD96 &gt; climbThreshold, climb), IF($AC96 &gt; assistThreshold, $AC96 * assist), $AH96 * penalty, dropHatch * $AI96, tippedBroke * SUM($AE96:$AF96),  IF( $E96 &lt; noAutoThreshold, noAuto), IF($C96 &lt; doesNothingThreshold, doesNothing, IF($AD96 &gt;1.45, 2) )), "h")</f>
        <v>-21</v>
      </c>
      <c r="AL96">
        <f>SUM(hHatch * SUM($H96:$K96), hHatch * SUM($S96:$V96), hRocket23 * SUM($J96:$K96), hRocket23 * SUM($U96:$V96), hSandstorm * SUM($H96:$K96), hPenalty * $AH96, hDropHatch * $AI96,hTippedBroke * SUM($AE96:$AF96), IF($E96 &lt; hNoAutoThreshold, hNoAuto), IF($AG96 &gt; hFloorHatchThreshold, hFloorHatch))</f>
        <v>-1.5</v>
      </c>
      <c r="AM96">
        <f>SUM(cCargo * SUM($M96:$P96), cCargo *SUM( $X96:$AA96), cRocket23 * SUM($O96:$P96, $Z96:$AA96),cSandstorm * SUM($M96:$P96), cPenalty * $AH96, cTippedBroke * SUM($AE96:$AF96), IF($E96 &lt; cNoAutoThreshold, cNoAuto, 0))</f>
        <v>-1</v>
      </c>
    </row>
    <row r="97" spans="1:39" ht="15.75" thickBot="1">
      <c r="A97">
        <v>7200</v>
      </c>
      <c r="B97" t="s">
        <v>460</v>
      </c>
      <c r="C97">
        <f>PRODUCT($E97,3)+PRODUCT(SUM($H97:$K97),2)+PRODUCT(SUM($M97:$P97),3)+PRODUCT(SUM($S97:$V97),2)+PRODUCT(SUM($X97:$AA97), 3)+IF($AC97 &gt; 2, PRODUCT(SUM($AC97, -1),6), PRODUCT($AC97,3)) + IF($AD97 &gt; 2, PRODUCT(SUM($AD97, -1),6), PRODUCT($AD97,3)) + PRODUCT($AH97, -1)</f>
        <v>0</v>
      </c>
      <c r="D97">
        <f>PRODUCT(SUM($H97:$I97), 2) + PRODUCT(SUM($M97:$N97),3) + PRODUCT(SUM($S97:$T97), 2) + PRODUCT(SUM($X97:$Y97), 3)</f>
        <v>0</v>
      </c>
      <c r="E97">
        <f>IF( COUNTIF('Raw Data'!$A$3:$A$2927,$A97)=0,0,SUMIF('Raw Data'!$A$3:$A$2927, $A97,'Raw Data'!D$3:D$2927) / COUNTIF('Raw Data'!$A$3:$A$2927,$A97))</f>
        <v>0</v>
      </c>
      <c r="F97">
        <f t="array" ref="F97">MAX(IF('Raw Data'!$A$3:$A$927=$A97, 'Raw Data'!$O$3:$O$927))</f>
        <v>0</v>
      </c>
      <c r="G97">
        <f t="array" ref="G97">MAX(IF('Raw Data'!$A$3:$A$927=$A97, 'Raw Data'!$I$3:$I$927))</f>
        <v>0</v>
      </c>
      <c r="H97">
        <f>IF( COUNTIF('Raw Data'!$A$3:$A$2927,$A97)=0,0,SUMIF('Raw Data'!$A$3:$A$2927, $A97,'Raw Data'!E$3:E$2927) / COUNTIF('Raw Data'!$A$3:$A$2927,$A97))</f>
        <v>0</v>
      </c>
      <c r="I97">
        <f>IF( COUNTIF('Raw Data'!$A$3:$A$2927,$A97)=0,0,SUMIF('Raw Data'!$A$3:$A$2927, $A97,'Raw Data'!F$3:F$2927) / COUNTIF('Raw Data'!$A$3:$A$2927,$A97))</f>
        <v>0</v>
      </c>
      <c r="J97">
        <f>IF( COUNTIF('Raw Data'!$A$3:$A$2927,$A97)=0,0,SUMIF('Raw Data'!$A$3:$A$2927, $A97,'Raw Data'!G$3:G$2927) / COUNTIF('Raw Data'!$A$3:$A$2927,$A97))</f>
        <v>0</v>
      </c>
      <c r="K97">
        <f>IF( COUNTIF('Raw Data'!$A$3:$A$2927,$A97)=0,0,SUMIF('Raw Data'!$A$3:$A$2927, $A97,'Raw Data'!H$3:H$2927) / COUNTIF('Raw Data'!$A$3:$A$2927,$A97))</f>
        <v>0</v>
      </c>
      <c r="L97">
        <f t="array" ref="L97">MAX(IF('Raw Data'!$A$3:$A$927=$A97, 'Raw Data'!$N$3:$N$927))</f>
        <v>0</v>
      </c>
      <c r="M97">
        <f>IF( COUNTIF('Raw Data'!$A$3:$A$2927,$A97)=0,0,SUMIF('Raw Data'!$A$3:$A$2927, $A97,'Raw Data'!J$3:J$2927) / COUNTIF('Raw Data'!$A$3:$A$2927,$A97))</f>
        <v>0</v>
      </c>
      <c r="N97">
        <f>IF( COUNTIF('Raw Data'!$A$3:$A$2927,$A97)=0,0,SUMIF('Raw Data'!$A$3:$A$2927, $A97,'Raw Data'!K$3:K$2927) / COUNTIF('Raw Data'!$A$3:$A$2927,$A97))</f>
        <v>0</v>
      </c>
      <c r="O97">
        <f>IF( COUNTIF('Raw Data'!$A$3:$A$2927,$A97)=0,0,SUMIF('Raw Data'!$A$3:$A$2927, $A97,'Raw Data'!L$3:L$2927) / COUNTIF('Raw Data'!$A$3:$A$2927,$A97))</f>
        <v>0</v>
      </c>
      <c r="P97" s="58">
        <f>IF( COUNTIF('Raw Data'!$A$3:$A$2927,$A97)=0,0,SUMIF('Raw Data'!$A$3:$A$2927, $A97,'Raw Data'!M$3:M$2927) / COUNTIF('Raw Data'!$A$3:$A$2927,$A97))</f>
        <v>0</v>
      </c>
      <c r="Q97">
        <f t="array" ref="Q97">MAX(IF('Raw Data'!$A$3:$A$927=$A97, 'Raw Data'!$Z$3:$Z$927))</f>
        <v>0</v>
      </c>
      <c r="R97">
        <f t="array" ref="R97">MAX(IF('Raw Data'!$A$3:$A$927=$A97, 'Raw Data'!$T$3:$T$927))</f>
        <v>0</v>
      </c>
      <c r="S97" s="118">
        <f>IF( COUNTIF('Raw Data'!$A$3:$A$2927,$A97)=0,0,SUMIF('Raw Data'!$A$3:$A$2927, $A97,'Raw Data'!P$3:P$2927) / COUNTIF('Raw Data'!$A$3:$A$2927,$A97))</f>
        <v>0</v>
      </c>
      <c r="T97">
        <f>IF( COUNTIF('Raw Data'!$A$3:$A$2927,$A97)=0,0,SUMIF('Raw Data'!$A$3:$A$2927, $A97,'Raw Data'!Q$3:Q$2927) / COUNTIF('Raw Data'!$A$3:$A$2927,$A97))</f>
        <v>0</v>
      </c>
      <c r="U97">
        <f>IF( COUNTIF('Raw Data'!$A$3:$A$2927,$A97)=0,0,SUMIF('Raw Data'!$A$3:$A$2927, $A97,'Raw Data'!R$3:R$2927) / COUNTIF('Raw Data'!$A$3:$A$2927,$A97))</f>
        <v>0</v>
      </c>
      <c r="V97">
        <f>IF( COUNTIF('Raw Data'!$A$3:$A$2927,$A97)=0,0,SUMIF('Raw Data'!$A$3:$A$2927, $A97,'Raw Data'!S$3:S$2927) / COUNTIF('Raw Data'!$A$3:$A$2927,$A97))</f>
        <v>0</v>
      </c>
      <c r="W97">
        <f t="array" ref="W97">MAX(IF('Raw Data'!$A$3:$A$927=$A97, 'Raw Data'!$Y$3:$Y$927))</f>
        <v>0</v>
      </c>
      <c r="X97">
        <f>IF( COUNTIF('Raw Data'!$A$3:$A$2927,$A97)=0,0,SUMIF('Raw Data'!$A$3:$A$2927, $A97,'Raw Data'!U$3:U$2927) / COUNTIF('Raw Data'!$A$3:$A$2927,$A97))</f>
        <v>0</v>
      </c>
      <c r="Y97">
        <f>IF( COUNTIF('Raw Data'!$A$3:$A$2927,$A97)=0,0,SUMIF('Raw Data'!$A$3:$A$2927, $A97,'Raw Data'!V$3:V$2927) / COUNTIF('Raw Data'!$A$3:$A$2927,$A97))</f>
        <v>0</v>
      </c>
      <c r="Z97">
        <f>IF( COUNTIF('Raw Data'!$A$3:$A$2927,$A97)=0,0,SUMIF('Raw Data'!$A$3:$A$2927, $A97,'Raw Data'!W$3:W$2927) / COUNTIF('Raw Data'!$A$3:$A$2927,$A97))</f>
        <v>0</v>
      </c>
      <c r="AA97">
        <f>IF( COUNTIF('Raw Data'!$A$3:$A$2927,$A97)=0,0,SUMIF('Raw Data'!$A$3:$A$2927, $A97,'Raw Data'!X$3:X$2927) / COUNTIF('Raw Data'!$A$3:$A$2927,$A97))</f>
        <v>0</v>
      </c>
      <c r="AB97">
        <f>IF( COUNTIF('Raw Data'!$A$3:$A$2927,$A97)=0,0,SUMIF('Raw Data'!$A$3:$A$2927, $A97,'Raw Data'!AA$3:AA$2927) / COUNTIF('Raw Data'!$A$3:$A$2927,$A97))</f>
        <v>0</v>
      </c>
      <c r="AC97">
        <f>IF( COUNTIF('Raw Data'!$A$3:$A$2927,$A97)=0,0,SUMIF('Raw Data'!$A$3:$A$2927, $A97,'Raw Data'!AB$3:AB$2927) / COUNTIF('Raw Data'!$A$3:$A$2927,$A97))</f>
        <v>0</v>
      </c>
      <c r="AD97">
        <f>IF( COUNTIF('Raw Data'!$A$3:$A$2927,$A97)=0,0,SUMIF('Raw Data'!$A$3:$A$2927, $A97,'Raw Data'!AC$3:AC$2927) / COUNTIF('Raw Data'!$A$3:$A$2927,$A97))</f>
        <v>0</v>
      </c>
      <c r="AE97" s="117">
        <f>IF( COUNTIF('Raw Data'!$A$3:$A$2927,$A97)=0,0,SUMIF('Raw Data'!$A$3:$A$2927, $A97,'Raw Data'!AD$3:AD$2927) / COUNTIF('Raw Data'!$A$3:$A$2927,$A97))</f>
        <v>0</v>
      </c>
      <c r="AF97">
        <f>IF( COUNTIF('Raw Data'!$A$3:$A$2927,$A97)=0,0,SUMIF('Raw Data'!$A$3:$A$2927, $A97,'Raw Data'!AE$3:AE$2927) / COUNTIF('Raw Data'!$A$3:$A$2927,$A97))</f>
        <v>0</v>
      </c>
      <c r="AG97">
        <f>IF( COUNTIF('Raw Data'!$A$3:$A$2927,$A97)=0,0,SUMIF('Raw Data'!$A$3:$A$2927, $A97,'Raw Data'!AF$3:AF$2927) / COUNTIF('Raw Data'!$A$3:$A$2927,$A97))</f>
        <v>0</v>
      </c>
      <c r="AH97">
        <f>IF( COUNTIF('Raw Data'!$A$3:$A$2927,$A97)=0,0,SUMIF('Raw Data'!$A$3:$A$2927, $A97,'Raw Data'!AG$3:AG$2927) / COUNTIF('Raw Data'!$A$3:$A$2927,$A97))</f>
        <v>0</v>
      </c>
      <c r="AI97">
        <f>IF( COUNTIF('Raw Data'!$A$3:$A$2927,$A97)=0,0,SUMIF('Raw Data'!$A$3:$A$2927, $A97,'Raw Data'!AH$3:AH$2927) / COUNTIF('Raw Data'!$A$3:$A$2927,$A97))</f>
        <v>0</v>
      </c>
      <c r="AJ97" s="116">
        <f>COUNTIF('Raw Data'!A$3:A$2927, $A97)</f>
        <v>0</v>
      </c>
      <c r="AK97">
        <f>IFERROR(SUM(IF($E97 &gt;autoThreshold, auto), hatch * SUM($H97:$K97), cargo * SUM($M97:$P97),hatch * SUM( $S97:$V97), cargo * SUM($X97:$AA97), rocket23 * SUM($J97:$K97, $O97:$P97, $U97:$V97, $Z97:$AA97), IF($AD97 &gt; climbThreshold, climb), IF($AC97 &gt; assistThreshold, $AC97 * assist), $AH97 * penalty, dropHatch * $AI97, tippedBroke * SUM($AE97:$AF97),  IF( $E97 &lt; noAutoThreshold, noAuto), IF($C97 &lt; doesNothingThreshold, doesNothing, IF($AD97 &gt;1.45, 2) )), "h")</f>
        <v>-21</v>
      </c>
      <c r="AL97">
        <f>SUM(hHatch * SUM($H97:$K97), hHatch * SUM($S97:$V97), hRocket23 * SUM($J97:$K97), hRocket23 * SUM($U97:$V97), hSandstorm * SUM($H97:$K97), hPenalty * $AH97, hDropHatch * $AI97,hTippedBroke * SUM($AE97:$AF97), IF($E97 &lt; hNoAutoThreshold, hNoAuto), IF($AG97 &gt; hFloorHatchThreshold, hFloorHatch))</f>
        <v>-1.5</v>
      </c>
      <c r="AM97">
        <f>SUM(cCargo * SUM($M97:$P97), cCargo *SUM( $X97:$AA97), cRocket23 * SUM($O97:$P97, $Z97:$AA97),cSandstorm * SUM($M97:$P97), cPenalty * $AH97, cTippedBroke * SUM($AE97:$AF97), IF($E97 &lt; cNoAutoThreshold, cNoAuto, 0))</f>
        <v>-1</v>
      </c>
    </row>
    <row r="98" spans="1:39" ht="15.75" thickBot="1">
      <c r="A98">
        <v>7267</v>
      </c>
      <c r="B98" t="s">
        <v>231</v>
      </c>
      <c r="C98">
        <f>PRODUCT($E98,3)+PRODUCT(SUM($H98:$K98),2)+PRODUCT(SUM($M98:$P98),3)+PRODUCT(SUM($S98:$V98),2)+PRODUCT(SUM($X98:$AA98), 3)+IF($AC98 &gt; 2, PRODUCT(SUM($AC98, -1),6), PRODUCT($AC98,3)) + IF($AD98 &gt; 2, PRODUCT(SUM($AD98, -1),6), PRODUCT($AD98,3)) + PRODUCT($AH98, -1)</f>
        <v>13.888888888888891</v>
      </c>
      <c r="D98">
        <f>PRODUCT(SUM($H98:$I98), 2) + PRODUCT(SUM($M98:$N98),3) + PRODUCT(SUM($S98:$T98), 2) + PRODUCT(SUM($X98:$Y98), 3)</f>
        <v>9.6666666666666679</v>
      </c>
      <c r="E98">
        <f>IF( COUNTIF('Raw Data'!$A$3:$A$2927,$A98)=0,0,SUMIF('Raw Data'!$A$3:$A$2927, $A98,'Raw Data'!D$3:D$2927) / COUNTIF('Raw Data'!$A$3:$A$2927,$A98))</f>
        <v>1.3333333333333333</v>
      </c>
      <c r="F98">
        <f t="array" ref="F98">MAX(IF('Raw Data'!$A$3:$A$927=$A98, 'Raw Data'!$O$3:$O$927))</f>
        <v>1</v>
      </c>
      <c r="G98">
        <f t="array" ref="G98">MAX(IF('Raw Data'!$A$3:$A$927=$A98, 'Raw Data'!$I$3:$I$927))</f>
        <v>0</v>
      </c>
      <c r="H98">
        <f>IF( COUNTIF('Raw Data'!$A$3:$A$2927,$A98)=0,0,SUMIF('Raw Data'!$A$3:$A$2927, $A98,'Raw Data'!E$3:E$2927) / COUNTIF('Raw Data'!$A$3:$A$2927,$A98))</f>
        <v>0</v>
      </c>
      <c r="I98">
        <f>IF( COUNTIF('Raw Data'!$A$3:$A$2927,$A98)=0,0,SUMIF('Raw Data'!$A$3:$A$2927, $A98,'Raw Data'!F$3:F$2927) / COUNTIF('Raw Data'!$A$3:$A$2927,$A98))</f>
        <v>0</v>
      </c>
      <c r="J98">
        <f>IF( COUNTIF('Raw Data'!$A$3:$A$2927,$A98)=0,0,SUMIF('Raw Data'!$A$3:$A$2927, $A98,'Raw Data'!G$3:G$2927) / COUNTIF('Raw Data'!$A$3:$A$2927,$A98))</f>
        <v>0</v>
      </c>
      <c r="K98">
        <f>IF( COUNTIF('Raw Data'!$A$3:$A$2927,$A98)=0,0,SUMIF('Raw Data'!$A$3:$A$2927, $A98,'Raw Data'!H$3:H$2927) / COUNTIF('Raw Data'!$A$3:$A$2927,$A98))</f>
        <v>0</v>
      </c>
      <c r="L98">
        <f t="array" ref="L98">MAX(IF('Raw Data'!$A$3:$A$927=$A98, 'Raw Data'!$N$3:$N$927))</f>
        <v>1</v>
      </c>
      <c r="M98">
        <f>IF( COUNTIF('Raw Data'!$A$3:$A$2927,$A98)=0,0,SUMIF('Raw Data'!$A$3:$A$2927, $A98,'Raw Data'!J$3:J$2927) / COUNTIF('Raw Data'!$A$3:$A$2927,$A98))</f>
        <v>0.1111111111111111</v>
      </c>
      <c r="N98">
        <f>IF( COUNTIF('Raw Data'!$A$3:$A$2927,$A98)=0,0,SUMIF('Raw Data'!$A$3:$A$2927, $A98,'Raw Data'!K$3:K$2927) / COUNTIF('Raw Data'!$A$3:$A$2927,$A98))</f>
        <v>0</v>
      </c>
      <c r="O98">
        <f>IF( COUNTIF('Raw Data'!$A$3:$A$2927,$A98)=0,0,SUMIF('Raw Data'!$A$3:$A$2927, $A98,'Raw Data'!L$3:L$2927) / COUNTIF('Raw Data'!$A$3:$A$2927,$A98))</f>
        <v>0</v>
      </c>
      <c r="P98" s="58">
        <f>IF( COUNTIF('Raw Data'!$A$3:$A$2927,$A98)=0,0,SUMIF('Raw Data'!$A$3:$A$2927, $A98,'Raw Data'!M$3:M$2927) / COUNTIF('Raw Data'!$A$3:$A$2927,$A98))</f>
        <v>0</v>
      </c>
      <c r="Q98">
        <f t="array" ref="Q98">MAX(IF('Raw Data'!$A$3:$A$927=$A98, 'Raw Data'!$Z$3:$Z$927))</f>
        <v>4</v>
      </c>
      <c r="R98">
        <f t="array" ref="R98">MAX(IF('Raw Data'!$A$3:$A$927=$A98, 'Raw Data'!$T$3:$T$927))</f>
        <v>0</v>
      </c>
      <c r="S98" s="118">
        <f>IF( COUNTIF('Raw Data'!$A$3:$A$2927,$A98)=0,0,SUMIF('Raw Data'!$A$3:$A$2927, $A98,'Raw Data'!P$3:P$2927) / COUNTIF('Raw Data'!$A$3:$A$2927,$A98))</f>
        <v>0</v>
      </c>
      <c r="T98">
        <f>IF( COUNTIF('Raw Data'!$A$3:$A$2927,$A98)=0,0,SUMIF('Raw Data'!$A$3:$A$2927, $A98,'Raw Data'!Q$3:Q$2927) / COUNTIF('Raw Data'!$A$3:$A$2927,$A98))</f>
        <v>0</v>
      </c>
      <c r="U98">
        <f>IF( COUNTIF('Raw Data'!$A$3:$A$2927,$A98)=0,0,SUMIF('Raw Data'!$A$3:$A$2927, $A98,'Raw Data'!R$3:R$2927) / COUNTIF('Raw Data'!$A$3:$A$2927,$A98))</f>
        <v>0</v>
      </c>
      <c r="V98">
        <f>IF( COUNTIF('Raw Data'!$A$3:$A$2927,$A98)=0,0,SUMIF('Raw Data'!$A$3:$A$2927, $A98,'Raw Data'!S$3:S$2927) / COUNTIF('Raw Data'!$A$3:$A$2927,$A98))</f>
        <v>0</v>
      </c>
      <c r="W98">
        <f t="array" ref="W98">MAX(IF('Raw Data'!$A$3:$A$927=$A98, 'Raw Data'!$Y$3:$Y$927))</f>
        <v>4</v>
      </c>
      <c r="X98">
        <f>IF( COUNTIF('Raw Data'!$A$3:$A$2927,$A98)=0,0,SUMIF('Raw Data'!$A$3:$A$2927, $A98,'Raw Data'!U$3:U$2927) / COUNTIF('Raw Data'!$A$3:$A$2927,$A98))</f>
        <v>3</v>
      </c>
      <c r="Y98">
        <f>IF( COUNTIF('Raw Data'!$A$3:$A$2927,$A98)=0,0,SUMIF('Raw Data'!$A$3:$A$2927, $A98,'Raw Data'!V$3:V$2927) / COUNTIF('Raw Data'!$A$3:$A$2927,$A98))</f>
        <v>0.1111111111111111</v>
      </c>
      <c r="Z98">
        <f>IF( COUNTIF('Raw Data'!$A$3:$A$2927,$A98)=0,0,SUMIF('Raw Data'!$A$3:$A$2927, $A98,'Raw Data'!W$3:W$2927) / COUNTIF('Raw Data'!$A$3:$A$2927,$A98))</f>
        <v>0</v>
      </c>
      <c r="AA98">
        <f>IF( COUNTIF('Raw Data'!$A$3:$A$2927,$A98)=0,0,SUMIF('Raw Data'!$A$3:$A$2927, $A98,'Raw Data'!X$3:X$2927) / COUNTIF('Raw Data'!$A$3:$A$2927,$A98))</f>
        <v>0</v>
      </c>
      <c r="AB98">
        <f>IF( COUNTIF('Raw Data'!$A$3:$A$2927,$A98)=0,0,SUMIF('Raw Data'!$A$3:$A$2927, $A98,'Raw Data'!AA$3:AA$2927) / COUNTIF('Raw Data'!$A$3:$A$2927,$A98))</f>
        <v>2</v>
      </c>
      <c r="AC98">
        <f>IF( COUNTIF('Raw Data'!$A$3:$A$2927,$A98)=0,0,SUMIF('Raw Data'!$A$3:$A$2927, $A98,'Raw Data'!AB$3:AB$2927) / COUNTIF('Raw Data'!$A$3:$A$2927,$A98))</f>
        <v>0</v>
      </c>
      <c r="AD98">
        <f>IF( COUNTIF('Raw Data'!$A$3:$A$2927,$A98)=0,0,SUMIF('Raw Data'!$A$3:$A$2927, $A98,'Raw Data'!AC$3:AC$2927) / COUNTIF('Raw Data'!$A$3:$A$2927,$A98))</f>
        <v>0.44444444444444442</v>
      </c>
      <c r="AE98" s="117">
        <f>IF( COUNTIF('Raw Data'!$A$3:$A$2927,$A98)=0,0,SUMIF('Raw Data'!$A$3:$A$2927, $A98,'Raw Data'!AD$3:AD$2927) / COUNTIF('Raw Data'!$A$3:$A$2927,$A98))</f>
        <v>0</v>
      </c>
      <c r="AF98">
        <f>IF( COUNTIF('Raw Data'!$A$3:$A$2927,$A98)=0,0,SUMIF('Raw Data'!$A$3:$A$2927, $A98,'Raw Data'!AE$3:AE$2927) / COUNTIF('Raw Data'!$A$3:$A$2927,$A98))</f>
        <v>0</v>
      </c>
      <c r="AG98">
        <f>IF( COUNTIF('Raw Data'!$A$3:$A$2927,$A98)=0,0,SUMIF('Raw Data'!$A$3:$A$2927, $A98,'Raw Data'!AF$3:AF$2927) / COUNTIF('Raw Data'!$A$3:$A$2927,$A98))</f>
        <v>0</v>
      </c>
      <c r="AH98">
        <f>IF( COUNTIF('Raw Data'!$A$3:$A$2927,$A98)=0,0,SUMIF('Raw Data'!$A$3:$A$2927, $A98,'Raw Data'!AG$3:AG$2927) / COUNTIF('Raw Data'!$A$3:$A$2927,$A98))</f>
        <v>1.1111111111111112</v>
      </c>
      <c r="AI98">
        <f>IF( COUNTIF('Raw Data'!$A$3:$A$2927,$A98)=0,0,SUMIF('Raw Data'!$A$3:$A$2927, $A98,'Raw Data'!AH$3:AH$2927) / COUNTIF('Raw Data'!$A$3:$A$2927,$A98))</f>
        <v>0.1111111111111111</v>
      </c>
      <c r="AJ98" s="116">
        <f>COUNTIF('Raw Data'!A$3:A$2927, $A98)</f>
        <v>9</v>
      </c>
      <c r="AK98">
        <f>IFERROR(SUM(IF($E98 &gt;autoThreshold, auto), hatch * SUM($H98:$K98), cargo * SUM($M98:$P98),hatch * SUM( $S98:$V98), cargo * SUM($X98:$AA98), rocket23 * SUM($J98:$K98, $O98:$P98, $U98:$V98, $Z98:$AA98), IF($AD98 &gt; climbThreshold, climb), IF($AC98 &gt; assistThreshold, $AC98 * assist), $AH98 * penalty, dropHatch * $AI98, tippedBroke * SUM($AE98:$AF98),  IF( $E98 &lt; noAutoThreshold, noAuto), IF($C98 &lt; doesNothingThreshold, doesNothing, IF($AD98 &gt;1.45, 2) )), "h")</f>
        <v>1.3488888888888892</v>
      </c>
      <c r="AL98">
        <f>SUM(hHatch * SUM($H98:$K98), hHatch * SUM($S98:$V98), hRocket23 * SUM($J98:$K98), hRocket23 * SUM($U98:$V98), hSandstorm * SUM($H98:$K98), hPenalty * $AH98, hDropHatch * $AI98,hTippedBroke * SUM($AE98:$AF98), IF($E98 &lt; hNoAutoThreshold, hNoAuto), IF($AG98 &gt; hFloorHatchThreshold, hFloorHatch))</f>
        <v>-0.77777777777777779</v>
      </c>
      <c r="AM98">
        <f>SUM(cCargo * SUM($M98:$P98), cCargo *SUM( $X98:$AA98), cRocket23 * SUM($O98:$P98, $Z98:$AA98),cSandstorm * SUM($M98:$P98), cPenalty * $AH98, cTippedBroke * SUM($AE98:$AF98), IF($E98 &lt; cNoAutoThreshold, cNoAuto, 0))</f>
        <v>2.8833333333333333</v>
      </c>
    </row>
    <row r="99" spans="1:39" ht="15.75" thickBot="1">
      <c r="A99">
        <v>7456</v>
      </c>
      <c r="B99" t="s">
        <v>437</v>
      </c>
      <c r="C99">
        <f>PRODUCT($E99,3)+PRODUCT(SUM($H99:$K99),2)+PRODUCT(SUM($M99:$P99),3)+PRODUCT(SUM($S99:$V99),2)+PRODUCT(SUM($X99:$AA99), 3)+IF($AC99 &gt; 2, PRODUCT(SUM($AC99, -1),6), PRODUCT($AC99,3)) + IF($AD99 &gt; 2, PRODUCT(SUM($AD99, -1),6), PRODUCT($AD99,3)) + PRODUCT($AH99, -1)</f>
        <v>0</v>
      </c>
      <c r="D99">
        <f>PRODUCT(SUM($H99:$I99), 2) + PRODUCT(SUM($M99:$N99),3) + PRODUCT(SUM($S99:$T99), 2) + PRODUCT(SUM($X99:$Y99), 3)</f>
        <v>0</v>
      </c>
      <c r="E99">
        <f>IF( COUNTIF('Raw Data'!$A$3:$A$2927,$A99)=0,0,SUMIF('Raw Data'!$A$3:$A$2927, $A99,'Raw Data'!D$3:D$2927) / COUNTIF('Raw Data'!$A$3:$A$2927,$A99))</f>
        <v>0</v>
      </c>
      <c r="F99">
        <f t="array" ref="F99">MAX(IF('Raw Data'!$A$3:$A$927=$A99, 'Raw Data'!$O$3:$O$927))</f>
        <v>0</v>
      </c>
      <c r="G99">
        <f t="array" ref="G99">MAX(IF('Raw Data'!$A$3:$A$927=$A99, 'Raw Data'!$I$3:$I$927))</f>
        <v>0</v>
      </c>
      <c r="H99">
        <f>IF( COUNTIF('Raw Data'!$A$3:$A$2927,$A99)=0,0,SUMIF('Raw Data'!$A$3:$A$2927, $A99,'Raw Data'!E$3:E$2927) / COUNTIF('Raw Data'!$A$3:$A$2927,$A99))</f>
        <v>0</v>
      </c>
      <c r="I99">
        <f>IF( COUNTIF('Raw Data'!$A$3:$A$2927,$A99)=0,0,SUMIF('Raw Data'!$A$3:$A$2927, $A99,'Raw Data'!F$3:F$2927) / COUNTIF('Raw Data'!$A$3:$A$2927,$A99))</f>
        <v>0</v>
      </c>
      <c r="J99">
        <f>IF( COUNTIF('Raw Data'!$A$3:$A$2927,$A99)=0,0,SUMIF('Raw Data'!$A$3:$A$2927, $A99,'Raw Data'!G$3:G$2927) / COUNTIF('Raw Data'!$A$3:$A$2927,$A99))</f>
        <v>0</v>
      </c>
      <c r="K99">
        <f>IF( COUNTIF('Raw Data'!$A$3:$A$2927,$A99)=0,0,SUMIF('Raw Data'!$A$3:$A$2927, $A99,'Raw Data'!H$3:H$2927) / COUNTIF('Raw Data'!$A$3:$A$2927,$A99))</f>
        <v>0</v>
      </c>
      <c r="L99">
        <f t="array" ref="L99">MAX(IF('Raw Data'!$A$3:$A$927=$A99, 'Raw Data'!$N$3:$N$927))</f>
        <v>0</v>
      </c>
      <c r="M99">
        <f>IF( COUNTIF('Raw Data'!$A$3:$A$2927,$A99)=0,0,SUMIF('Raw Data'!$A$3:$A$2927, $A99,'Raw Data'!J$3:J$2927) / COUNTIF('Raw Data'!$A$3:$A$2927,$A99))</f>
        <v>0</v>
      </c>
      <c r="N99">
        <f>IF( COUNTIF('Raw Data'!$A$3:$A$2927,$A99)=0,0,SUMIF('Raw Data'!$A$3:$A$2927, $A99,'Raw Data'!K$3:K$2927) / COUNTIF('Raw Data'!$A$3:$A$2927,$A99))</f>
        <v>0</v>
      </c>
      <c r="O99">
        <f>IF( COUNTIF('Raw Data'!$A$3:$A$2927,$A99)=0,0,SUMIF('Raw Data'!$A$3:$A$2927, $A99,'Raw Data'!L$3:L$2927) / COUNTIF('Raw Data'!$A$3:$A$2927,$A99))</f>
        <v>0</v>
      </c>
      <c r="P99" s="58">
        <f>IF( COUNTIF('Raw Data'!$A$3:$A$2927,$A99)=0,0,SUMIF('Raw Data'!$A$3:$A$2927, $A99,'Raw Data'!M$3:M$2927) / COUNTIF('Raw Data'!$A$3:$A$2927,$A99))</f>
        <v>0</v>
      </c>
      <c r="Q99">
        <f t="array" ref="Q99">MAX(IF('Raw Data'!$A$3:$A$927=$A99, 'Raw Data'!$Z$3:$Z$927))</f>
        <v>0</v>
      </c>
      <c r="R99">
        <f t="array" ref="R99">MAX(IF('Raw Data'!$A$3:$A$927=$A99, 'Raw Data'!$T$3:$T$927))</f>
        <v>0</v>
      </c>
      <c r="S99" s="118">
        <f>IF( COUNTIF('Raw Data'!$A$3:$A$2927,$A99)=0,0,SUMIF('Raw Data'!$A$3:$A$2927, $A99,'Raw Data'!P$3:P$2927) / COUNTIF('Raw Data'!$A$3:$A$2927,$A99))</f>
        <v>0</v>
      </c>
      <c r="T99">
        <f>IF( COUNTIF('Raw Data'!$A$3:$A$2927,$A99)=0,0,SUMIF('Raw Data'!$A$3:$A$2927, $A99,'Raw Data'!Q$3:Q$2927) / COUNTIF('Raw Data'!$A$3:$A$2927,$A99))</f>
        <v>0</v>
      </c>
      <c r="U99">
        <f>IF( COUNTIF('Raw Data'!$A$3:$A$2927,$A99)=0,0,SUMIF('Raw Data'!$A$3:$A$2927, $A99,'Raw Data'!R$3:R$2927) / COUNTIF('Raw Data'!$A$3:$A$2927,$A99))</f>
        <v>0</v>
      </c>
      <c r="V99">
        <f>IF( COUNTIF('Raw Data'!$A$3:$A$2927,$A99)=0,0,SUMIF('Raw Data'!$A$3:$A$2927, $A99,'Raw Data'!S$3:S$2927) / COUNTIF('Raw Data'!$A$3:$A$2927,$A99))</f>
        <v>0</v>
      </c>
      <c r="W99">
        <f t="array" ref="W99">MAX(IF('Raw Data'!$A$3:$A$927=$A99, 'Raw Data'!$Y$3:$Y$927))</f>
        <v>0</v>
      </c>
      <c r="X99">
        <f>IF( COUNTIF('Raw Data'!$A$3:$A$2927,$A99)=0,0,SUMIF('Raw Data'!$A$3:$A$2927, $A99,'Raw Data'!U$3:U$2927) / COUNTIF('Raw Data'!$A$3:$A$2927,$A99))</f>
        <v>0</v>
      </c>
      <c r="Y99">
        <f>IF( COUNTIF('Raw Data'!$A$3:$A$2927,$A99)=0,0,SUMIF('Raw Data'!$A$3:$A$2927, $A99,'Raw Data'!V$3:V$2927) / COUNTIF('Raw Data'!$A$3:$A$2927,$A99))</f>
        <v>0</v>
      </c>
      <c r="Z99">
        <f>IF( COUNTIF('Raw Data'!$A$3:$A$2927,$A99)=0,0,SUMIF('Raw Data'!$A$3:$A$2927, $A99,'Raw Data'!W$3:W$2927) / COUNTIF('Raw Data'!$A$3:$A$2927,$A99))</f>
        <v>0</v>
      </c>
      <c r="AA99">
        <f>IF( COUNTIF('Raw Data'!$A$3:$A$2927,$A99)=0,0,SUMIF('Raw Data'!$A$3:$A$2927, $A99,'Raw Data'!X$3:X$2927) / COUNTIF('Raw Data'!$A$3:$A$2927,$A99))</f>
        <v>0</v>
      </c>
      <c r="AB99">
        <f>IF( COUNTIF('Raw Data'!$A$3:$A$2927,$A99)=0,0,SUMIF('Raw Data'!$A$3:$A$2927, $A99,'Raw Data'!AA$3:AA$2927) / COUNTIF('Raw Data'!$A$3:$A$2927,$A99))</f>
        <v>0</v>
      </c>
      <c r="AC99">
        <f>IF( COUNTIF('Raw Data'!$A$3:$A$2927,$A99)=0,0,SUMIF('Raw Data'!$A$3:$A$2927, $A99,'Raw Data'!AB$3:AB$2927) / COUNTIF('Raw Data'!$A$3:$A$2927,$A99))</f>
        <v>0</v>
      </c>
      <c r="AD99">
        <f>IF( COUNTIF('Raw Data'!$A$3:$A$2927,$A99)=0,0,SUMIF('Raw Data'!$A$3:$A$2927, $A99,'Raw Data'!AC$3:AC$2927) / COUNTIF('Raw Data'!$A$3:$A$2927,$A99))</f>
        <v>0</v>
      </c>
      <c r="AE99" s="117">
        <f>IF( COUNTIF('Raw Data'!$A$3:$A$2927,$A99)=0,0,SUMIF('Raw Data'!$A$3:$A$2927, $A99,'Raw Data'!AD$3:AD$2927) / COUNTIF('Raw Data'!$A$3:$A$2927,$A99))</f>
        <v>0</v>
      </c>
      <c r="AF99">
        <f>IF( COUNTIF('Raw Data'!$A$3:$A$2927,$A99)=0,0,SUMIF('Raw Data'!$A$3:$A$2927, $A99,'Raw Data'!AE$3:AE$2927) / COUNTIF('Raw Data'!$A$3:$A$2927,$A99))</f>
        <v>0</v>
      </c>
      <c r="AG99">
        <f>IF( COUNTIF('Raw Data'!$A$3:$A$2927,$A99)=0,0,SUMIF('Raw Data'!$A$3:$A$2927, $A99,'Raw Data'!AF$3:AF$2927) / COUNTIF('Raw Data'!$A$3:$A$2927,$A99))</f>
        <v>0</v>
      </c>
      <c r="AH99">
        <f>IF( COUNTIF('Raw Data'!$A$3:$A$2927,$A99)=0,0,SUMIF('Raw Data'!$A$3:$A$2927, $A99,'Raw Data'!AG$3:AG$2927) / COUNTIF('Raw Data'!$A$3:$A$2927,$A99))</f>
        <v>0</v>
      </c>
      <c r="AI99">
        <f>IF( COUNTIF('Raw Data'!$A$3:$A$2927,$A99)=0,0,SUMIF('Raw Data'!$A$3:$A$2927, $A99,'Raw Data'!AH$3:AH$2927) / COUNTIF('Raw Data'!$A$3:$A$2927,$A99))</f>
        <v>0</v>
      </c>
      <c r="AJ99" s="116">
        <f>COUNTIF('Raw Data'!A$3:A$2927, $A99)</f>
        <v>0</v>
      </c>
      <c r="AK99">
        <f>IFERROR(SUM(IF($E99 &gt;autoThreshold, auto), hatch * SUM($H99:$K99), cargo * SUM($M99:$P99),hatch * SUM( $S99:$V99), cargo * SUM($X99:$AA99), rocket23 * SUM($J99:$K99, $O99:$P99, $U99:$V99, $Z99:$AA99), IF($AD99 &gt; climbThreshold, climb), IF($AC99 &gt; assistThreshold, $AC99 * assist), $AH99 * penalty, dropHatch * $AI99, tippedBroke * SUM($AE99:$AF99),  IF( $E99 &lt; noAutoThreshold, noAuto), IF($C99 &lt; doesNothingThreshold, doesNothing, IF($AD99 &gt;1.45, 2) )), "h")</f>
        <v>-21</v>
      </c>
      <c r="AL99">
        <f>SUM(hHatch * SUM($H99:$K99), hHatch * SUM($S99:$V99), hRocket23 * SUM($J99:$K99), hRocket23 * SUM($U99:$V99), hSandstorm * SUM($H99:$K99), hPenalty * $AH99, hDropHatch * $AI99,hTippedBroke * SUM($AE99:$AF99), IF($E99 &lt; hNoAutoThreshold, hNoAuto), IF($AG99 &gt; hFloorHatchThreshold, hFloorHatch))</f>
        <v>-1.5</v>
      </c>
      <c r="AM99">
        <f>SUM(cCargo * SUM($M99:$P99), cCargo *SUM( $X99:$AA99), cRocket23 * SUM($O99:$P99, $Z99:$AA99),cSandstorm * SUM($M99:$P99), cPenalty * $AH99, cTippedBroke * SUM($AE99:$AF99), IF($E99 &lt; cNoAutoThreshold, cNoAuto, 0))</f>
        <v>-1</v>
      </c>
    </row>
    <row r="100" spans="1:39" ht="15.75" thickBot="1">
      <c r="A100">
        <v>7476</v>
      </c>
      <c r="B100" t="s">
        <v>438</v>
      </c>
      <c r="C100">
        <f>PRODUCT($E100,3)+PRODUCT(SUM($H100:$K100),2)+PRODUCT(SUM($M100:$P100),3)+PRODUCT(SUM($S100:$V100),2)+PRODUCT(SUM($X100:$AA100), 3)+IF($AC100 &gt; 2, PRODUCT(SUM($AC100, -1),6), PRODUCT($AC100,3)) + IF($AD100 &gt; 2, PRODUCT(SUM($AD100, -1),6), PRODUCT($AD100,3)) + PRODUCT($AH100, -1)</f>
        <v>14.09090909090909</v>
      </c>
      <c r="D100">
        <f>PRODUCT(SUM($H100:$I100), 2) + PRODUCT(SUM($M100:$N100),3) + PRODUCT(SUM($S100:$T100), 2) + PRODUCT(SUM($X100:$Y100), 3)</f>
        <v>6.0909090909090917</v>
      </c>
      <c r="E100">
        <f>IF( COUNTIF('Raw Data'!$A$3:$A$2927,$A100)=0,0,SUMIF('Raw Data'!$A$3:$A$2927, $A100,'Raw Data'!D$3:D$2927) / COUNTIF('Raw Data'!$A$3:$A$2927,$A100))</f>
        <v>0.90909090909090906</v>
      </c>
      <c r="F100">
        <f t="array" ref="F100">MAX(IF('Raw Data'!$A$3:$A$927=$A100, 'Raw Data'!$O$3:$O$927))</f>
        <v>1</v>
      </c>
      <c r="G100">
        <f t="array" ref="G100">MAX(IF('Raw Data'!$A$3:$A$927=$A100, 'Raw Data'!$I$3:$I$927))</f>
        <v>1</v>
      </c>
      <c r="H100">
        <f>IF( COUNTIF('Raw Data'!$A$3:$A$2927,$A100)=0,0,SUMIF('Raw Data'!$A$3:$A$2927, $A100,'Raw Data'!E$3:E$2927) / COUNTIF('Raw Data'!$A$3:$A$2927,$A100))</f>
        <v>0.18181818181818182</v>
      </c>
      <c r="I100">
        <f>IF( COUNTIF('Raw Data'!$A$3:$A$2927,$A100)=0,0,SUMIF('Raw Data'!$A$3:$A$2927, $A100,'Raw Data'!F$3:F$2927) / COUNTIF('Raw Data'!$A$3:$A$2927,$A100))</f>
        <v>0</v>
      </c>
      <c r="J100">
        <f>IF( COUNTIF('Raw Data'!$A$3:$A$2927,$A100)=0,0,SUMIF('Raw Data'!$A$3:$A$2927, $A100,'Raw Data'!G$3:G$2927) / COUNTIF('Raw Data'!$A$3:$A$2927,$A100))</f>
        <v>9.0909090909090912E-2</v>
      </c>
      <c r="K100">
        <f>IF( COUNTIF('Raw Data'!$A$3:$A$2927,$A100)=0,0,SUMIF('Raw Data'!$A$3:$A$2927, $A100,'Raw Data'!H$3:H$2927) / COUNTIF('Raw Data'!$A$3:$A$2927,$A100))</f>
        <v>0</v>
      </c>
      <c r="L100">
        <f t="array" ref="L100">MAX(IF('Raw Data'!$A$3:$A$927=$A100, 'Raw Data'!$N$3:$N$927))</f>
        <v>0</v>
      </c>
      <c r="M100">
        <f>IF( COUNTIF('Raw Data'!$A$3:$A$2927,$A100)=0,0,SUMIF('Raw Data'!$A$3:$A$2927, $A100,'Raw Data'!J$3:J$2927) / COUNTIF('Raw Data'!$A$3:$A$2927,$A100))</f>
        <v>0</v>
      </c>
      <c r="N100">
        <f>IF( COUNTIF('Raw Data'!$A$3:$A$2927,$A100)=0,0,SUMIF('Raw Data'!$A$3:$A$2927, $A100,'Raw Data'!K$3:K$2927) / COUNTIF('Raw Data'!$A$3:$A$2927,$A100))</f>
        <v>0</v>
      </c>
      <c r="O100">
        <f>IF( COUNTIF('Raw Data'!$A$3:$A$2927,$A100)=0,0,SUMIF('Raw Data'!$A$3:$A$2927, $A100,'Raw Data'!L$3:L$2927) / COUNTIF('Raw Data'!$A$3:$A$2927,$A100))</f>
        <v>0</v>
      </c>
      <c r="P100" s="58">
        <f>IF( COUNTIF('Raw Data'!$A$3:$A$2927,$A100)=0,0,SUMIF('Raw Data'!$A$3:$A$2927, $A100,'Raw Data'!M$3:M$2927) / COUNTIF('Raw Data'!$A$3:$A$2927,$A100))</f>
        <v>0</v>
      </c>
      <c r="Q100">
        <f t="array" ref="Q100">MAX(IF('Raw Data'!$A$3:$A$927=$A100, 'Raw Data'!$Z$3:$Z$927))</f>
        <v>6</v>
      </c>
      <c r="R100">
        <f t="array" ref="R100">MAX(IF('Raw Data'!$A$3:$A$927=$A100, 'Raw Data'!$T$3:$T$927))</f>
        <v>3</v>
      </c>
      <c r="S100" s="118">
        <f>IF( COUNTIF('Raw Data'!$A$3:$A$2927,$A100)=0,0,SUMIF('Raw Data'!$A$3:$A$2927, $A100,'Raw Data'!P$3:P$2927) / COUNTIF('Raw Data'!$A$3:$A$2927,$A100))</f>
        <v>0.18181818181818182</v>
      </c>
      <c r="T100">
        <f>IF( COUNTIF('Raw Data'!$A$3:$A$2927,$A100)=0,0,SUMIF('Raw Data'!$A$3:$A$2927, $A100,'Raw Data'!Q$3:Q$2927) / COUNTIF('Raw Data'!$A$3:$A$2927,$A100))</f>
        <v>0.36363636363636365</v>
      </c>
      <c r="U100">
        <f>IF( COUNTIF('Raw Data'!$A$3:$A$2927,$A100)=0,0,SUMIF('Raw Data'!$A$3:$A$2927, $A100,'Raw Data'!R$3:R$2927) / COUNTIF('Raw Data'!$A$3:$A$2927,$A100))</f>
        <v>0.45454545454545453</v>
      </c>
      <c r="V100">
        <f>IF( COUNTIF('Raw Data'!$A$3:$A$2927,$A100)=0,0,SUMIF('Raw Data'!$A$3:$A$2927, $A100,'Raw Data'!S$3:S$2927) / COUNTIF('Raw Data'!$A$3:$A$2927,$A100))</f>
        <v>0.45454545454545453</v>
      </c>
      <c r="W100">
        <f t="array" ref="W100">MAX(IF('Raw Data'!$A$3:$A$927=$A100, 'Raw Data'!$Y$3:$Y$927))</f>
        <v>4</v>
      </c>
      <c r="X100">
        <f>IF( COUNTIF('Raw Data'!$A$3:$A$2927,$A100)=0,0,SUMIF('Raw Data'!$A$3:$A$2927, $A100,'Raw Data'!U$3:U$2927) / COUNTIF('Raw Data'!$A$3:$A$2927,$A100))</f>
        <v>1.5454545454545454</v>
      </c>
      <c r="Y100">
        <f>IF( COUNTIF('Raw Data'!$A$3:$A$2927,$A100)=0,0,SUMIF('Raw Data'!$A$3:$A$2927, $A100,'Raw Data'!V$3:V$2927) / COUNTIF('Raw Data'!$A$3:$A$2927,$A100))</f>
        <v>0</v>
      </c>
      <c r="Z100">
        <f>IF( COUNTIF('Raw Data'!$A$3:$A$2927,$A100)=0,0,SUMIF('Raw Data'!$A$3:$A$2927, $A100,'Raw Data'!W$3:W$2927) / COUNTIF('Raw Data'!$A$3:$A$2927,$A100))</f>
        <v>0.27272727272727271</v>
      </c>
      <c r="AA100">
        <f>IF( COUNTIF('Raw Data'!$A$3:$A$2927,$A100)=0,0,SUMIF('Raw Data'!$A$3:$A$2927, $A100,'Raw Data'!X$3:X$2927) / COUNTIF('Raw Data'!$A$3:$A$2927,$A100))</f>
        <v>0</v>
      </c>
      <c r="AB100">
        <f>IF( COUNTIF('Raw Data'!$A$3:$A$2927,$A100)=0,0,SUMIF('Raw Data'!$A$3:$A$2927, $A100,'Raw Data'!AA$3:AA$2927) / COUNTIF('Raw Data'!$A$3:$A$2927,$A100))</f>
        <v>0</v>
      </c>
      <c r="AC100">
        <f>IF( COUNTIF('Raw Data'!$A$3:$A$2927,$A100)=0,0,SUMIF('Raw Data'!$A$3:$A$2927, $A100,'Raw Data'!AB$3:AB$2927) / COUNTIF('Raw Data'!$A$3:$A$2927,$A100))</f>
        <v>0</v>
      </c>
      <c r="AD100">
        <f>IF( COUNTIF('Raw Data'!$A$3:$A$2927,$A100)=0,0,SUMIF('Raw Data'!$A$3:$A$2927, $A100,'Raw Data'!AC$3:AC$2927) / COUNTIF('Raw Data'!$A$3:$A$2927,$A100))</f>
        <v>0.90909090909090906</v>
      </c>
      <c r="AE100" s="117">
        <f>IF( COUNTIF('Raw Data'!$A$3:$A$2927,$A100)=0,0,SUMIF('Raw Data'!$A$3:$A$2927, $A100,'Raw Data'!AD$3:AD$2927) / COUNTIF('Raw Data'!$A$3:$A$2927,$A100))</f>
        <v>0</v>
      </c>
      <c r="AF100">
        <f>IF( COUNTIF('Raw Data'!$A$3:$A$2927,$A100)=0,0,SUMIF('Raw Data'!$A$3:$A$2927, $A100,'Raw Data'!AE$3:AE$2927) / COUNTIF('Raw Data'!$A$3:$A$2927,$A100))</f>
        <v>9.0909090909090912E-2</v>
      </c>
      <c r="AG100">
        <f>IF( COUNTIF('Raw Data'!$A$3:$A$2927,$A100)=0,0,SUMIF('Raw Data'!$A$3:$A$2927, $A100,'Raw Data'!AF$3:AF$2927) / COUNTIF('Raw Data'!$A$3:$A$2927,$A100))</f>
        <v>9.0909090909090912E-2</v>
      </c>
      <c r="AH100">
        <f>IF( COUNTIF('Raw Data'!$A$3:$A$2927,$A100)=0,0,SUMIF('Raw Data'!$A$3:$A$2927, $A100,'Raw Data'!AG$3:AG$2927) / COUNTIF('Raw Data'!$A$3:$A$2927,$A100))</f>
        <v>0.27272727272727271</v>
      </c>
      <c r="AI100">
        <f>IF( COUNTIF('Raw Data'!$A$3:$A$2927,$A100)=0,0,SUMIF('Raw Data'!$A$3:$A$2927, $A100,'Raw Data'!AH$3:AH$2927) / COUNTIF('Raw Data'!$A$3:$A$2927,$A100))</f>
        <v>0</v>
      </c>
      <c r="AJ100" s="116">
        <f>COUNTIF('Raw Data'!A$3:A$2927, $A100)</f>
        <v>11</v>
      </c>
      <c r="AK100">
        <f>IFERROR(SUM(IF($E100 &gt;autoThreshold, auto), hatch * SUM($H100:$K100), cargo * SUM($M100:$P100),hatch * SUM( $S100:$V100), cargo * SUM($X100:$AA100), rocket23 * SUM($J100:$K100, $O100:$P100, $U100:$V100, $Z100:$AA100), IF($AD100 &gt; climbThreshold, climb), IF($AC100 &gt; assistThreshold, $AC100 * assist), $AH100 * penalty, dropHatch * $AI100, tippedBroke * SUM($AE100:$AF100),  IF( $E100 &lt; noAutoThreshold, noAuto), IF($C100 &lt; doesNothingThreshold, doesNothing, IF($AD100 &gt;1.45, 2) )), "h")</f>
        <v>2.2454545454545456</v>
      </c>
      <c r="AL100">
        <f>SUM(hHatch * SUM($H100:$K100), hHatch * SUM($S100:$V100), hRocket23 * SUM($J100:$K100), hRocket23 * SUM($U100:$V100), hSandstorm * SUM($H100:$K100), hPenalty * $AH100, hDropHatch * $AI100,hTippedBroke * SUM($AE100:$AF100), IF($E100 &lt; hNoAutoThreshold, hNoAuto), IF($AG100 &gt; hFloorHatchThreshold, hFloorHatch))</f>
        <v>0.54545454545454541</v>
      </c>
      <c r="AM100">
        <f>SUM(cCargo * SUM($M100:$P100), cCargo *SUM( $X100:$AA100), cRocket23 * SUM($O100:$P100, $Z100:$AA100),cSandstorm * SUM($M100:$P100), cPenalty * $AH100, cTippedBroke * SUM($AE100:$AF100), IF($E100 &lt; cNoAutoThreshold, cNoAuto, 0))</f>
        <v>0.68272727272727263</v>
      </c>
    </row>
    <row r="101" spans="1:39" ht="15.75" thickBot="1">
      <c r="A101">
        <v>7520</v>
      </c>
      <c r="B101" t="s">
        <v>439</v>
      </c>
      <c r="C101">
        <f>PRODUCT($E101,3)+PRODUCT(SUM($H101:$K101),2)+PRODUCT(SUM($M101:$P101),3)+PRODUCT(SUM($S101:$V101),2)+PRODUCT(SUM($X101:$AA101), 3)+IF($AC101 &gt; 2, PRODUCT(SUM($AC101, -1),6), PRODUCT($AC101,3)) + IF($AD101 &gt; 2, PRODUCT(SUM($AD101, -1),6), PRODUCT($AD101,3)) + PRODUCT($AH101, -1)</f>
        <v>0</v>
      </c>
      <c r="D101">
        <f>PRODUCT(SUM($H101:$I101), 2) + PRODUCT(SUM($M101:$N101),3) + PRODUCT(SUM($S101:$T101), 2) + PRODUCT(SUM($X101:$Y101), 3)</f>
        <v>0</v>
      </c>
      <c r="E101">
        <f>IF( COUNTIF('Raw Data'!$A$3:$A$2927,$A101)=0,0,SUMIF('Raw Data'!$A$3:$A$2927, $A101,'Raw Data'!D$3:D$2927) / COUNTIF('Raw Data'!$A$3:$A$2927,$A101))</f>
        <v>0</v>
      </c>
      <c r="F101">
        <f t="array" ref="F101">MAX(IF('Raw Data'!$A$3:$A$927=$A101, 'Raw Data'!$O$3:$O$927))</f>
        <v>0</v>
      </c>
      <c r="G101">
        <f t="array" ref="G101">MAX(IF('Raw Data'!$A$3:$A$927=$A101, 'Raw Data'!$I$3:$I$927))</f>
        <v>0</v>
      </c>
      <c r="H101">
        <f>IF( COUNTIF('Raw Data'!$A$3:$A$2927,$A101)=0,0,SUMIF('Raw Data'!$A$3:$A$2927, $A101,'Raw Data'!E$3:E$2927) / COUNTIF('Raw Data'!$A$3:$A$2927,$A101))</f>
        <v>0</v>
      </c>
      <c r="I101">
        <f>IF( COUNTIF('Raw Data'!$A$3:$A$2927,$A101)=0,0,SUMIF('Raw Data'!$A$3:$A$2927, $A101,'Raw Data'!F$3:F$2927) / COUNTIF('Raw Data'!$A$3:$A$2927,$A101))</f>
        <v>0</v>
      </c>
      <c r="J101">
        <f>IF( COUNTIF('Raw Data'!$A$3:$A$2927,$A101)=0,0,SUMIF('Raw Data'!$A$3:$A$2927, $A101,'Raw Data'!G$3:G$2927) / COUNTIF('Raw Data'!$A$3:$A$2927,$A101))</f>
        <v>0</v>
      </c>
      <c r="K101">
        <f>IF( COUNTIF('Raw Data'!$A$3:$A$2927,$A101)=0,0,SUMIF('Raw Data'!$A$3:$A$2927, $A101,'Raw Data'!H$3:H$2927) / COUNTIF('Raw Data'!$A$3:$A$2927,$A101))</f>
        <v>0</v>
      </c>
      <c r="L101">
        <f t="array" ref="L101">MAX(IF('Raw Data'!$A$3:$A$927=$A101, 'Raw Data'!$N$3:$N$927))</f>
        <v>0</v>
      </c>
      <c r="M101">
        <f>IF( COUNTIF('Raw Data'!$A$3:$A$2927,$A101)=0,0,SUMIF('Raw Data'!$A$3:$A$2927, $A101,'Raw Data'!J$3:J$2927) / COUNTIF('Raw Data'!$A$3:$A$2927,$A101))</f>
        <v>0</v>
      </c>
      <c r="N101">
        <f>IF( COUNTIF('Raw Data'!$A$3:$A$2927,$A101)=0,0,SUMIF('Raw Data'!$A$3:$A$2927, $A101,'Raw Data'!K$3:K$2927) / COUNTIF('Raw Data'!$A$3:$A$2927,$A101))</f>
        <v>0</v>
      </c>
      <c r="O101">
        <f>IF( COUNTIF('Raw Data'!$A$3:$A$2927,$A101)=0,0,SUMIF('Raw Data'!$A$3:$A$2927, $A101,'Raw Data'!L$3:L$2927) / COUNTIF('Raw Data'!$A$3:$A$2927,$A101))</f>
        <v>0</v>
      </c>
      <c r="P101" s="58">
        <f>IF( COUNTIF('Raw Data'!$A$3:$A$2927,$A101)=0,0,SUMIF('Raw Data'!$A$3:$A$2927, $A101,'Raw Data'!M$3:M$2927) / COUNTIF('Raw Data'!$A$3:$A$2927,$A101))</f>
        <v>0</v>
      </c>
      <c r="Q101">
        <f t="array" ref="Q101">MAX(IF('Raw Data'!$A$3:$A$927=$A101, 'Raw Data'!$Z$3:$Z$927))</f>
        <v>0</v>
      </c>
      <c r="R101">
        <f t="array" ref="R101">MAX(IF('Raw Data'!$A$3:$A$927=$A101, 'Raw Data'!$T$3:$T$927))</f>
        <v>0</v>
      </c>
      <c r="S101" s="118">
        <f>IF( COUNTIF('Raw Data'!$A$3:$A$2927,$A101)=0,0,SUMIF('Raw Data'!$A$3:$A$2927, $A101,'Raw Data'!P$3:P$2927) / COUNTIF('Raw Data'!$A$3:$A$2927,$A101))</f>
        <v>0</v>
      </c>
      <c r="T101">
        <f>IF( COUNTIF('Raw Data'!$A$3:$A$2927,$A101)=0,0,SUMIF('Raw Data'!$A$3:$A$2927, $A101,'Raw Data'!Q$3:Q$2927) / COUNTIF('Raw Data'!$A$3:$A$2927,$A101))</f>
        <v>0</v>
      </c>
      <c r="U101">
        <f>IF( COUNTIF('Raw Data'!$A$3:$A$2927,$A101)=0,0,SUMIF('Raw Data'!$A$3:$A$2927, $A101,'Raw Data'!R$3:R$2927) / COUNTIF('Raw Data'!$A$3:$A$2927,$A101))</f>
        <v>0</v>
      </c>
      <c r="V101">
        <f>IF( COUNTIF('Raw Data'!$A$3:$A$2927,$A101)=0,0,SUMIF('Raw Data'!$A$3:$A$2927, $A101,'Raw Data'!S$3:S$2927) / COUNTIF('Raw Data'!$A$3:$A$2927,$A101))</f>
        <v>0</v>
      </c>
      <c r="W101">
        <f t="array" ref="W101">MAX(IF('Raw Data'!$A$3:$A$927=$A101, 'Raw Data'!$Y$3:$Y$927))</f>
        <v>0</v>
      </c>
      <c r="X101">
        <f>IF( COUNTIF('Raw Data'!$A$3:$A$2927,$A101)=0,0,SUMIF('Raw Data'!$A$3:$A$2927, $A101,'Raw Data'!U$3:U$2927) / COUNTIF('Raw Data'!$A$3:$A$2927,$A101))</f>
        <v>0</v>
      </c>
      <c r="Y101">
        <f>IF( COUNTIF('Raw Data'!$A$3:$A$2927,$A101)=0,0,SUMIF('Raw Data'!$A$3:$A$2927, $A101,'Raw Data'!V$3:V$2927) / COUNTIF('Raw Data'!$A$3:$A$2927,$A101))</f>
        <v>0</v>
      </c>
      <c r="Z101">
        <f>IF( COUNTIF('Raw Data'!$A$3:$A$2927,$A101)=0,0,SUMIF('Raw Data'!$A$3:$A$2927, $A101,'Raw Data'!W$3:W$2927) / COUNTIF('Raw Data'!$A$3:$A$2927,$A101))</f>
        <v>0</v>
      </c>
      <c r="AA101">
        <f>IF( COUNTIF('Raw Data'!$A$3:$A$2927,$A101)=0,0,SUMIF('Raw Data'!$A$3:$A$2927, $A101,'Raw Data'!X$3:X$2927) / COUNTIF('Raw Data'!$A$3:$A$2927,$A101))</f>
        <v>0</v>
      </c>
      <c r="AB101">
        <f>IF( COUNTIF('Raw Data'!$A$3:$A$2927,$A101)=0,0,SUMIF('Raw Data'!$A$3:$A$2927, $A101,'Raw Data'!AA$3:AA$2927) / COUNTIF('Raw Data'!$A$3:$A$2927,$A101))</f>
        <v>0</v>
      </c>
      <c r="AC101">
        <f>IF( COUNTIF('Raw Data'!$A$3:$A$2927,$A101)=0,0,SUMIF('Raw Data'!$A$3:$A$2927, $A101,'Raw Data'!AB$3:AB$2927) / COUNTIF('Raw Data'!$A$3:$A$2927,$A101))</f>
        <v>0</v>
      </c>
      <c r="AD101">
        <f>IF( COUNTIF('Raw Data'!$A$3:$A$2927,$A101)=0,0,SUMIF('Raw Data'!$A$3:$A$2927, $A101,'Raw Data'!AC$3:AC$2927) / COUNTIF('Raw Data'!$A$3:$A$2927,$A101))</f>
        <v>0</v>
      </c>
      <c r="AE101" s="117">
        <f>IF( COUNTIF('Raw Data'!$A$3:$A$2927,$A101)=0,0,SUMIF('Raw Data'!$A$3:$A$2927, $A101,'Raw Data'!AD$3:AD$2927) / COUNTIF('Raw Data'!$A$3:$A$2927,$A101))</f>
        <v>0</v>
      </c>
      <c r="AF101">
        <f>IF( COUNTIF('Raw Data'!$A$3:$A$2927,$A101)=0,0,SUMIF('Raw Data'!$A$3:$A$2927, $A101,'Raw Data'!AE$3:AE$2927) / COUNTIF('Raw Data'!$A$3:$A$2927,$A101))</f>
        <v>0</v>
      </c>
      <c r="AG101">
        <f>IF( COUNTIF('Raw Data'!$A$3:$A$2927,$A101)=0,0,SUMIF('Raw Data'!$A$3:$A$2927, $A101,'Raw Data'!AF$3:AF$2927) / COUNTIF('Raw Data'!$A$3:$A$2927,$A101))</f>
        <v>0</v>
      </c>
      <c r="AH101">
        <f>IF( COUNTIF('Raw Data'!$A$3:$A$2927,$A101)=0,0,SUMIF('Raw Data'!$A$3:$A$2927, $A101,'Raw Data'!AG$3:AG$2927) / COUNTIF('Raw Data'!$A$3:$A$2927,$A101))</f>
        <v>0</v>
      </c>
      <c r="AI101">
        <f>IF( COUNTIF('Raw Data'!$A$3:$A$2927,$A101)=0,0,SUMIF('Raw Data'!$A$3:$A$2927, $A101,'Raw Data'!AH$3:AH$2927) / COUNTIF('Raw Data'!$A$3:$A$2927,$A101))</f>
        <v>0</v>
      </c>
      <c r="AJ101" s="116">
        <f>COUNTIF('Raw Data'!A$3:A$2927, $A101)</f>
        <v>0</v>
      </c>
      <c r="AK101">
        <f>IFERROR(SUM(IF($E101 &gt;autoThreshold, auto), hatch * SUM($H101:$K101), cargo * SUM($M101:$P101),hatch * SUM( $S101:$V101), cargo * SUM($X101:$AA101), rocket23 * SUM($J101:$K101, $O101:$P101, $U101:$V101, $Z101:$AA101), IF($AD101 &gt; climbThreshold, climb), IF($AC101 &gt; assistThreshold, $AC101 * assist), $AH101 * penalty, dropHatch * $AI101, tippedBroke * SUM($AE101:$AF101),  IF( $E101 &lt; noAutoThreshold, noAuto), IF($C101 &lt; doesNothingThreshold, doesNothing, IF($AD101 &gt;1.45, 2) )), "h")</f>
        <v>-21</v>
      </c>
      <c r="AL101">
        <f>SUM(hHatch * SUM($H101:$K101), hHatch * SUM($S101:$V101), hRocket23 * SUM($J101:$K101), hRocket23 * SUM($U101:$V101), hSandstorm * SUM($H101:$K101), hPenalty * $AH101, hDropHatch * $AI101,hTippedBroke * SUM($AE101:$AF101), IF($E101 &lt; hNoAutoThreshold, hNoAuto), IF($AG101 &gt; hFloorHatchThreshold, hFloorHatch))</f>
        <v>-1.5</v>
      </c>
      <c r="AM101">
        <f>SUM(cCargo * SUM($M101:$P101), cCargo *SUM( $X101:$AA101), cRocket23 * SUM($O101:$P101, $Z101:$AA101),cSandstorm * SUM($M101:$P101), cPenalty * $AH101, cTippedBroke * SUM($AE101:$AF101), IF($E101 &lt; cNoAutoThreshold, cNoAuto, 0))</f>
        <v>-1</v>
      </c>
    </row>
    <row r="102" spans="1:39" ht="15.75" thickBot="1">
      <c r="A102">
        <v>7558</v>
      </c>
      <c r="B102" t="s">
        <v>499</v>
      </c>
      <c r="C102">
        <f>PRODUCT($E102,3)+PRODUCT(SUM($H102:$K102),2)+PRODUCT(SUM($M102:$P102),3)+PRODUCT(SUM($S102:$V102),2)+PRODUCT(SUM($X102:$AA102), 3)+IF($AC102 &gt; 2, PRODUCT(SUM($AC102, -1),6), PRODUCT($AC102,3)) + IF($AD102 &gt; 2, PRODUCT(SUM($AD102, -1),6), PRODUCT($AD102,3)) + PRODUCT($AH102, -1)</f>
        <v>0</v>
      </c>
      <c r="D102">
        <f>PRODUCT(SUM($H102:$I102), 2) + PRODUCT(SUM($M102:$N102),3) + PRODUCT(SUM($S102:$T102), 2) + PRODUCT(SUM($X102:$Y102), 3)</f>
        <v>0</v>
      </c>
      <c r="E102">
        <f>IF( COUNTIF('Raw Data'!$A$3:$A$2927,$A102)=0,0,SUMIF('Raw Data'!$A$3:$A$2927, $A102,'Raw Data'!D$3:D$2927) / COUNTIF('Raw Data'!$A$3:$A$2927,$A102))</f>
        <v>0</v>
      </c>
      <c r="F102">
        <f t="array" ref="F102">MAX(IF('Raw Data'!$A$3:$A$927=$A102, 'Raw Data'!$O$3:$O$927))</f>
        <v>0</v>
      </c>
      <c r="G102">
        <f t="array" ref="G102">MAX(IF('Raw Data'!$A$3:$A$927=$A102, 'Raw Data'!$I$3:$I$927))</f>
        <v>0</v>
      </c>
      <c r="H102">
        <f>IF( COUNTIF('Raw Data'!$A$3:$A$2927,$A102)=0,0,SUMIF('Raw Data'!$A$3:$A$2927, $A102,'Raw Data'!E$3:E$2927) / COUNTIF('Raw Data'!$A$3:$A$2927,$A102))</f>
        <v>0</v>
      </c>
      <c r="I102">
        <f>IF( COUNTIF('Raw Data'!$A$3:$A$2927,$A102)=0,0,SUMIF('Raw Data'!$A$3:$A$2927, $A102,'Raw Data'!F$3:F$2927) / COUNTIF('Raw Data'!$A$3:$A$2927,$A102))</f>
        <v>0</v>
      </c>
      <c r="J102">
        <f>IF( COUNTIF('Raw Data'!$A$3:$A$2927,$A102)=0,0,SUMIF('Raw Data'!$A$3:$A$2927, $A102,'Raw Data'!G$3:G$2927) / COUNTIF('Raw Data'!$A$3:$A$2927,$A102))</f>
        <v>0</v>
      </c>
      <c r="K102">
        <f>IF( COUNTIF('Raw Data'!$A$3:$A$2927,$A102)=0,0,SUMIF('Raw Data'!$A$3:$A$2927, $A102,'Raw Data'!H$3:H$2927) / COUNTIF('Raw Data'!$A$3:$A$2927,$A102))</f>
        <v>0</v>
      </c>
      <c r="L102">
        <f t="array" ref="L102">MAX(IF('Raw Data'!$A$3:$A$927=$A102, 'Raw Data'!$N$3:$N$927))</f>
        <v>0</v>
      </c>
      <c r="M102">
        <f>IF( COUNTIF('Raw Data'!$A$3:$A$2927,$A102)=0,0,SUMIF('Raw Data'!$A$3:$A$2927, $A102,'Raw Data'!J$3:J$2927) / COUNTIF('Raw Data'!$A$3:$A$2927,$A102))</f>
        <v>0</v>
      </c>
      <c r="N102">
        <f>IF( COUNTIF('Raw Data'!$A$3:$A$2927,$A102)=0,0,SUMIF('Raw Data'!$A$3:$A$2927, $A102,'Raw Data'!K$3:K$2927) / COUNTIF('Raw Data'!$A$3:$A$2927,$A102))</f>
        <v>0</v>
      </c>
      <c r="O102">
        <f>IF( COUNTIF('Raw Data'!$A$3:$A$2927,$A102)=0,0,SUMIF('Raw Data'!$A$3:$A$2927, $A102,'Raw Data'!L$3:L$2927) / COUNTIF('Raw Data'!$A$3:$A$2927,$A102))</f>
        <v>0</v>
      </c>
      <c r="P102" s="58">
        <f>IF( COUNTIF('Raw Data'!$A$3:$A$2927,$A102)=0,0,SUMIF('Raw Data'!$A$3:$A$2927, $A102,'Raw Data'!M$3:M$2927) / COUNTIF('Raw Data'!$A$3:$A$2927,$A102))</f>
        <v>0</v>
      </c>
      <c r="Q102">
        <f t="array" ref="Q102">MAX(IF('Raw Data'!$A$3:$A$927=$A102, 'Raw Data'!$Z$3:$Z$927))</f>
        <v>0</v>
      </c>
      <c r="R102">
        <f t="array" ref="R102">MAX(IF('Raw Data'!$A$3:$A$927=$A102, 'Raw Data'!$T$3:$T$927))</f>
        <v>0</v>
      </c>
      <c r="S102" s="118">
        <f>IF( COUNTIF('Raw Data'!$A$3:$A$2927,$A102)=0,0,SUMIF('Raw Data'!$A$3:$A$2927, $A102,'Raw Data'!P$3:P$2927) / COUNTIF('Raw Data'!$A$3:$A$2927,$A102))</f>
        <v>0</v>
      </c>
      <c r="T102">
        <f>IF( COUNTIF('Raw Data'!$A$3:$A$2927,$A102)=0,0,SUMIF('Raw Data'!$A$3:$A$2927, $A102,'Raw Data'!Q$3:Q$2927) / COUNTIF('Raw Data'!$A$3:$A$2927,$A102))</f>
        <v>0</v>
      </c>
      <c r="U102">
        <f>IF( COUNTIF('Raw Data'!$A$3:$A$2927,$A102)=0,0,SUMIF('Raw Data'!$A$3:$A$2927, $A102,'Raw Data'!R$3:R$2927) / COUNTIF('Raw Data'!$A$3:$A$2927,$A102))</f>
        <v>0</v>
      </c>
      <c r="V102">
        <f>IF( COUNTIF('Raw Data'!$A$3:$A$2927,$A102)=0,0,SUMIF('Raw Data'!$A$3:$A$2927, $A102,'Raw Data'!S$3:S$2927) / COUNTIF('Raw Data'!$A$3:$A$2927,$A102))</f>
        <v>0</v>
      </c>
      <c r="W102">
        <f t="array" ref="W102">MAX(IF('Raw Data'!$A$3:$A$927=$A102, 'Raw Data'!$Y$3:$Y$927))</f>
        <v>0</v>
      </c>
      <c r="X102">
        <f>IF( COUNTIF('Raw Data'!$A$3:$A$2927,$A102)=0,0,SUMIF('Raw Data'!$A$3:$A$2927, $A102,'Raw Data'!U$3:U$2927) / COUNTIF('Raw Data'!$A$3:$A$2927,$A102))</f>
        <v>0</v>
      </c>
      <c r="Y102">
        <f>IF( COUNTIF('Raw Data'!$A$3:$A$2927,$A102)=0,0,SUMIF('Raw Data'!$A$3:$A$2927, $A102,'Raw Data'!V$3:V$2927) / COUNTIF('Raw Data'!$A$3:$A$2927,$A102))</f>
        <v>0</v>
      </c>
      <c r="Z102">
        <f>IF( COUNTIF('Raw Data'!$A$3:$A$2927,$A102)=0,0,SUMIF('Raw Data'!$A$3:$A$2927, $A102,'Raw Data'!W$3:W$2927) / COUNTIF('Raw Data'!$A$3:$A$2927,$A102))</f>
        <v>0</v>
      </c>
      <c r="AA102">
        <f>IF( COUNTIF('Raw Data'!$A$3:$A$2927,$A102)=0,0,SUMIF('Raw Data'!$A$3:$A$2927, $A102,'Raw Data'!X$3:X$2927) / COUNTIF('Raw Data'!$A$3:$A$2927,$A102))</f>
        <v>0</v>
      </c>
      <c r="AB102">
        <f>IF( COUNTIF('Raw Data'!$A$3:$A$2927,$A102)=0,0,SUMIF('Raw Data'!$A$3:$A$2927, $A102,'Raw Data'!AA$3:AA$2927) / COUNTIF('Raw Data'!$A$3:$A$2927,$A102))</f>
        <v>0</v>
      </c>
      <c r="AC102">
        <f>IF( COUNTIF('Raw Data'!$A$3:$A$2927,$A102)=0,0,SUMIF('Raw Data'!$A$3:$A$2927, $A102,'Raw Data'!AB$3:AB$2927) / COUNTIF('Raw Data'!$A$3:$A$2927,$A102))</f>
        <v>0</v>
      </c>
      <c r="AD102">
        <f>IF( COUNTIF('Raw Data'!$A$3:$A$2927,$A102)=0,0,SUMIF('Raw Data'!$A$3:$A$2927, $A102,'Raw Data'!AC$3:AC$2927) / COUNTIF('Raw Data'!$A$3:$A$2927,$A102))</f>
        <v>0</v>
      </c>
      <c r="AE102" s="117">
        <f>IF( COUNTIF('Raw Data'!$A$3:$A$2927,$A102)=0,0,SUMIF('Raw Data'!$A$3:$A$2927, $A102,'Raw Data'!AD$3:AD$2927) / COUNTIF('Raw Data'!$A$3:$A$2927,$A102))</f>
        <v>0</v>
      </c>
      <c r="AF102">
        <f>IF( COUNTIF('Raw Data'!$A$3:$A$2927,$A102)=0,0,SUMIF('Raw Data'!$A$3:$A$2927, $A102,'Raw Data'!AE$3:AE$2927) / COUNTIF('Raw Data'!$A$3:$A$2927,$A102))</f>
        <v>0</v>
      </c>
      <c r="AG102">
        <f>IF( COUNTIF('Raw Data'!$A$3:$A$2927,$A102)=0,0,SUMIF('Raw Data'!$A$3:$A$2927, $A102,'Raw Data'!AF$3:AF$2927) / COUNTIF('Raw Data'!$A$3:$A$2927,$A102))</f>
        <v>0</v>
      </c>
      <c r="AH102">
        <f>IF( COUNTIF('Raw Data'!$A$3:$A$2927,$A102)=0,0,SUMIF('Raw Data'!$A$3:$A$2927, $A102,'Raw Data'!AG$3:AG$2927) / COUNTIF('Raw Data'!$A$3:$A$2927,$A102))</f>
        <v>0</v>
      </c>
      <c r="AI102">
        <f>IF( COUNTIF('Raw Data'!$A$3:$A$2927,$A102)=0,0,SUMIF('Raw Data'!$A$3:$A$2927, $A102,'Raw Data'!AH$3:AH$2927) / COUNTIF('Raw Data'!$A$3:$A$2927,$A102))</f>
        <v>0</v>
      </c>
      <c r="AJ102" s="116">
        <f>COUNTIF('Raw Data'!A$3:A$2927, $A102)</f>
        <v>0</v>
      </c>
      <c r="AK102">
        <f>IFERROR(SUM(IF($E102 &gt;autoThreshold, auto), hatch * SUM($H102:$K102), cargo * SUM($M102:$P102),hatch * SUM( $S102:$V102), cargo * SUM($X102:$AA102), rocket23 * SUM($J102:$K102, $O102:$P102, $U102:$V102, $Z102:$AA102), IF($AD102 &gt; climbThreshold, climb), IF($AC102 &gt; assistThreshold, $AC102 * assist), $AH102 * penalty, dropHatch * $AI102, tippedBroke * SUM($AE102:$AF102),  IF( $E102 &lt; noAutoThreshold, noAuto), IF($C102 &lt; doesNothingThreshold, doesNothing, IF($AD102 &gt;1.45, 2) )), "h")</f>
        <v>-21</v>
      </c>
      <c r="AL102">
        <f>SUM(hHatch * SUM($H102:$K102), hHatch * SUM($S102:$V102), hRocket23 * SUM($J102:$K102), hRocket23 * SUM($U102:$V102), hSandstorm * SUM($H102:$K102), hPenalty * $AH102, hDropHatch * $AI102,hTippedBroke * SUM($AE102:$AF102), IF($E102 &lt; hNoAutoThreshold, hNoAuto), IF($AG102 &gt; hFloorHatchThreshold, hFloorHatch))</f>
        <v>-1.5</v>
      </c>
      <c r="AM102">
        <f>SUM(cCargo * SUM($M102:$P102), cCargo *SUM( $X102:$AA102), cRocket23 * SUM($O102:$P102, $Z102:$AA102),cSandstorm * SUM($M102:$P102), cPenalty * $AH102, cTippedBroke * SUM($AE102:$AF102), IF($E102 &lt; cNoAutoThreshold, cNoAuto, 0))</f>
        <v>-1</v>
      </c>
    </row>
    <row r="103" spans="1:39" ht="15.75" thickBot="1">
      <c r="A103">
        <v>7564</v>
      </c>
      <c r="B103" t="s">
        <v>232</v>
      </c>
      <c r="C103">
        <f>PRODUCT($E103,3)+PRODUCT(SUM($H103:$K103),2)+PRODUCT(SUM($M103:$P103),3)+PRODUCT(SUM($S103:$V103),2)+PRODUCT(SUM($X103:$AA103), 3)+IF($AC103 &gt; 2, PRODUCT(SUM($AC103, -1),6), PRODUCT($AC103,3)) + IF($AD103 &gt; 2, PRODUCT(SUM($AD103, -1),6), PRODUCT($AD103,3)) + PRODUCT($AH103, -1)</f>
        <v>7.7142857142857144</v>
      </c>
      <c r="D103">
        <f>PRODUCT(SUM($H103:$I103), 2) + PRODUCT(SUM($M103:$N103),3) + PRODUCT(SUM($S103:$T103), 2) + PRODUCT(SUM($X103:$Y103), 3)</f>
        <v>0.42857142857142855</v>
      </c>
      <c r="E103">
        <f>IF( COUNTIF('Raw Data'!$A$3:$A$2927,$A103)=0,0,SUMIF('Raw Data'!$A$3:$A$2927, $A103,'Raw Data'!D$3:D$2927) / COUNTIF('Raw Data'!$A$3:$A$2927,$A103))</f>
        <v>2</v>
      </c>
      <c r="F103">
        <f t="array" ref="F103">MAX(IF('Raw Data'!$A$3:$A$927=$A103, 'Raw Data'!$O$3:$O$927))</f>
        <v>1</v>
      </c>
      <c r="G103">
        <f t="array" ref="G103">MAX(IF('Raw Data'!$A$3:$A$927=$A103, 'Raw Data'!$I$3:$I$927))</f>
        <v>0</v>
      </c>
      <c r="H103">
        <f>IF( COUNTIF('Raw Data'!$A$3:$A$2927,$A103)=0,0,SUMIF('Raw Data'!$A$3:$A$2927, $A103,'Raw Data'!E$3:E$2927) / COUNTIF('Raw Data'!$A$3:$A$2927,$A103))</f>
        <v>0</v>
      </c>
      <c r="I103">
        <f>IF( COUNTIF('Raw Data'!$A$3:$A$2927,$A103)=0,0,SUMIF('Raw Data'!$A$3:$A$2927, $A103,'Raw Data'!F$3:F$2927) / COUNTIF('Raw Data'!$A$3:$A$2927,$A103))</f>
        <v>0</v>
      </c>
      <c r="J103">
        <f>IF( COUNTIF('Raw Data'!$A$3:$A$2927,$A103)=0,0,SUMIF('Raw Data'!$A$3:$A$2927, $A103,'Raw Data'!G$3:G$2927) / COUNTIF('Raw Data'!$A$3:$A$2927,$A103))</f>
        <v>0</v>
      </c>
      <c r="K103">
        <f>IF( COUNTIF('Raw Data'!$A$3:$A$2927,$A103)=0,0,SUMIF('Raw Data'!$A$3:$A$2927, $A103,'Raw Data'!H$3:H$2927) / COUNTIF('Raw Data'!$A$3:$A$2927,$A103))</f>
        <v>0</v>
      </c>
      <c r="L103">
        <f t="array" ref="L103">MAX(IF('Raw Data'!$A$3:$A$927=$A103, 'Raw Data'!$N$3:$N$927))</f>
        <v>1</v>
      </c>
      <c r="M103">
        <f>IF( COUNTIF('Raw Data'!$A$3:$A$2927,$A103)=0,0,SUMIF('Raw Data'!$A$3:$A$2927, $A103,'Raw Data'!J$3:J$2927) / COUNTIF('Raw Data'!$A$3:$A$2927,$A103))</f>
        <v>0.14285714285714285</v>
      </c>
      <c r="N103">
        <f>IF( COUNTIF('Raw Data'!$A$3:$A$2927,$A103)=0,0,SUMIF('Raw Data'!$A$3:$A$2927, $A103,'Raw Data'!K$3:K$2927) / COUNTIF('Raw Data'!$A$3:$A$2927,$A103))</f>
        <v>0</v>
      </c>
      <c r="O103">
        <f>IF( COUNTIF('Raw Data'!$A$3:$A$2927,$A103)=0,0,SUMIF('Raw Data'!$A$3:$A$2927, $A103,'Raw Data'!L$3:L$2927) / COUNTIF('Raw Data'!$A$3:$A$2927,$A103))</f>
        <v>0</v>
      </c>
      <c r="P103" s="58">
        <f>IF( COUNTIF('Raw Data'!$A$3:$A$2927,$A103)=0,0,SUMIF('Raw Data'!$A$3:$A$2927, $A103,'Raw Data'!M$3:M$2927) / COUNTIF('Raw Data'!$A$3:$A$2927,$A103))</f>
        <v>0</v>
      </c>
      <c r="Q103">
        <f t="array" ref="Q103">MAX(IF('Raw Data'!$A$3:$A$927=$A103, 'Raw Data'!$Z$3:$Z$927))</f>
        <v>0</v>
      </c>
      <c r="R103">
        <f t="array" ref="R103">MAX(IF('Raw Data'!$A$3:$A$927=$A103, 'Raw Data'!$T$3:$T$927))</f>
        <v>0</v>
      </c>
      <c r="S103" s="118">
        <f>IF( COUNTIF('Raw Data'!$A$3:$A$2927,$A103)=0,0,SUMIF('Raw Data'!$A$3:$A$2927, $A103,'Raw Data'!P$3:P$2927) / COUNTIF('Raw Data'!$A$3:$A$2927,$A103))</f>
        <v>0</v>
      </c>
      <c r="T103">
        <f>IF( COUNTIF('Raw Data'!$A$3:$A$2927,$A103)=0,0,SUMIF('Raw Data'!$A$3:$A$2927, $A103,'Raw Data'!Q$3:Q$2927) / COUNTIF('Raw Data'!$A$3:$A$2927,$A103))</f>
        <v>0</v>
      </c>
      <c r="U103">
        <f>IF( COUNTIF('Raw Data'!$A$3:$A$2927,$A103)=0,0,SUMIF('Raw Data'!$A$3:$A$2927, $A103,'Raw Data'!R$3:R$2927) / COUNTIF('Raw Data'!$A$3:$A$2927,$A103))</f>
        <v>0</v>
      </c>
      <c r="V103">
        <f>IF( COUNTIF('Raw Data'!$A$3:$A$2927,$A103)=0,0,SUMIF('Raw Data'!$A$3:$A$2927, $A103,'Raw Data'!S$3:S$2927) / COUNTIF('Raw Data'!$A$3:$A$2927,$A103))</f>
        <v>0</v>
      </c>
      <c r="W103">
        <f t="array" ref="W103">MAX(IF('Raw Data'!$A$3:$A$927=$A103, 'Raw Data'!$Y$3:$Y$927))</f>
        <v>0</v>
      </c>
      <c r="X103">
        <f>IF( COUNTIF('Raw Data'!$A$3:$A$2927,$A103)=0,0,SUMIF('Raw Data'!$A$3:$A$2927, $A103,'Raw Data'!U$3:U$2927) / COUNTIF('Raw Data'!$A$3:$A$2927,$A103))</f>
        <v>0</v>
      </c>
      <c r="Y103">
        <f>IF( COUNTIF('Raw Data'!$A$3:$A$2927,$A103)=0,0,SUMIF('Raw Data'!$A$3:$A$2927, $A103,'Raw Data'!V$3:V$2927) / COUNTIF('Raw Data'!$A$3:$A$2927,$A103))</f>
        <v>0</v>
      </c>
      <c r="Z103">
        <f>IF( COUNTIF('Raw Data'!$A$3:$A$2927,$A103)=0,0,SUMIF('Raw Data'!$A$3:$A$2927, $A103,'Raw Data'!W$3:W$2927) / COUNTIF('Raw Data'!$A$3:$A$2927,$A103))</f>
        <v>0</v>
      </c>
      <c r="AA103">
        <f>IF( COUNTIF('Raw Data'!$A$3:$A$2927,$A103)=0,0,SUMIF('Raw Data'!$A$3:$A$2927, $A103,'Raw Data'!X$3:X$2927) / COUNTIF('Raw Data'!$A$3:$A$2927,$A103))</f>
        <v>0</v>
      </c>
      <c r="AB103">
        <f>IF( COUNTIF('Raw Data'!$A$3:$A$2927,$A103)=0,0,SUMIF('Raw Data'!$A$3:$A$2927, $A103,'Raw Data'!AA$3:AA$2927) / COUNTIF('Raw Data'!$A$3:$A$2927,$A103))</f>
        <v>40</v>
      </c>
      <c r="AC103">
        <f>IF( COUNTIF('Raw Data'!$A$3:$A$2927,$A103)=0,0,SUMIF('Raw Data'!$A$3:$A$2927, $A103,'Raw Data'!AB$3:AB$2927) / COUNTIF('Raw Data'!$A$3:$A$2927,$A103))</f>
        <v>0.14285714285714285</v>
      </c>
      <c r="AD103">
        <f>IF( COUNTIF('Raw Data'!$A$3:$A$2927,$A103)=0,0,SUMIF('Raw Data'!$A$3:$A$2927, $A103,'Raw Data'!AC$3:AC$2927) / COUNTIF('Raw Data'!$A$3:$A$2927,$A103))</f>
        <v>0.7142857142857143</v>
      </c>
      <c r="AE103" s="117">
        <f>IF( COUNTIF('Raw Data'!$A$3:$A$2927,$A103)=0,0,SUMIF('Raw Data'!$A$3:$A$2927, $A103,'Raw Data'!AD$3:AD$2927) / COUNTIF('Raw Data'!$A$3:$A$2927,$A103))</f>
        <v>0</v>
      </c>
      <c r="AF103">
        <f>IF( COUNTIF('Raw Data'!$A$3:$A$2927,$A103)=0,0,SUMIF('Raw Data'!$A$3:$A$2927, $A103,'Raw Data'!AE$3:AE$2927) / COUNTIF('Raw Data'!$A$3:$A$2927,$A103))</f>
        <v>0</v>
      </c>
      <c r="AG103">
        <f>IF( COUNTIF('Raw Data'!$A$3:$A$2927,$A103)=0,0,SUMIF('Raw Data'!$A$3:$A$2927, $A103,'Raw Data'!AF$3:AF$2927) / COUNTIF('Raw Data'!$A$3:$A$2927,$A103))</f>
        <v>0</v>
      </c>
      <c r="AH103">
        <f>IF( COUNTIF('Raw Data'!$A$3:$A$2927,$A103)=0,0,SUMIF('Raw Data'!$A$3:$A$2927, $A103,'Raw Data'!AG$3:AG$2927) / COUNTIF('Raw Data'!$A$3:$A$2927,$A103))</f>
        <v>1.2857142857142858</v>
      </c>
      <c r="AI103">
        <f>IF( COUNTIF('Raw Data'!$A$3:$A$2927,$A103)=0,0,SUMIF('Raw Data'!$A$3:$A$2927, $A103,'Raw Data'!AH$3:AH$2927) / COUNTIF('Raw Data'!$A$3:$A$2927,$A103))</f>
        <v>0</v>
      </c>
      <c r="AJ103" s="116">
        <f>COUNTIF('Raw Data'!A$3:A$2927, $A103)</f>
        <v>7</v>
      </c>
      <c r="AK103">
        <f>IFERROR(SUM(IF($E103 &gt;autoThreshold, auto), hatch * SUM($H103:$K103), cargo * SUM($M103:$P103),hatch * SUM( $S103:$V103), cargo * SUM($X103:$AA103), rocket23 * SUM($J103:$K103, $O103:$P103, $U103:$V103, $Z103:$AA103), IF($AD103 &gt; climbThreshold, climb), IF($AC103 &gt; assistThreshold, $AC103 * assist), $AH103 * penalty, dropHatch * $AI103, tippedBroke * SUM($AE103:$AF103),  IF( $E103 &lt; noAutoThreshold, noAuto), IF($C103 &lt; doesNothingThreshold, doesNothing, IF($AD103 &gt;1.45, 2) )), "h")</f>
        <v>0.4514285714285714</v>
      </c>
      <c r="AL103">
        <f>SUM(hHatch * SUM($H103:$K103), hHatch * SUM($S103:$V103), hRocket23 * SUM($J103:$K103), hRocket23 * SUM($U103:$V103), hSandstorm * SUM($H103:$K103), hPenalty * $AH103, hDropHatch * $AI103,hTippedBroke * SUM($AE103:$AF103), IF($E103 &lt; hNoAutoThreshold, hNoAuto), IF($AG103 &gt; hFloorHatchThreshold, hFloorHatch))</f>
        <v>-0.6428571428571429</v>
      </c>
      <c r="AM103">
        <f>SUM(cCargo * SUM($M103:$P103), cCargo *SUM( $X103:$AA103), cRocket23 * SUM($O103:$P103, $Z103:$AA103),cSandstorm * SUM($M103:$P103), cPenalty * $AH103, cTippedBroke * SUM($AE103:$AF103), IF($E103 &lt; cNoAutoThreshold, cNoAuto, 0))</f>
        <v>-0.24571428571428577</v>
      </c>
    </row>
    <row r="104" spans="1:39" ht="15.75" thickBot="1">
      <c r="A104">
        <v>7603</v>
      </c>
      <c r="B104" t="s">
        <v>500</v>
      </c>
      <c r="C104">
        <f>PRODUCT($E104,3)+PRODUCT(SUM($H104:$K104),2)+PRODUCT(SUM($M104:$P104),3)+PRODUCT(SUM($S104:$V104),2)+PRODUCT(SUM($X104:$AA104), 3)+IF($AC104 &gt; 2, PRODUCT(SUM($AC104, -1),6), PRODUCT($AC104,3)) + IF($AD104 &gt; 2, PRODUCT(SUM($AD104, -1),6), PRODUCT($AD104,3)) + PRODUCT($AH104, -1)</f>
        <v>0</v>
      </c>
      <c r="D104">
        <f>PRODUCT(SUM($H104:$I104), 2) + PRODUCT(SUM($M104:$N104),3) + PRODUCT(SUM($S104:$T104), 2) + PRODUCT(SUM($X104:$Y104), 3)</f>
        <v>0</v>
      </c>
      <c r="E104">
        <f>IF( COUNTIF('Raw Data'!$A$3:$A$2927,$A104)=0,0,SUMIF('Raw Data'!$A$3:$A$2927, $A104,'Raw Data'!D$3:D$2927) / COUNTIF('Raw Data'!$A$3:$A$2927,$A104))</f>
        <v>0</v>
      </c>
      <c r="F104">
        <f t="array" ref="F104">MAX(IF('Raw Data'!$A$3:$A$927=$A104, 'Raw Data'!$O$3:$O$927))</f>
        <v>0</v>
      </c>
      <c r="G104">
        <f t="array" ref="G104">MAX(IF('Raw Data'!$A$3:$A$927=$A104, 'Raw Data'!$I$3:$I$927))</f>
        <v>0</v>
      </c>
      <c r="H104">
        <f>IF( COUNTIF('Raw Data'!$A$3:$A$2927,$A104)=0,0,SUMIF('Raw Data'!$A$3:$A$2927, $A104,'Raw Data'!E$3:E$2927) / COUNTIF('Raw Data'!$A$3:$A$2927,$A104))</f>
        <v>0</v>
      </c>
      <c r="I104">
        <f>IF( COUNTIF('Raw Data'!$A$3:$A$2927,$A104)=0,0,SUMIF('Raw Data'!$A$3:$A$2927, $A104,'Raw Data'!F$3:F$2927) / COUNTIF('Raw Data'!$A$3:$A$2927,$A104))</f>
        <v>0</v>
      </c>
      <c r="J104">
        <f>IF( COUNTIF('Raw Data'!$A$3:$A$2927,$A104)=0,0,SUMIF('Raw Data'!$A$3:$A$2927, $A104,'Raw Data'!G$3:G$2927) / COUNTIF('Raw Data'!$A$3:$A$2927,$A104))</f>
        <v>0</v>
      </c>
      <c r="K104">
        <f>IF( COUNTIF('Raw Data'!$A$3:$A$2927,$A104)=0,0,SUMIF('Raw Data'!$A$3:$A$2927, $A104,'Raw Data'!H$3:H$2927) / COUNTIF('Raw Data'!$A$3:$A$2927,$A104))</f>
        <v>0</v>
      </c>
      <c r="L104">
        <f t="array" ref="L104">MAX(IF('Raw Data'!$A$3:$A$927=$A104, 'Raw Data'!$N$3:$N$927))</f>
        <v>0</v>
      </c>
      <c r="M104">
        <f>IF( COUNTIF('Raw Data'!$A$3:$A$2927,$A104)=0,0,SUMIF('Raw Data'!$A$3:$A$2927, $A104,'Raw Data'!J$3:J$2927) / COUNTIF('Raw Data'!$A$3:$A$2927,$A104))</f>
        <v>0</v>
      </c>
      <c r="N104">
        <f>IF( COUNTIF('Raw Data'!$A$3:$A$2927,$A104)=0,0,SUMIF('Raw Data'!$A$3:$A$2927, $A104,'Raw Data'!K$3:K$2927) / COUNTIF('Raw Data'!$A$3:$A$2927,$A104))</f>
        <v>0</v>
      </c>
      <c r="O104">
        <f>IF( COUNTIF('Raw Data'!$A$3:$A$2927,$A104)=0,0,SUMIF('Raw Data'!$A$3:$A$2927, $A104,'Raw Data'!L$3:L$2927) / COUNTIF('Raw Data'!$A$3:$A$2927,$A104))</f>
        <v>0</v>
      </c>
      <c r="P104" s="58">
        <f>IF( COUNTIF('Raw Data'!$A$3:$A$2927,$A104)=0,0,SUMIF('Raw Data'!$A$3:$A$2927, $A104,'Raw Data'!M$3:M$2927) / COUNTIF('Raw Data'!$A$3:$A$2927,$A104))</f>
        <v>0</v>
      </c>
      <c r="Q104">
        <f t="array" ref="Q104">MAX(IF('Raw Data'!$A$3:$A$927=$A104, 'Raw Data'!$Z$3:$Z$927))</f>
        <v>0</v>
      </c>
      <c r="R104">
        <f t="array" ref="R104">MAX(IF('Raw Data'!$A$3:$A$927=$A104, 'Raw Data'!$T$3:$T$927))</f>
        <v>0</v>
      </c>
      <c r="S104" s="118">
        <f>IF( COUNTIF('Raw Data'!$A$3:$A$2927,$A104)=0,0,SUMIF('Raw Data'!$A$3:$A$2927, $A104,'Raw Data'!P$3:P$2927) / COUNTIF('Raw Data'!$A$3:$A$2927,$A104))</f>
        <v>0</v>
      </c>
      <c r="T104">
        <f>IF( COUNTIF('Raw Data'!$A$3:$A$2927,$A104)=0,0,SUMIF('Raw Data'!$A$3:$A$2927, $A104,'Raw Data'!Q$3:Q$2927) / COUNTIF('Raw Data'!$A$3:$A$2927,$A104))</f>
        <v>0</v>
      </c>
      <c r="U104">
        <f>IF( COUNTIF('Raw Data'!$A$3:$A$2927,$A104)=0,0,SUMIF('Raw Data'!$A$3:$A$2927, $A104,'Raw Data'!R$3:R$2927) / COUNTIF('Raw Data'!$A$3:$A$2927,$A104))</f>
        <v>0</v>
      </c>
      <c r="V104">
        <f>IF( COUNTIF('Raw Data'!$A$3:$A$2927,$A104)=0,0,SUMIF('Raw Data'!$A$3:$A$2927, $A104,'Raw Data'!S$3:S$2927) / COUNTIF('Raw Data'!$A$3:$A$2927,$A104))</f>
        <v>0</v>
      </c>
      <c r="W104">
        <f t="array" ref="W104">MAX(IF('Raw Data'!$A$3:$A$927=$A104, 'Raw Data'!$Y$3:$Y$927))</f>
        <v>0</v>
      </c>
      <c r="X104">
        <f>IF( COUNTIF('Raw Data'!$A$3:$A$2927,$A104)=0,0,SUMIF('Raw Data'!$A$3:$A$2927, $A104,'Raw Data'!U$3:U$2927) / COUNTIF('Raw Data'!$A$3:$A$2927,$A104))</f>
        <v>0</v>
      </c>
      <c r="Y104">
        <f>IF( COUNTIF('Raw Data'!$A$3:$A$2927,$A104)=0,0,SUMIF('Raw Data'!$A$3:$A$2927, $A104,'Raw Data'!V$3:V$2927) / COUNTIF('Raw Data'!$A$3:$A$2927,$A104))</f>
        <v>0</v>
      </c>
      <c r="Z104">
        <f>IF( COUNTIF('Raw Data'!$A$3:$A$2927,$A104)=0,0,SUMIF('Raw Data'!$A$3:$A$2927, $A104,'Raw Data'!W$3:W$2927) / COUNTIF('Raw Data'!$A$3:$A$2927,$A104))</f>
        <v>0</v>
      </c>
      <c r="AA104">
        <f>IF( COUNTIF('Raw Data'!$A$3:$A$2927,$A104)=0,0,SUMIF('Raw Data'!$A$3:$A$2927, $A104,'Raw Data'!X$3:X$2927) / COUNTIF('Raw Data'!$A$3:$A$2927,$A104))</f>
        <v>0</v>
      </c>
      <c r="AB104">
        <f>IF( COUNTIF('Raw Data'!$A$3:$A$2927,$A104)=0,0,SUMIF('Raw Data'!$A$3:$A$2927, $A104,'Raw Data'!AA$3:AA$2927) / COUNTIF('Raw Data'!$A$3:$A$2927,$A104))</f>
        <v>0</v>
      </c>
      <c r="AC104">
        <f>IF( COUNTIF('Raw Data'!$A$3:$A$2927,$A104)=0,0,SUMIF('Raw Data'!$A$3:$A$2927, $A104,'Raw Data'!AB$3:AB$2927) / COUNTIF('Raw Data'!$A$3:$A$2927,$A104))</f>
        <v>0</v>
      </c>
      <c r="AD104">
        <f>IF( COUNTIF('Raw Data'!$A$3:$A$2927,$A104)=0,0,SUMIF('Raw Data'!$A$3:$A$2927, $A104,'Raw Data'!AC$3:AC$2927) / COUNTIF('Raw Data'!$A$3:$A$2927,$A104))</f>
        <v>0</v>
      </c>
      <c r="AE104" s="117">
        <f>IF( COUNTIF('Raw Data'!$A$3:$A$2927,$A104)=0,0,SUMIF('Raw Data'!$A$3:$A$2927, $A104,'Raw Data'!AD$3:AD$2927) / COUNTIF('Raw Data'!$A$3:$A$2927,$A104))</f>
        <v>0</v>
      </c>
      <c r="AF104">
        <f>IF( COUNTIF('Raw Data'!$A$3:$A$2927,$A104)=0,0,SUMIF('Raw Data'!$A$3:$A$2927, $A104,'Raw Data'!AE$3:AE$2927) / COUNTIF('Raw Data'!$A$3:$A$2927,$A104))</f>
        <v>0</v>
      </c>
      <c r="AG104">
        <f>IF( COUNTIF('Raw Data'!$A$3:$A$2927,$A104)=0,0,SUMIF('Raw Data'!$A$3:$A$2927, $A104,'Raw Data'!AF$3:AF$2927) / COUNTIF('Raw Data'!$A$3:$A$2927,$A104))</f>
        <v>0</v>
      </c>
      <c r="AH104">
        <f>IF( COUNTIF('Raw Data'!$A$3:$A$2927,$A104)=0,0,SUMIF('Raw Data'!$A$3:$A$2927, $A104,'Raw Data'!AG$3:AG$2927) / COUNTIF('Raw Data'!$A$3:$A$2927,$A104))</f>
        <v>0</v>
      </c>
      <c r="AI104">
        <f>IF( COUNTIF('Raw Data'!$A$3:$A$2927,$A104)=0,0,SUMIF('Raw Data'!$A$3:$A$2927, $A104,'Raw Data'!AH$3:AH$2927) / COUNTIF('Raw Data'!$A$3:$A$2927,$A104))</f>
        <v>0</v>
      </c>
      <c r="AJ104" s="116">
        <f>COUNTIF('Raw Data'!A$3:A$2927, $A104)</f>
        <v>0</v>
      </c>
      <c r="AK104">
        <f>IFERROR(SUM(IF($E104 &gt;autoThreshold, auto), hatch * SUM($H104:$K104), cargo * SUM($M104:$P104),hatch * SUM( $S104:$V104), cargo * SUM($X104:$AA104), rocket23 * SUM($J104:$K104, $O104:$P104, $U104:$V104, $Z104:$AA104), IF($AD104 &gt; climbThreshold, climb), IF($AC104 &gt; assistThreshold, $AC104 * assist), $AH104 * penalty, dropHatch * $AI104, tippedBroke * SUM($AE104:$AF104),  IF( $E104 &lt; noAutoThreshold, noAuto), IF($C104 &lt; doesNothingThreshold, doesNothing, IF($AD104 &gt;1.45, 2) )), "h")</f>
        <v>-21</v>
      </c>
      <c r="AL104">
        <f>SUM(hHatch * SUM($H104:$K104), hHatch * SUM($S104:$V104), hRocket23 * SUM($J104:$K104), hRocket23 * SUM($U104:$V104), hSandstorm * SUM($H104:$K104), hPenalty * $AH104, hDropHatch * $AI104,hTippedBroke * SUM($AE104:$AF104), IF($E104 &lt; hNoAutoThreshold, hNoAuto), IF($AG104 &gt; hFloorHatchThreshold, hFloorHatch))</f>
        <v>-1.5</v>
      </c>
      <c r="AM104">
        <f>SUM(cCargo * SUM($M104:$P104), cCargo *SUM( $X104:$AA104), cRocket23 * SUM($O104:$P104, $Z104:$AA104),cSandstorm * SUM($M104:$P104), cPenalty * $AH104, cTippedBroke * SUM($AE104:$AF104), IF($E104 &lt; cNoAutoThreshold, cNoAuto, 0))</f>
        <v>-1</v>
      </c>
    </row>
    <row r="105" spans="1:39" ht="15.75" thickBot="1">
      <c r="A105">
        <v>7614</v>
      </c>
      <c r="B105" t="s">
        <v>233</v>
      </c>
      <c r="C105">
        <f>PRODUCT($E105,3)+PRODUCT(SUM($H105:$K105),2)+PRODUCT(SUM($M105:$P105),3)+PRODUCT(SUM($S105:$V105),2)+PRODUCT(SUM($X105:$AA105), 3)+IF($AC105 &gt; 2, PRODUCT(SUM($AC105, -1),6), PRODUCT($AC105,3)) + IF($AD105 &gt; 2, PRODUCT(SUM($AD105, -1),6), PRODUCT($AD105,3)) + PRODUCT($AH105, -1)</f>
        <v>11</v>
      </c>
      <c r="D105">
        <f>PRODUCT(SUM($H105:$I105), 2) + PRODUCT(SUM($M105:$N105),3) + PRODUCT(SUM($S105:$T105), 2) + PRODUCT(SUM($X105:$Y105), 3)</f>
        <v>5.75</v>
      </c>
      <c r="E105">
        <f>IF( COUNTIF('Raw Data'!$A$3:$A$2927,$A105)=0,0,SUMIF('Raw Data'!$A$3:$A$2927, $A105,'Raw Data'!D$3:D$2927) / COUNTIF('Raw Data'!$A$3:$A$2927,$A105))</f>
        <v>1</v>
      </c>
      <c r="F105">
        <f t="array" ref="F105">MAX(IF('Raw Data'!$A$3:$A$927=$A105, 'Raw Data'!$O$3:$O$927))</f>
        <v>1</v>
      </c>
      <c r="G105">
        <f t="array" ref="G105">MAX(IF('Raw Data'!$A$3:$A$927=$A105, 'Raw Data'!$I$3:$I$927))</f>
        <v>1</v>
      </c>
      <c r="H105">
        <f>IF( COUNTIF('Raw Data'!$A$3:$A$2927,$A105)=0,0,SUMIF('Raw Data'!$A$3:$A$2927, $A105,'Raw Data'!E$3:E$2927) / COUNTIF('Raw Data'!$A$3:$A$2927,$A105))</f>
        <v>0.125</v>
      </c>
      <c r="I105">
        <f>IF( COUNTIF('Raw Data'!$A$3:$A$2927,$A105)=0,0,SUMIF('Raw Data'!$A$3:$A$2927, $A105,'Raw Data'!F$3:F$2927) / COUNTIF('Raw Data'!$A$3:$A$2927,$A105))</f>
        <v>0</v>
      </c>
      <c r="J105">
        <f>IF( COUNTIF('Raw Data'!$A$3:$A$2927,$A105)=0,0,SUMIF('Raw Data'!$A$3:$A$2927, $A105,'Raw Data'!G$3:G$2927) / COUNTIF('Raw Data'!$A$3:$A$2927,$A105))</f>
        <v>0</v>
      </c>
      <c r="K105">
        <f>IF( COUNTIF('Raw Data'!$A$3:$A$2927,$A105)=0,0,SUMIF('Raw Data'!$A$3:$A$2927, $A105,'Raw Data'!H$3:H$2927) / COUNTIF('Raw Data'!$A$3:$A$2927,$A105))</f>
        <v>0</v>
      </c>
      <c r="L105">
        <f t="array" ref="L105">MAX(IF('Raw Data'!$A$3:$A$927=$A105, 'Raw Data'!$N$3:$N$927))</f>
        <v>1</v>
      </c>
      <c r="M105">
        <f>IF( COUNTIF('Raw Data'!$A$3:$A$2927,$A105)=0,0,SUMIF('Raw Data'!$A$3:$A$2927, $A105,'Raw Data'!J$3:J$2927) / COUNTIF('Raw Data'!$A$3:$A$2927,$A105))</f>
        <v>0.25</v>
      </c>
      <c r="N105">
        <f>IF( COUNTIF('Raw Data'!$A$3:$A$2927,$A105)=0,0,SUMIF('Raw Data'!$A$3:$A$2927, $A105,'Raw Data'!K$3:K$2927) / COUNTIF('Raw Data'!$A$3:$A$2927,$A105))</f>
        <v>0</v>
      </c>
      <c r="O105">
        <f>IF( COUNTIF('Raw Data'!$A$3:$A$2927,$A105)=0,0,SUMIF('Raw Data'!$A$3:$A$2927, $A105,'Raw Data'!L$3:L$2927) / COUNTIF('Raw Data'!$A$3:$A$2927,$A105))</f>
        <v>0</v>
      </c>
      <c r="P105" s="58">
        <f>IF( COUNTIF('Raw Data'!$A$3:$A$2927,$A105)=0,0,SUMIF('Raw Data'!$A$3:$A$2927, $A105,'Raw Data'!M$3:M$2927) / COUNTIF('Raw Data'!$A$3:$A$2927,$A105))</f>
        <v>0</v>
      </c>
      <c r="Q105">
        <f t="array" ref="Q105">MAX(IF('Raw Data'!$A$3:$A$927=$A105, 'Raw Data'!$Z$3:$Z$927))</f>
        <v>3</v>
      </c>
      <c r="R105">
        <f t="array" ref="R105">MAX(IF('Raw Data'!$A$3:$A$927=$A105, 'Raw Data'!$T$3:$T$927))</f>
        <v>1</v>
      </c>
      <c r="S105" s="118">
        <f>IF( COUNTIF('Raw Data'!$A$3:$A$2927,$A105)=0,0,SUMIF('Raw Data'!$A$3:$A$2927, $A105,'Raw Data'!P$3:P$2927) / COUNTIF('Raw Data'!$A$3:$A$2927,$A105))</f>
        <v>0.125</v>
      </c>
      <c r="T105">
        <f>IF( COUNTIF('Raw Data'!$A$3:$A$2927,$A105)=0,0,SUMIF('Raw Data'!$A$3:$A$2927, $A105,'Raw Data'!Q$3:Q$2927) / COUNTIF('Raw Data'!$A$3:$A$2927,$A105))</f>
        <v>0</v>
      </c>
      <c r="U105">
        <f>IF( COUNTIF('Raw Data'!$A$3:$A$2927,$A105)=0,0,SUMIF('Raw Data'!$A$3:$A$2927, $A105,'Raw Data'!R$3:R$2927) / COUNTIF('Raw Data'!$A$3:$A$2927,$A105))</f>
        <v>0</v>
      </c>
      <c r="V105">
        <f>IF( COUNTIF('Raw Data'!$A$3:$A$2927,$A105)=0,0,SUMIF('Raw Data'!$A$3:$A$2927, $A105,'Raw Data'!S$3:S$2927) / COUNTIF('Raw Data'!$A$3:$A$2927,$A105))</f>
        <v>0</v>
      </c>
      <c r="W105">
        <f t="array" ref="W105">MAX(IF('Raw Data'!$A$3:$A$927=$A105, 'Raw Data'!$Y$3:$Y$927))</f>
        <v>3</v>
      </c>
      <c r="X105">
        <f>IF( COUNTIF('Raw Data'!$A$3:$A$2927,$A105)=0,0,SUMIF('Raw Data'!$A$3:$A$2927, $A105,'Raw Data'!U$3:U$2927) / COUNTIF('Raw Data'!$A$3:$A$2927,$A105))</f>
        <v>1.5</v>
      </c>
      <c r="Y105">
        <f>IF( COUNTIF('Raw Data'!$A$3:$A$2927,$A105)=0,0,SUMIF('Raw Data'!$A$3:$A$2927, $A105,'Raw Data'!V$3:V$2927) / COUNTIF('Raw Data'!$A$3:$A$2927,$A105))</f>
        <v>0</v>
      </c>
      <c r="Z105">
        <f>IF( COUNTIF('Raw Data'!$A$3:$A$2927,$A105)=0,0,SUMIF('Raw Data'!$A$3:$A$2927, $A105,'Raw Data'!W$3:W$2927) / COUNTIF('Raw Data'!$A$3:$A$2927,$A105))</f>
        <v>0</v>
      </c>
      <c r="AA105">
        <f>IF( COUNTIF('Raw Data'!$A$3:$A$2927,$A105)=0,0,SUMIF('Raw Data'!$A$3:$A$2927, $A105,'Raw Data'!X$3:X$2927) / COUNTIF('Raw Data'!$A$3:$A$2927,$A105))</f>
        <v>0</v>
      </c>
      <c r="AB105">
        <f>IF( COUNTIF('Raw Data'!$A$3:$A$2927,$A105)=0,0,SUMIF('Raw Data'!$A$3:$A$2927, $A105,'Raw Data'!AA$3:AA$2927) / COUNTIF('Raw Data'!$A$3:$A$2927,$A105))</f>
        <v>0</v>
      </c>
      <c r="AC105">
        <f>IF( COUNTIF('Raw Data'!$A$3:$A$2927,$A105)=0,0,SUMIF('Raw Data'!$A$3:$A$2927, $A105,'Raw Data'!AB$3:AB$2927) / COUNTIF('Raw Data'!$A$3:$A$2927,$A105))</f>
        <v>0</v>
      </c>
      <c r="AD105">
        <f>IF( COUNTIF('Raw Data'!$A$3:$A$2927,$A105)=0,0,SUMIF('Raw Data'!$A$3:$A$2927, $A105,'Raw Data'!AC$3:AC$2927) / COUNTIF('Raw Data'!$A$3:$A$2927,$A105))</f>
        <v>0.75</v>
      </c>
      <c r="AE105" s="117">
        <f>IF( COUNTIF('Raw Data'!$A$3:$A$2927,$A105)=0,0,SUMIF('Raw Data'!$A$3:$A$2927, $A105,'Raw Data'!AD$3:AD$2927) / COUNTIF('Raw Data'!$A$3:$A$2927,$A105))</f>
        <v>0</v>
      </c>
      <c r="AF105">
        <f>IF( COUNTIF('Raw Data'!$A$3:$A$2927,$A105)=0,0,SUMIF('Raw Data'!$A$3:$A$2927, $A105,'Raw Data'!AE$3:AE$2927) / COUNTIF('Raw Data'!$A$3:$A$2927,$A105))</f>
        <v>0.125</v>
      </c>
      <c r="AG105">
        <f>IF( COUNTIF('Raw Data'!$A$3:$A$2927,$A105)=0,0,SUMIF('Raw Data'!$A$3:$A$2927, $A105,'Raw Data'!AF$3:AF$2927) / COUNTIF('Raw Data'!$A$3:$A$2927,$A105))</f>
        <v>0</v>
      </c>
      <c r="AH105">
        <f>IF( COUNTIF('Raw Data'!$A$3:$A$2927,$A105)=0,0,SUMIF('Raw Data'!$A$3:$A$2927, $A105,'Raw Data'!AG$3:AG$2927) / COUNTIF('Raw Data'!$A$3:$A$2927,$A105))</f>
        <v>0</v>
      </c>
      <c r="AI105">
        <f>IF( COUNTIF('Raw Data'!$A$3:$A$2927,$A105)=0,0,SUMIF('Raw Data'!$A$3:$A$2927, $A105,'Raw Data'!AH$3:AH$2927) / COUNTIF('Raw Data'!$A$3:$A$2927,$A105))</f>
        <v>0.25</v>
      </c>
      <c r="AJ105" s="116">
        <f>COUNTIF('Raw Data'!A$3:A$2927, $A105)</f>
        <v>8</v>
      </c>
      <c r="AK105">
        <f>IFERROR(SUM(IF($E105 &gt;autoThreshold, auto), hatch * SUM($H105:$K105), cargo * SUM($M105:$P105),hatch * SUM( $S105:$V105), cargo * SUM($X105:$AA105), rocket23 * SUM($J105:$K105, $O105:$P105, $U105:$V105, $Z105:$AA105), IF($AD105 &gt; climbThreshold, climb), IF($AC105 &gt; assistThreshold, $AC105 * assist), $AH105 * penalty, dropHatch * $AI105, tippedBroke * SUM($AE105:$AF105),  IF( $E105 &lt; noAutoThreshold, noAuto), IF($C105 &lt; doesNothingThreshold, doesNothing, IF($AD105 &gt;1.45, 2) )), "h")</f>
        <v>0.65500000000000003</v>
      </c>
      <c r="AL105">
        <f>SUM(hHatch * SUM($H105:$K105), hHatch * SUM($S105:$V105), hRocket23 * SUM($J105:$K105), hRocket23 * SUM($U105:$V105), hSandstorm * SUM($H105:$K105), hPenalty * $AH105, hDropHatch * $AI105,hTippedBroke * SUM($AE105:$AF105), IF($E105 &lt; hNoAutoThreshold, hNoAuto), IF($AG105 &gt; hFloorHatchThreshold, hFloorHatch))</f>
        <v>-0.4375</v>
      </c>
      <c r="AM105">
        <f>SUM(cCargo * SUM($M105:$P105), cCargo *SUM( $X105:$AA105), cRocket23 * SUM($O105:$P105, $Z105:$AA105),cSandstorm * SUM($M105:$P105), cPenalty * $AH105, cTippedBroke * SUM($AE105:$AF105), IF($E105 &lt; cNoAutoThreshold, cNoAuto, 0))</f>
        <v>1.5625</v>
      </c>
    </row>
    <row r="106" spans="1:39" ht="15.75" thickBot="1">
      <c r="A106">
        <v>7659</v>
      </c>
      <c r="B106" t="s">
        <v>501</v>
      </c>
      <c r="C106">
        <f>PRODUCT($E106,3)+PRODUCT(SUM($H106:$K106),2)+PRODUCT(SUM($M106:$P106),3)+PRODUCT(SUM($S106:$V106),2)+PRODUCT(SUM($X106:$AA106), 3)+IF($AC106 &gt; 2, PRODUCT(SUM($AC106, -1),6), PRODUCT($AC106,3)) + IF($AD106 &gt; 2, PRODUCT(SUM($AD106, -1),6), PRODUCT($AD106,3)) + PRODUCT($AH106, -1)</f>
        <v>0</v>
      </c>
      <c r="D106">
        <f>PRODUCT(SUM($H106:$I106), 2) + PRODUCT(SUM($M106:$N106),3) + PRODUCT(SUM($S106:$T106), 2) + PRODUCT(SUM($X106:$Y106), 3)</f>
        <v>0</v>
      </c>
      <c r="E106">
        <f>IF( COUNTIF('Raw Data'!$A$3:$A$2927,$A106)=0,0,SUMIF('Raw Data'!$A$3:$A$2927, $A106,'Raw Data'!D$3:D$2927) / COUNTIF('Raw Data'!$A$3:$A$2927,$A106))</f>
        <v>0</v>
      </c>
      <c r="F106">
        <f t="array" ref="F106">MAX(IF('Raw Data'!$A$3:$A$927=$A106, 'Raw Data'!$O$3:$O$927))</f>
        <v>0</v>
      </c>
      <c r="G106">
        <f t="array" ref="G106">MAX(IF('Raw Data'!$A$3:$A$927=$A106, 'Raw Data'!$I$3:$I$927))</f>
        <v>0</v>
      </c>
      <c r="H106">
        <f>IF( COUNTIF('Raw Data'!$A$3:$A$2927,$A106)=0,0,SUMIF('Raw Data'!$A$3:$A$2927, $A106,'Raw Data'!E$3:E$2927) / COUNTIF('Raw Data'!$A$3:$A$2927,$A106))</f>
        <v>0</v>
      </c>
      <c r="I106">
        <f>IF( COUNTIF('Raw Data'!$A$3:$A$2927,$A106)=0,0,SUMIF('Raw Data'!$A$3:$A$2927, $A106,'Raw Data'!F$3:F$2927) / COUNTIF('Raw Data'!$A$3:$A$2927,$A106))</f>
        <v>0</v>
      </c>
      <c r="J106">
        <f>IF( COUNTIF('Raw Data'!$A$3:$A$2927,$A106)=0,0,SUMIF('Raw Data'!$A$3:$A$2927, $A106,'Raw Data'!G$3:G$2927) / COUNTIF('Raw Data'!$A$3:$A$2927,$A106))</f>
        <v>0</v>
      </c>
      <c r="K106">
        <f>IF( COUNTIF('Raw Data'!$A$3:$A$2927,$A106)=0,0,SUMIF('Raw Data'!$A$3:$A$2927, $A106,'Raw Data'!H$3:H$2927) / COUNTIF('Raw Data'!$A$3:$A$2927,$A106))</f>
        <v>0</v>
      </c>
      <c r="L106">
        <f t="array" ref="L106">MAX(IF('Raw Data'!$A$3:$A$927=$A106, 'Raw Data'!$N$3:$N$927))</f>
        <v>0</v>
      </c>
      <c r="M106">
        <f>IF( COUNTIF('Raw Data'!$A$3:$A$2927,$A106)=0,0,SUMIF('Raw Data'!$A$3:$A$2927, $A106,'Raw Data'!J$3:J$2927) / COUNTIF('Raw Data'!$A$3:$A$2927,$A106))</f>
        <v>0</v>
      </c>
      <c r="N106">
        <f>IF( COUNTIF('Raw Data'!$A$3:$A$2927,$A106)=0,0,SUMIF('Raw Data'!$A$3:$A$2927, $A106,'Raw Data'!K$3:K$2927) / COUNTIF('Raw Data'!$A$3:$A$2927,$A106))</f>
        <v>0</v>
      </c>
      <c r="O106">
        <f>IF( COUNTIF('Raw Data'!$A$3:$A$2927,$A106)=0,0,SUMIF('Raw Data'!$A$3:$A$2927, $A106,'Raw Data'!L$3:L$2927) / COUNTIF('Raw Data'!$A$3:$A$2927,$A106))</f>
        <v>0</v>
      </c>
      <c r="P106" s="58">
        <f>IF( COUNTIF('Raw Data'!$A$3:$A$2927,$A106)=0,0,SUMIF('Raw Data'!$A$3:$A$2927, $A106,'Raw Data'!M$3:M$2927) / COUNTIF('Raw Data'!$A$3:$A$2927,$A106))</f>
        <v>0</v>
      </c>
      <c r="Q106">
        <f t="array" ref="Q106">MAX(IF('Raw Data'!$A$3:$A$927=$A106, 'Raw Data'!$Z$3:$Z$927))</f>
        <v>0</v>
      </c>
      <c r="R106">
        <f t="array" ref="R106">MAX(IF('Raw Data'!$A$3:$A$927=$A106, 'Raw Data'!$T$3:$T$927))</f>
        <v>0</v>
      </c>
      <c r="S106" s="118">
        <f>IF( COUNTIF('Raw Data'!$A$3:$A$2927,$A106)=0,0,SUMIF('Raw Data'!$A$3:$A$2927, $A106,'Raw Data'!P$3:P$2927) / COUNTIF('Raw Data'!$A$3:$A$2927,$A106))</f>
        <v>0</v>
      </c>
      <c r="T106">
        <f>IF( COUNTIF('Raw Data'!$A$3:$A$2927,$A106)=0,0,SUMIF('Raw Data'!$A$3:$A$2927, $A106,'Raw Data'!Q$3:Q$2927) / COUNTIF('Raw Data'!$A$3:$A$2927,$A106))</f>
        <v>0</v>
      </c>
      <c r="U106">
        <f>IF( COUNTIF('Raw Data'!$A$3:$A$2927,$A106)=0,0,SUMIF('Raw Data'!$A$3:$A$2927, $A106,'Raw Data'!R$3:R$2927) / COUNTIF('Raw Data'!$A$3:$A$2927,$A106))</f>
        <v>0</v>
      </c>
      <c r="V106">
        <f>IF( COUNTIF('Raw Data'!$A$3:$A$2927,$A106)=0,0,SUMIF('Raw Data'!$A$3:$A$2927, $A106,'Raw Data'!S$3:S$2927) / COUNTIF('Raw Data'!$A$3:$A$2927,$A106))</f>
        <v>0</v>
      </c>
      <c r="W106">
        <f t="array" ref="W106">MAX(IF('Raw Data'!$A$3:$A$927=$A106, 'Raw Data'!$Y$3:$Y$927))</f>
        <v>0</v>
      </c>
      <c r="X106">
        <f>IF( COUNTIF('Raw Data'!$A$3:$A$2927,$A106)=0,0,SUMIF('Raw Data'!$A$3:$A$2927, $A106,'Raw Data'!U$3:U$2927) / COUNTIF('Raw Data'!$A$3:$A$2927,$A106))</f>
        <v>0</v>
      </c>
      <c r="Y106">
        <f>IF( COUNTIF('Raw Data'!$A$3:$A$2927,$A106)=0,0,SUMIF('Raw Data'!$A$3:$A$2927, $A106,'Raw Data'!V$3:V$2927) / COUNTIF('Raw Data'!$A$3:$A$2927,$A106))</f>
        <v>0</v>
      </c>
      <c r="Z106">
        <f>IF( COUNTIF('Raw Data'!$A$3:$A$2927,$A106)=0,0,SUMIF('Raw Data'!$A$3:$A$2927, $A106,'Raw Data'!W$3:W$2927) / COUNTIF('Raw Data'!$A$3:$A$2927,$A106))</f>
        <v>0</v>
      </c>
      <c r="AA106">
        <f>IF( COUNTIF('Raw Data'!$A$3:$A$2927,$A106)=0,0,SUMIF('Raw Data'!$A$3:$A$2927, $A106,'Raw Data'!X$3:X$2927) / COUNTIF('Raw Data'!$A$3:$A$2927,$A106))</f>
        <v>0</v>
      </c>
      <c r="AB106">
        <f>IF( COUNTIF('Raw Data'!$A$3:$A$2927,$A106)=0,0,SUMIF('Raw Data'!$A$3:$A$2927, $A106,'Raw Data'!AA$3:AA$2927) / COUNTIF('Raw Data'!$A$3:$A$2927,$A106))</f>
        <v>0</v>
      </c>
      <c r="AC106">
        <f>IF( COUNTIF('Raw Data'!$A$3:$A$2927,$A106)=0,0,SUMIF('Raw Data'!$A$3:$A$2927, $A106,'Raw Data'!AB$3:AB$2927) / COUNTIF('Raw Data'!$A$3:$A$2927,$A106))</f>
        <v>0</v>
      </c>
      <c r="AD106">
        <f>IF( COUNTIF('Raw Data'!$A$3:$A$2927,$A106)=0,0,SUMIF('Raw Data'!$A$3:$A$2927, $A106,'Raw Data'!AC$3:AC$2927) / COUNTIF('Raw Data'!$A$3:$A$2927,$A106))</f>
        <v>0</v>
      </c>
      <c r="AE106" s="117">
        <f>IF( COUNTIF('Raw Data'!$A$3:$A$2927,$A106)=0,0,SUMIF('Raw Data'!$A$3:$A$2927, $A106,'Raw Data'!AD$3:AD$2927) / COUNTIF('Raw Data'!$A$3:$A$2927,$A106))</f>
        <v>0</v>
      </c>
      <c r="AF106">
        <f>IF( COUNTIF('Raw Data'!$A$3:$A$2927,$A106)=0,0,SUMIF('Raw Data'!$A$3:$A$2927, $A106,'Raw Data'!AE$3:AE$2927) / COUNTIF('Raw Data'!$A$3:$A$2927,$A106))</f>
        <v>0</v>
      </c>
      <c r="AG106">
        <f>IF( COUNTIF('Raw Data'!$A$3:$A$2927,$A106)=0,0,SUMIF('Raw Data'!$A$3:$A$2927, $A106,'Raw Data'!AF$3:AF$2927) / COUNTIF('Raw Data'!$A$3:$A$2927,$A106))</f>
        <v>0</v>
      </c>
      <c r="AH106">
        <f>IF( COUNTIF('Raw Data'!$A$3:$A$2927,$A106)=0,0,SUMIF('Raw Data'!$A$3:$A$2927, $A106,'Raw Data'!AG$3:AG$2927) / COUNTIF('Raw Data'!$A$3:$A$2927,$A106))</f>
        <v>0</v>
      </c>
      <c r="AI106">
        <f>IF( COUNTIF('Raw Data'!$A$3:$A$2927,$A106)=0,0,SUMIF('Raw Data'!$A$3:$A$2927, $A106,'Raw Data'!AH$3:AH$2927) / COUNTIF('Raw Data'!$A$3:$A$2927,$A106))</f>
        <v>0</v>
      </c>
      <c r="AJ106" s="116">
        <f>COUNTIF('Raw Data'!A$3:A$2927, $A106)</f>
        <v>0</v>
      </c>
      <c r="AK106">
        <f>IFERROR(SUM(IF($E106 &gt;autoThreshold, auto), hatch * SUM($H106:$K106), cargo * SUM($M106:$P106),hatch * SUM( $S106:$V106), cargo * SUM($X106:$AA106), rocket23 * SUM($J106:$K106, $O106:$P106, $U106:$V106, $Z106:$AA106), IF($AD106 &gt; climbThreshold, climb), IF($AC106 &gt; assistThreshold, $AC106 * assist), $AH106 * penalty, dropHatch * $AI106, tippedBroke * SUM($AE106:$AF106),  IF( $E106 &lt; noAutoThreshold, noAuto), IF($C106 &lt; doesNothingThreshold, doesNothing, IF($AD106 &gt;1.45, 2) )), "h")</f>
        <v>-21</v>
      </c>
      <c r="AL106">
        <f>SUM(hHatch * SUM($H106:$K106), hHatch * SUM($S106:$V106), hRocket23 * SUM($J106:$K106), hRocket23 * SUM($U106:$V106), hSandstorm * SUM($H106:$K106), hPenalty * $AH106, hDropHatch * $AI106,hTippedBroke * SUM($AE106:$AF106), IF($E106 &lt; hNoAutoThreshold, hNoAuto), IF($AG106 &gt; hFloorHatchThreshold, hFloorHatch))</f>
        <v>-1.5</v>
      </c>
      <c r="AM106">
        <f>SUM(cCargo * SUM($M106:$P106), cCargo *SUM( $X106:$AA106), cRocket23 * SUM($O106:$P106, $Z106:$AA106),cSandstorm * SUM($M106:$P106), cPenalty * $AH106, cTippedBroke * SUM($AE106:$AF106), IF($E106 &lt; cNoAutoThreshold, cNoAuto, 0))</f>
        <v>-1</v>
      </c>
    </row>
    <row r="107" spans="1:39" ht="15.75" thickBot="1">
      <c r="A107">
        <v>7664</v>
      </c>
      <c r="B107" t="s">
        <v>461</v>
      </c>
      <c r="C107">
        <f>PRODUCT($E107,3)+PRODUCT(SUM($H107:$K107),2)+PRODUCT(SUM($M107:$P107),3)+PRODUCT(SUM($S107:$V107),2)+PRODUCT(SUM($X107:$AA107), 3)+IF($AC107 &gt; 2, PRODUCT(SUM($AC107, -1),6), PRODUCT($AC107,3)) + IF($AD107 &gt; 2, PRODUCT(SUM($AD107, -1),6), PRODUCT($AD107,3)) + PRODUCT($AH107, -1)</f>
        <v>0</v>
      </c>
      <c r="D107">
        <f>PRODUCT(SUM($H107:$I107), 2) + PRODUCT(SUM($M107:$N107),3) + PRODUCT(SUM($S107:$T107), 2) + PRODUCT(SUM($X107:$Y107), 3)</f>
        <v>0</v>
      </c>
      <c r="E107">
        <f>IF( COUNTIF('Raw Data'!$A$3:$A$2927,$A107)=0,0,SUMIF('Raw Data'!$A$3:$A$2927, $A107,'Raw Data'!D$3:D$2927) / COUNTIF('Raw Data'!$A$3:$A$2927,$A107))</f>
        <v>0</v>
      </c>
      <c r="F107">
        <f t="array" ref="F107">MAX(IF('Raw Data'!$A$3:$A$927=$A107, 'Raw Data'!$O$3:$O$927))</f>
        <v>0</v>
      </c>
      <c r="G107">
        <f t="array" ref="G107">MAX(IF('Raw Data'!$A$3:$A$927=$A107, 'Raw Data'!$I$3:$I$927))</f>
        <v>0</v>
      </c>
      <c r="H107">
        <f>IF( COUNTIF('Raw Data'!$A$3:$A$2927,$A107)=0,0,SUMIF('Raw Data'!$A$3:$A$2927, $A107,'Raw Data'!E$3:E$2927) / COUNTIF('Raw Data'!$A$3:$A$2927,$A107))</f>
        <v>0</v>
      </c>
      <c r="I107">
        <f>IF( COUNTIF('Raw Data'!$A$3:$A$2927,$A107)=0,0,SUMIF('Raw Data'!$A$3:$A$2927, $A107,'Raw Data'!F$3:F$2927) / COUNTIF('Raw Data'!$A$3:$A$2927,$A107))</f>
        <v>0</v>
      </c>
      <c r="J107">
        <f>IF( COUNTIF('Raw Data'!$A$3:$A$2927,$A107)=0,0,SUMIF('Raw Data'!$A$3:$A$2927, $A107,'Raw Data'!G$3:G$2927) / COUNTIF('Raw Data'!$A$3:$A$2927,$A107))</f>
        <v>0</v>
      </c>
      <c r="K107">
        <f>IF( COUNTIF('Raw Data'!$A$3:$A$2927,$A107)=0,0,SUMIF('Raw Data'!$A$3:$A$2927, $A107,'Raw Data'!H$3:H$2927) / COUNTIF('Raw Data'!$A$3:$A$2927,$A107))</f>
        <v>0</v>
      </c>
      <c r="L107">
        <f t="array" ref="L107">MAX(IF('Raw Data'!$A$3:$A$927=$A107, 'Raw Data'!$N$3:$N$927))</f>
        <v>0</v>
      </c>
      <c r="M107">
        <f>IF( COUNTIF('Raw Data'!$A$3:$A$2927,$A107)=0,0,SUMIF('Raw Data'!$A$3:$A$2927, $A107,'Raw Data'!J$3:J$2927) / COUNTIF('Raw Data'!$A$3:$A$2927,$A107))</f>
        <v>0</v>
      </c>
      <c r="N107">
        <f>IF( COUNTIF('Raw Data'!$A$3:$A$2927,$A107)=0,0,SUMIF('Raw Data'!$A$3:$A$2927, $A107,'Raw Data'!K$3:K$2927) / COUNTIF('Raw Data'!$A$3:$A$2927,$A107))</f>
        <v>0</v>
      </c>
      <c r="O107">
        <f>IF( COUNTIF('Raw Data'!$A$3:$A$2927,$A107)=0,0,SUMIF('Raw Data'!$A$3:$A$2927, $A107,'Raw Data'!L$3:L$2927) / COUNTIF('Raw Data'!$A$3:$A$2927,$A107))</f>
        <v>0</v>
      </c>
      <c r="P107" s="58">
        <f>IF( COUNTIF('Raw Data'!$A$3:$A$2927,$A107)=0,0,SUMIF('Raw Data'!$A$3:$A$2927, $A107,'Raw Data'!M$3:M$2927) / COUNTIF('Raw Data'!$A$3:$A$2927,$A107))</f>
        <v>0</v>
      </c>
      <c r="Q107">
        <f t="array" ref="Q107">MAX(IF('Raw Data'!$A$3:$A$927=$A107, 'Raw Data'!$Z$3:$Z$927))</f>
        <v>0</v>
      </c>
      <c r="R107">
        <f t="array" ref="R107">MAX(IF('Raw Data'!$A$3:$A$927=$A107, 'Raw Data'!$T$3:$T$927))</f>
        <v>0</v>
      </c>
      <c r="S107" s="118">
        <f>IF( COUNTIF('Raw Data'!$A$3:$A$2927,$A107)=0,0,SUMIF('Raw Data'!$A$3:$A$2927, $A107,'Raw Data'!P$3:P$2927) / COUNTIF('Raw Data'!$A$3:$A$2927,$A107))</f>
        <v>0</v>
      </c>
      <c r="T107">
        <f>IF( COUNTIF('Raw Data'!$A$3:$A$2927,$A107)=0,0,SUMIF('Raw Data'!$A$3:$A$2927, $A107,'Raw Data'!Q$3:Q$2927) / COUNTIF('Raw Data'!$A$3:$A$2927,$A107))</f>
        <v>0</v>
      </c>
      <c r="U107">
        <f>IF( COUNTIF('Raw Data'!$A$3:$A$2927,$A107)=0,0,SUMIF('Raw Data'!$A$3:$A$2927, $A107,'Raw Data'!R$3:R$2927) / COUNTIF('Raw Data'!$A$3:$A$2927,$A107))</f>
        <v>0</v>
      </c>
      <c r="V107">
        <f>IF( COUNTIF('Raw Data'!$A$3:$A$2927,$A107)=0,0,SUMIF('Raw Data'!$A$3:$A$2927, $A107,'Raw Data'!S$3:S$2927) / COUNTIF('Raw Data'!$A$3:$A$2927,$A107))</f>
        <v>0</v>
      </c>
      <c r="W107">
        <f t="array" ref="W107">MAX(IF('Raw Data'!$A$3:$A$927=$A107, 'Raw Data'!$Y$3:$Y$927))</f>
        <v>0</v>
      </c>
      <c r="X107">
        <f>IF( COUNTIF('Raw Data'!$A$3:$A$2927,$A107)=0,0,SUMIF('Raw Data'!$A$3:$A$2927, $A107,'Raw Data'!U$3:U$2927) / COUNTIF('Raw Data'!$A$3:$A$2927,$A107))</f>
        <v>0</v>
      </c>
      <c r="Y107">
        <f>IF( COUNTIF('Raw Data'!$A$3:$A$2927,$A107)=0,0,SUMIF('Raw Data'!$A$3:$A$2927, $A107,'Raw Data'!V$3:V$2927) / COUNTIF('Raw Data'!$A$3:$A$2927,$A107))</f>
        <v>0</v>
      </c>
      <c r="Z107">
        <f>IF( COUNTIF('Raw Data'!$A$3:$A$2927,$A107)=0,0,SUMIF('Raw Data'!$A$3:$A$2927, $A107,'Raw Data'!W$3:W$2927) / COUNTIF('Raw Data'!$A$3:$A$2927,$A107))</f>
        <v>0</v>
      </c>
      <c r="AA107">
        <f>IF( COUNTIF('Raw Data'!$A$3:$A$2927,$A107)=0,0,SUMIF('Raw Data'!$A$3:$A$2927, $A107,'Raw Data'!X$3:X$2927) / COUNTIF('Raw Data'!$A$3:$A$2927,$A107))</f>
        <v>0</v>
      </c>
      <c r="AB107">
        <f>IF( COUNTIF('Raw Data'!$A$3:$A$2927,$A107)=0,0,SUMIF('Raw Data'!$A$3:$A$2927, $A107,'Raw Data'!AA$3:AA$2927) / COUNTIF('Raw Data'!$A$3:$A$2927,$A107))</f>
        <v>0</v>
      </c>
      <c r="AC107">
        <f>IF( COUNTIF('Raw Data'!$A$3:$A$2927,$A107)=0,0,SUMIF('Raw Data'!$A$3:$A$2927, $A107,'Raw Data'!AB$3:AB$2927) / COUNTIF('Raw Data'!$A$3:$A$2927,$A107))</f>
        <v>0</v>
      </c>
      <c r="AD107">
        <f>IF( COUNTIF('Raw Data'!$A$3:$A$2927,$A107)=0,0,SUMIF('Raw Data'!$A$3:$A$2927, $A107,'Raw Data'!AC$3:AC$2927) / COUNTIF('Raw Data'!$A$3:$A$2927,$A107))</f>
        <v>0</v>
      </c>
      <c r="AE107" s="117">
        <f>IF( COUNTIF('Raw Data'!$A$3:$A$2927,$A107)=0,0,SUMIF('Raw Data'!$A$3:$A$2927, $A107,'Raw Data'!AD$3:AD$2927) / COUNTIF('Raw Data'!$A$3:$A$2927,$A107))</f>
        <v>0</v>
      </c>
      <c r="AF107">
        <f>IF( COUNTIF('Raw Data'!$A$3:$A$2927,$A107)=0,0,SUMIF('Raw Data'!$A$3:$A$2927, $A107,'Raw Data'!AE$3:AE$2927) / COUNTIF('Raw Data'!$A$3:$A$2927,$A107))</f>
        <v>0</v>
      </c>
      <c r="AG107">
        <f>IF( COUNTIF('Raw Data'!$A$3:$A$2927,$A107)=0,0,SUMIF('Raw Data'!$A$3:$A$2927, $A107,'Raw Data'!AF$3:AF$2927) / COUNTIF('Raw Data'!$A$3:$A$2927,$A107))</f>
        <v>0</v>
      </c>
      <c r="AH107">
        <f>IF( COUNTIF('Raw Data'!$A$3:$A$2927,$A107)=0,0,SUMIF('Raw Data'!$A$3:$A$2927, $A107,'Raw Data'!AG$3:AG$2927) / COUNTIF('Raw Data'!$A$3:$A$2927,$A107))</f>
        <v>0</v>
      </c>
      <c r="AI107">
        <f>IF( COUNTIF('Raw Data'!$A$3:$A$2927,$A107)=0,0,SUMIF('Raw Data'!$A$3:$A$2927, $A107,'Raw Data'!AH$3:AH$2927) / COUNTIF('Raw Data'!$A$3:$A$2927,$A107))</f>
        <v>0</v>
      </c>
      <c r="AJ107" s="116">
        <f>COUNTIF('Raw Data'!A$3:A$2927, $A107)</f>
        <v>0</v>
      </c>
      <c r="AK107">
        <f>IFERROR(SUM(IF($E107 &gt;autoThreshold, auto), hatch * SUM($H107:$K107), cargo * SUM($M107:$P107),hatch * SUM( $S107:$V107), cargo * SUM($X107:$AA107), rocket23 * SUM($J107:$K107, $O107:$P107, $U107:$V107, $Z107:$AA107), IF($AD107 &gt; climbThreshold, climb), IF($AC107 &gt; assistThreshold, $AC107 * assist), $AH107 * penalty, dropHatch * $AI107, tippedBroke * SUM($AE107:$AF107),  IF( $E107 &lt; noAutoThreshold, noAuto), IF($C107 &lt; doesNothingThreshold, doesNothing, IF($AD107 &gt;1.45, 2) )), "h")</f>
        <v>-21</v>
      </c>
      <c r="AL107">
        <f>SUM(hHatch * SUM($H107:$K107), hHatch * SUM($S107:$V107), hRocket23 * SUM($J107:$K107), hRocket23 * SUM($U107:$V107), hSandstorm * SUM($H107:$K107), hPenalty * $AH107, hDropHatch * $AI107,hTippedBroke * SUM($AE107:$AF107), IF($E107 &lt; hNoAutoThreshold, hNoAuto), IF($AG107 &gt; hFloorHatchThreshold, hFloorHatch))</f>
        <v>-1.5</v>
      </c>
      <c r="AM107">
        <f>SUM(cCargo * SUM($M107:$P107), cCargo *SUM( $X107:$AA107), cRocket23 * SUM($O107:$P107, $Z107:$AA107),cSandstorm * SUM($M107:$P107), cPenalty * $AH107, cTippedBroke * SUM($AE107:$AF107), IF($E107 &lt; cNoAutoThreshold, cNoAuto, 0))</f>
        <v>-1</v>
      </c>
    </row>
    <row r="108" spans="1:39" ht="15.75" thickBot="1">
      <c r="A108">
        <v>7690</v>
      </c>
      <c r="B108" t="s">
        <v>234</v>
      </c>
      <c r="C108">
        <f>PRODUCT($E108,3)+PRODUCT(SUM($H108:$K108),2)+PRODUCT(SUM($M108:$P108),3)+PRODUCT(SUM($S108:$V108),2)+PRODUCT(SUM($X108:$AA108), 3)+IF($AC108 &gt; 2, PRODUCT(SUM($AC108, -1),6), PRODUCT($AC108,3)) + IF($AD108 &gt; 2, PRODUCT(SUM($AD108, -1),6), PRODUCT($AD108,3)) + PRODUCT($AH108, -1)</f>
        <v>7</v>
      </c>
      <c r="D108">
        <f>PRODUCT(SUM($H108:$I108), 2) + PRODUCT(SUM($M108:$N108),3) + PRODUCT(SUM($S108:$T108), 2) + PRODUCT(SUM($X108:$Y108), 3)</f>
        <v>1.2727272727272727</v>
      </c>
      <c r="E108">
        <f>IF( COUNTIF('Raw Data'!$A$3:$A$2927,$A108)=0,0,SUMIF('Raw Data'!$A$3:$A$2927, $A108,'Raw Data'!D$3:D$2927) / COUNTIF('Raw Data'!$A$3:$A$2927,$A108))</f>
        <v>1.1818181818181819</v>
      </c>
      <c r="F108">
        <f t="array" ref="F108">MAX(IF('Raw Data'!$A$3:$A$927=$A108, 'Raw Data'!$O$3:$O$927))</f>
        <v>1</v>
      </c>
      <c r="G108">
        <f t="array" ref="G108">MAX(IF('Raw Data'!$A$3:$A$927=$A108, 'Raw Data'!$I$3:$I$927))</f>
        <v>1</v>
      </c>
      <c r="H108">
        <f>IF( COUNTIF('Raw Data'!$A$3:$A$2927,$A108)=0,0,SUMIF('Raw Data'!$A$3:$A$2927, $A108,'Raw Data'!E$3:E$2927) / COUNTIF('Raw Data'!$A$3:$A$2927,$A108))</f>
        <v>0</v>
      </c>
      <c r="I108">
        <f>IF( COUNTIF('Raw Data'!$A$3:$A$2927,$A108)=0,0,SUMIF('Raw Data'!$A$3:$A$2927, $A108,'Raw Data'!F$3:F$2927) / COUNTIF('Raw Data'!$A$3:$A$2927,$A108))</f>
        <v>9.0909090909090912E-2</v>
      </c>
      <c r="J108">
        <f>IF( COUNTIF('Raw Data'!$A$3:$A$2927,$A108)=0,0,SUMIF('Raw Data'!$A$3:$A$2927, $A108,'Raw Data'!G$3:G$2927) / COUNTIF('Raw Data'!$A$3:$A$2927,$A108))</f>
        <v>0</v>
      </c>
      <c r="K108">
        <f>IF( COUNTIF('Raw Data'!$A$3:$A$2927,$A108)=0,0,SUMIF('Raw Data'!$A$3:$A$2927, $A108,'Raw Data'!H$3:H$2927) / COUNTIF('Raw Data'!$A$3:$A$2927,$A108))</f>
        <v>0</v>
      </c>
      <c r="L108">
        <f t="array" ref="L108">MAX(IF('Raw Data'!$A$3:$A$927=$A108, 'Raw Data'!$N$3:$N$927))</f>
        <v>0</v>
      </c>
      <c r="M108">
        <f>IF( COUNTIF('Raw Data'!$A$3:$A$2927,$A108)=0,0,SUMIF('Raw Data'!$A$3:$A$2927, $A108,'Raw Data'!J$3:J$2927) / COUNTIF('Raw Data'!$A$3:$A$2927,$A108))</f>
        <v>0</v>
      </c>
      <c r="N108">
        <f>IF( COUNTIF('Raw Data'!$A$3:$A$2927,$A108)=0,0,SUMIF('Raw Data'!$A$3:$A$2927, $A108,'Raw Data'!K$3:K$2927) / COUNTIF('Raw Data'!$A$3:$A$2927,$A108))</f>
        <v>0</v>
      </c>
      <c r="O108">
        <f>IF( COUNTIF('Raw Data'!$A$3:$A$2927,$A108)=0,0,SUMIF('Raw Data'!$A$3:$A$2927, $A108,'Raw Data'!L$3:L$2927) / COUNTIF('Raw Data'!$A$3:$A$2927,$A108))</f>
        <v>0</v>
      </c>
      <c r="P108" s="58">
        <f>IF( COUNTIF('Raw Data'!$A$3:$A$2927,$A108)=0,0,SUMIF('Raw Data'!$A$3:$A$2927, $A108,'Raw Data'!M$3:M$2927) / COUNTIF('Raw Data'!$A$3:$A$2927,$A108))</f>
        <v>0</v>
      </c>
      <c r="Q108">
        <f t="array" ref="Q108">MAX(IF('Raw Data'!$A$3:$A$927=$A108, 'Raw Data'!$Z$3:$Z$927))</f>
        <v>2</v>
      </c>
      <c r="R108">
        <f t="array" ref="R108">MAX(IF('Raw Data'!$A$3:$A$927=$A108, 'Raw Data'!$T$3:$T$927))</f>
        <v>2</v>
      </c>
      <c r="S108" s="118">
        <f>IF( COUNTIF('Raw Data'!$A$3:$A$2927,$A108)=0,0,SUMIF('Raw Data'!$A$3:$A$2927, $A108,'Raw Data'!P$3:P$2927) / COUNTIF('Raw Data'!$A$3:$A$2927,$A108))</f>
        <v>0.45454545454545453</v>
      </c>
      <c r="T108">
        <f>IF( COUNTIF('Raw Data'!$A$3:$A$2927,$A108)=0,0,SUMIF('Raw Data'!$A$3:$A$2927, $A108,'Raw Data'!Q$3:Q$2927) / COUNTIF('Raw Data'!$A$3:$A$2927,$A108))</f>
        <v>9.0909090909090912E-2</v>
      </c>
      <c r="U108">
        <f>IF( COUNTIF('Raw Data'!$A$3:$A$2927,$A108)=0,0,SUMIF('Raw Data'!$A$3:$A$2927, $A108,'Raw Data'!R$3:R$2927) / COUNTIF('Raw Data'!$A$3:$A$2927,$A108))</f>
        <v>0</v>
      </c>
      <c r="V108">
        <f>IF( COUNTIF('Raw Data'!$A$3:$A$2927,$A108)=0,0,SUMIF('Raw Data'!$A$3:$A$2927, $A108,'Raw Data'!S$3:S$2927) / COUNTIF('Raw Data'!$A$3:$A$2927,$A108))</f>
        <v>0</v>
      </c>
      <c r="W108">
        <f t="array" ref="W108">MAX(IF('Raw Data'!$A$3:$A$927=$A108, 'Raw Data'!$Y$3:$Y$927))</f>
        <v>0</v>
      </c>
      <c r="X108">
        <f>IF( COUNTIF('Raw Data'!$A$3:$A$2927,$A108)=0,0,SUMIF('Raw Data'!$A$3:$A$2927, $A108,'Raw Data'!U$3:U$2927) / COUNTIF('Raw Data'!$A$3:$A$2927,$A108))</f>
        <v>0</v>
      </c>
      <c r="Y108">
        <f>IF( COUNTIF('Raw Data'!$A$3:$A$2927,$A108)=0,0,SUMIF('Raw Data'!$A$3:$A$2927, $A108,'Raw Data'!V$3:V$2927) / COUNTIF('Raw Data'!$A$3:$A$2927,$A108))</f>
        <v>0</v>
      </c>
      <c r="Z108">
        <f>IF( COUNTIF('Raw Data'!$A$3:$A$2927,$A108)=0,0,SUMIF('Raw Data'!$A$3:$A$2927, $A108,'Raw Data'!W$3:W$2927) / COUNTIF('Raw Data'!$A$3:$A$2927,$A108))</f>
        <v>0</v>
      </c>
      <c r="AA108">
        <f>IF( COUNTIF('Raw Data'!$A$3:$A$2927,$A108)=0,0,SUMIF('Raw Data'!$A$3:$A$2927, $A108,'Raw Data'!X$3:X$2927) / COUNTIF('Raw Data'!$A$3:$A$2927,$A108))</f>
        <v>0</v>
      </c>
      <c r="AB108">
        <f>IF( COUNTIF('Raw Data'!$A$3:$A$2927,$A108)=0,0,SUMIF('Raw Data'!$A$3:$A$2927, $A108,'Raw Data'!AA$3:AA$2927) / COUNTIF('Raw Data'!$A$3:$A$2927,$A108))</f>
        <v>1.8181818181818181</v>
      </c>
      <c r="AC108">
        <f>IF( COUNTIF('Raw Data'!$A$3:$A$2927,$A108)=0,0,SUMIF('Raw Data'!$A$3:$A$2927, $A108,'Raw Data'!AB$3:AB$2927) / COUNTIF('Raw Data'!$A$3:$A$2927,$A108))</f>
        <v>0</v>
      </c>
      <c r="AD108">
        <f>IF( COUNTIF('Raw Data'!$A$3:$A$2927,$A108)=0,0,SUMIF('Raw Data'!$A$3:$A$2927, $A108,'Raw Data'!AC$3:AC$2927) / COUNTIF('Raw Data'!$A$3:$A$2927,$A108))</f>
        <v>0.72727272727272729</v>
      </c>
      <c r="AE108" s="117">
        <f>IF( COUNTIF('Raw Data'!$A$3:$A$2927,$A108)=0,0,SUMIF('Raw Data'!$A$3:$A$2927, $A108,'Raw Data'!AD$3:AD$2927) / COUNTIF('Raw Data'!$A$3:$A$2927,$A108))</f>
        <v>0</v>
      </c>
      <c r="AF108">
        <f>IF( COUNTIF('Raw Data'!$A$3:$A$2927,$A108)=0,0,SUMIF('Raw Data'!$A$3:$A$2927, $A108,'Raw Data'!AE$3:AE$2927) / COUNTIF('Raw Data'!$A$3:$A$2927,$A108))</f>
        <v>0.36363636363636365</v>
      </c>
      <c r="AG108">
        <f>IF( COUNTIF('Raw Data'!$A$3:$A$2927,$A108)=0,0,SUMIF('Raw Data'!$A$3:$A$2927, $A108,'Raw Data'!AF$3:AF$2927) / COUNTIF('Raw Data'!$A$3:$A$2927,$A108))</f>
        <v>0</v>
      </c>
      <c r="AH108">
        <f>IF( COUNTIF('Raw Data'!$A$3:$A$2927,$A108)=0,0,SUMIF('Raw Data'!$A$3:$A$2927, $A108,'Raw Data'!AG$3:AG$2927) / COUNTIF('Raw Data'!$A$3:$A$2927,$A108))</f>
        <v>0</v>
      </c>
      <c r="AI108">
        <f>IF( COUNTIF('Raw Data'!$A$3:$A$2927,$A108)=0,0,SUMIF('Raw Data'!$A$3:$A$2927, $A108,'Raw Data'!AH$3:AH$2927) / COUNTIF('Raw Data'!$A$3:$A$2927,$A108))</f>
        <v>1.2727272727272727</v>
      </c>
      <c r="AJ108" s="116">
        <f>COUNTIF('Raw Data'!A$3:A$2927, $A108)</f>
        <v>11</v>
      </c>
      <c r="AK108">
        <f>IFERROR(SUM(IF($E108 &gt;autoThreshold, auto), hatch * SUM($H108:$K108), cargo * SUM($M108:$P108),hatch * SUM( $S108:$V108), cargo * SUM($X108:$AA108), rocket23 * SUM($J108:$K108, $O108:$P108, $U108:$V108, $Z108:$AA108), IF($AD108 &gt; climbThreshold, climb), IF($AC108 &gt; assistThreshold, $AC108 * assist), $AH108 * penalty, dropHatch * $AI108, tippedBroke * SUM($AE108:$AF108),  IF( $E108 &lt; noAutoThreshold, noAuto), IF($C108 &lt; doesNothingThreshold, doesNothing, IF($AD108 &gt;1.45, 2) )), "h")</f>
        <v>-2.6363636363636367</v>
      </c>
      <c r="AL108">
        <f>SUM(hHatch * SUM($H108:$K108), hHatch * SUM($S108:$V108), hRocket23 * SUM($J108:$K108), hRocket23 * SUM($U108:$V108), hSandstorm * SUM($H108:$K108), hPenalty * $AH108, hDropHatch * $AI108,hTippedBroke * SUM($AE108:$AF108), IF($E108 &lt; hNoAutoThreshold, hNoAuto), IF($AG108 &gt; hFloorHatchThreshold, hFloorHatch))</f>
        <v>-2.5909090909090908</v>
      </c>
      <c r="AM108">
        <f>SUM(cCargo * SUM($M108:$P108), cCargo *SUM( $X108:$AA108), cRocket23 * SUM($O108:$P108, $Z108:$AA108),cSandstorm * SUM($M108:$P108), cPenalty * $AH108, cTippedBroke * SUM($AE108:$AF108), IF($E108 &lt; cNoAutoThreshold, cNoAuto, 0))</f>
        <v>-0.72727272727272729</v>
      </c>
    </row>
    <row r="109" spans="1:39" ht="15.75" thickBot="1">
      <c r="A109">
        <v>7710</v>
      </c>
      <c r="B109" t="s">
        <v>235</v>
      </c>
      <c r="C109">
        <f>PRODUCT($E109,3)+PRODUCT(SUM($H109:$K109),2)+PRODUCT(SUM($M109:$P109),3)+PRODUCT(SUM($S109:$V109),2)+PRODUCT(SUM($X109:$AA109), 3)+IF($AC109 &gt; 2, PRODUCT(SUM($AC109, -1),6), PRODUCT($AC109,3)) + IF($AD109 &gt; 2, PRODUCT(SUM($AD109, -1),6), PRODUCT($AD109,3)) + PRODUCT($AH109, -1)</f>
        <v>10.571428571428571</v>
      </c>
      <c r="D109">
        <f>PRODUCT(SUM($H109:$I109), 2) + PRODUCT(SUM($M109:$N109),3) + PRODUCT(SUM($S109:$T109), 2) + PRODUCT(SUM($X109:$Y109), 3)</f>
        <v>2</v>
      </c>
      <c r="E109">
        <f>IF( COUNTIF('Raw Data'!$A$3:$A$2927,$A109)=0,0,SUMIF('Raw Data'!$A$3:$A$2927, $A109,'Raw Data'!D$3:D$2927) / COUNTIF('Raw Data'!$A$3:$A$2927,$A109))</f>
        <v>2</v>
      </c>
      <c r="F109">
        <f t="array" ref="F109">MAX(IF('Raw Data'!$A$3:$A$927=$A109, 'Raw Data'!$O$3:$O$927))</f>
        <v>1</v>
      </c>
      <c r="G109">
        <f t="array" ref="G109">MAX(IF('Raw Data'!$A$3:$A$927=$A109, 'Raw Data'!$I$3:$I$927))</f>
        <v>1</v>
      </c>
      <c r="H109">
        <f>IF( COUNTIF('Raw Data'!$A$3:$A$2927,$A109)=0,0,SUMIF('Raw Data'!$A$3:$A$2927, $A109,'Raw Data'!E$3:E$2927) / COUNTIF('Raw Data'!$A$3:$A$2927,$A109))</f>
        <v>0.14285714285714285</v>
      </c>
      <c r="I109">
        <f>IF( COUNTIF('Raw Data'!$A$3:$A$2927,$A109)=0,0,SUMIF('Raw Data'!$A$3:$A$2927, $A109,'Raw Data'!F$3:F$2927) / COUNTIF('Raw Data'!$A$3:$A$2927,$A109))</f>
        <v>0</v>
      </c>
      <c r="J109">
        <f>IF( COUNTIF('Raw Data'!$A$3:$A$2927,$A109)=0,0,SUMIF('Raw Data'!$A$3:$A$2927, $A109,'Raw Data'!G$3:G$2927) / COUNTIF('Raw Data'!$A$3:$A$2927,$A109))</f>
        <v>0</v>
      </c>
      <c r="K109">
        <f>IF( COUNTIF('Raw Data'!$A$3:$A$2927,$A109)=0,0,SUMIF('Raw Data'!$A$3:$A$2927, $A109,'Raw Data'!H$3:H$2927) / COUNTIF('Raw Data'!$A$3:$A$2927,$A109))</f>
        <v>0</v>
      </c>
      <c r="L109">
        <f t="array" ref="L109">MAX(IF('Raw Data'!$A$3:$A$927=$A109, 'Raw Data'!$N$3:$N$927))</f>
        <v>0</v>
      </c>
      <c r="M109">
        <f>IF( COUNTIF('Raw Data'!$A$3:$A$2927,$A109)=0,0,SUMIF('Raw Data'!$A$3:$A$2927, $A109,'Raw Data'!J$3:J$2927) / COUNTIF('Raw Data'!$A$3:$A$2927,$A109))</f>
        <v>0</v>
      </c>
      <c r="N109">
        <f>IF( COUNTIF('Raw Data'!$A$3:$A$2927,$A109)=0,0,SUMIF('Raw Data'!$A$3:$A$2927, $A109,'Raw Data'!K$3:K$2927) / COUNTIF('Raw Data'!$A$3:$A$2927,$A109))</f>
        <v>0</v>
      </c>
      <c r="O109">
        <f>IF( COUNTIF('Raw Data'!$A$3:$A$2927,$A109)=0,0,SUMIF('Raw Data'!$A$3:$A$2927, $A109,'Raw Data'!L$3:L$2927) / COUNTIF('Raw Data'!$A$3:$A$2927,$A109))</f>
        <v>0</v>
      </c>
      <c r="P109" s="58">
        <f>IF( COUNTIF('Raw Data'!$A$3:$A$2927,$A109)=0,0,SUMIF('Raw Data'!$A$3:$A$2927, $A109,'Raw Data'!M$3:M$2927) / COUNTIF('Raw Data'!$A$3:$A$2927,$A109))</f>
        <v>0</v>
      </c>
      <c r="Q109">
        <f t="array" ref="Q109">MAX(IF('Raw Data'!$A$3:$A$927=$A109, 'Raw Data'!$Z$3:$Z$927))</f>
        <v>2</v>
      </c>
      <c r="R109">
        <f t="array" ref="R109">MAX(IF('Raw Data'!$A$3:$A$927=$A109, 'Raw Data'!$T$3:$T$927))</f>
        <v>2</v>
      </c>
      <c r="S109" s="118">
        <f>IF( COUNTIF('Raw Data'!$A$3:$A$2927,$A109)=0,0,SUMIF('Raw Data'!$A$3:$A$2927, $A109,'Raw Data'!P$3:P$2927) / COUNTIF('Raw Data'!$A$3:$A$2927,$A109))</f>
        <v>0.14285714285714285</v>
      </c>
      <c r="T109">
        <f>IF( COUNTIF('Raw Data'!$A$3:$A$2927,$A109)=0,0,SUMIF('Raw Data'!$A$3:$A$2927, $A109,'Raw Data'!Q$3:Q$2927) / COUNTIF('Raw Data'!$A$3:$A$2927,$A109))</f>
        <v>0.7142857142857143</v>
      </c>
      <c r="U109">
        <f>IF( COUNTIF('Raw Data'!$A$3:$A$2927,$A109)=0,0,SUMIF('Raw Data'!$A$3:$A$2927, $A109,'Raw Data'!R$3:R$2927) / COUNTIF('Raw Data'!$A$3:$A$2927,$A109))</f>
        <v>0</v>
      </c>
      <c r="V109">
        <f>IF( COUNTIF('Raw Data'!$A$3:$A$2927,$A109)=0,0,SUMIF('Raw Data'!$A$3:$A$2927, $A109,'Raw Data'!S$3:S$2927) / COUNTIF('Raw Data'!$A$3:$A$2927,$A109))</f>
        <v>0</v>
      </c>
      <c r="W109">
        <f t="array" ref="W109">MAX(IF('Raw Data'!$A$3:$A$927=$A109, 'Raw Data'!$Y$3:$Y$927))</f>
        <v>0</v>
      </c>
      <c r="X109">
        <f>IF( COUNTIF('Raw Data'!$A$3:$A$2927,$A109)=0,0,SUMIF('Raw Data'!$A$3:$A$2927, $A109,'Raw Data'!U$3:U$2927) / COUNTIF('Raw Data'!$A$3:$A$2927,$A109))</f>
        <v>0</v>
      </c>
      <c r="Y109">
        <f>IF( COUNTIF('Raw Data'!$A$3:$A$2927,$A109)=0,0,SUMIF('Raw Data'!$A$3:$A$2927, $A109,'Raw Data'!V$3:V$2927) / COUNTIF('Raw Data'!$A$3:$A$2927,$A109))</f>
        <v>0</v>
      </c>
      <c r="Z109">
        <f>IF( COUNTIF('Raw Data'!$A$3:$A$2927,$A109)=0,0,SUMIF('Raw Data'!$A$3:$A$2927, $A109,'Raw Data'!W$3:W$2927) / COUNTIF('Raw Data'!$A$3:$A$2927,$A109))</f>
        <v>0</v>
      </c>
      <c r="AA109">
        <f>IF( COUNTIF('Raw Data'!$A$3:$A$2927,$A109)=0,0,SUMIF('Raw Data'!$A$3:$A$2927, $A109,'Raw Data'!X$3:X$2927) / COUNTIF('Raw Data'!$A$3:$A$2927,$A109))</f>
        <v>0</v>
      </c>
      <c r="AB109">
        <f>IF( COUNTIF('Raw Data'!$A$3:$A$2927,$A109)=0,0,SUMIF('Raw Data'!$A$3:$A$2927, $A109,'Raw Data'!AA$3:AA$2927) / COUNTIF('Raw Data'!$A$3:$A$2927,$A109))</f>
        <v>9.8571428571428577</v>
      </c>
      <c r="AC109">
        <f>IF( COUNTIF('Raw Data'!$A$3:$A$2927,$A109)=0,0,SUMIF('Raw Data'!$A$3:$A$2927, $A109,'Raw Data'!AB$3:AB$2927) / COUNTIF('Raw Data'!$A$3:$A$2927,$A109))</f>
        <v>0.14285714285714285</v>
      </c>
      <c r="AD109">
        <f>IF( COUNTIF('Raw Data'!$A$3:$A$2927,$A109)=0,0,SUMIF('Raw Data'!$A$3:$A$2927, $A109,'Raw Data'!AC$3:AC$2927) / COUNTIF('Raw Data'!$A$3:$A$2927,$A109))</f>
        <v>0.7142857142857143</v>
      </c>
      <c r="AE109" s="117">
        <f>IF( COUNTIF('Raw Data'!$A$3:$A$2927,$A109)=0,0,SUMIF('Raw Data'!$A$3:$A$2927, $A109,'Raw Data'!AD$3:AD$2927) / COUNTIF('Raw Data'!$A$3:$A$2927,$A109))</f>
        <v>0</v>
      </c>
      <c r="AF109">
        <f>IF( COUNTIF('Raw Data'!$A$3:$A$2927,$A109)=0,0,SUMIF('Raw Data'!$A$3:$A$2927, $A109,'Raw Data'!AE$3:AE$2927) / COUNTIF('Raw Data'!$A$3:$A$2927,$A109))</f>
        <v>0</v>
      </c>
      <c r="AG109">
        <f>IF( COUNTIF('Raw Data'!$A$3:$A$2927,$A109)=0,0,SUMIF('Raw Data'!$A$3:$A$2927, $A109,'Raw Data'!AF$3:AF$2927) / COUNTIF('Raw Data'!$A$3:$A$2927,$A109))</f>
        <v>0</v>
      </c>
      <c r="AH109">
        <f>IF( COUNTIF('Raw Data'!$A$3:$A$2927,$A109)=0,0,SUMIF('Raw Data'!$A$3:$A$2927, $A109,'Raw Data'!AG$3:AG$2927) / COUNTIF('Raw Data'!$A$3:$A$2927,$A109))</f>
        <v>0</v>
      </c>
      <c r="AI109">
        <f>IF( COUNTIF('Raw Data'!$A$3:$A$2927,$A109)=0,0,SUMIF('Raw Data'!$A$3:$A$2927, $A109,'Raw Data'!AH$3:AH$2927) / COUNTIF('Raw Data'!$A$3:$A$2927,$A109))</f>
        <v>1</v>
      </c>
      <c r="AJ109" s="116">
        <f>COUNTIF('Raw Data'!A$3:A$2927, $A109)</f>
        <v>7</v>
      </c>
      <c r="AK109">
        <f>IFERROR(SUM(IF($E109 &gt;autoThreshold, auto), hatch * SUM($H109:$K109), cargo * SUM($M109:$P109),hatch * SUM( $S109:$V109), cargo * SUM($X109:$AA109), rocket23 * SUM($J109:$K109, $O109:$P109, $U109:$V109, $Z109:$AA109), IF($AD109 &gt; climbThreshold, climb), IF($AC109 &gt; assistThreshold, $AC109 * assist), $AH109 * penalty, dropHatch * $AI109, tippedBroke * SUM($AE109:$AF109),  IF( $E109 &lt; noAutoThreshold, noAuto), IF($C109 &lt; doesNothingThreshold, doesNothing, IF($AD109 &gt;1.45, 2) )), "h")</f>
        <v>0</v>
      </c>
      <c r="AL109">
        <f>SUM(hHatch * SUM($H109:$K109), hHatch * SUM($S109:$V109), hRocket23 * SUM($J109:$K109), hRocket23 * SUM($U109:$V109), hSandstorm * SUM($H109:$K109), hPenalty * $AH109, hDropHatch * $AI109,hTippedBroke * SUM($AE109:$AF109), IF($E109 &lt; hNoAutoThreshold, hNoAuto), IF($AG109 &gt; hFloorHatchThreshold, hFloorHatch))</f>
        <v>-0.9285714285714286</v>
      </c>
      <c r="AM109">
        <f>SUM(cCargo * SUM($M109:$P109), cCargo *SUM( $X109:$AA109), cRocket23 * SUM($O109:$P109, $Z109:$AA109),cSandstorm * SUM($M109:$P109), cPenalty * $AH109, cTippedBroke * SUM($AE109:$AF109), IF($E109 &lt; cNoAutoThreshold, cNoAuto, 0))</f>
        <v>0</v>
      </c>
    </row>
    <row r="110" spans="1:39" ht="15.75" thickBot="1">
      <c r="A110">
        <v>7712</v>
      </c>
      <c r="B110" t="s">
        <v>236</v>
      </c>
      <c r="C110">
        <f>PRODUCT($E110,3)+PRODUCT(SUM($H110:$K110),2)+PRODUCT(SUM($M110:$P110),3)+PRODUCT(SUM($S110:$V110),2)+PRODUCT(SUM($X110:$AA110), 3)+IF($AC110 &gt; 2, PRODUCT(SUM($AC110, -1),6), PRODUCT($AC110,3)) + IF($AD110 &gt; 2, PRODUCT(SUM($AD110, -1),6), PRODUCT($AD110,3)) + PRODUCT($AH110, -1)</f>
        <v>4.75</v>
      </c>
      <c r="D110">
        <f>PRODUCT(SUM($H110:$I110), 2) + PRODUCT(SUM($M110:$N110),3) + PRODUCT(SUM($S110:$T110), 2) + PRODUCT(SUM($X110:$Y110), 3)</f>
        <v>1</v>
      </c>
      <c r="E110">
        <f>IF( COUNTIF('Raw Data'!$A$3:$A$2927,$A110)=0,0,SUMIF('Raw Data'!$A$3:$A$2927, $A110,'Raw Data'!D$3:D$2927) / COUNTIF('Raw Data'!$A$3:$A$2927,$A110))</f>
        <v>0.875</v>
      </c>
      <c r="F110">
        <f t="array" ref="F110">MAX(IF('Raw Data'!$A$3:$A$927=$A110, 'Raw Data'!$O$3:$O$927))</f>
        <v>0</v>
      </c>
      <c r="G110">
        <f t="array" ref="G110">MAX(IF('Raw Data'!$A$3:$A$927=$A110, 'Raw Data'!$I$3:$I$927))</f>
        <v>0</v>
      </c>
      <c r="H110">
        <f>IF( COUNTIF('Raw Data'!$A$3:$A$2927,$A110)=0,0,SUMIF('Raw Data'!$A$3:$A$2927, $A110,'Raw Data'!E$3:E$2927) / COUNTIF('Raw Data'!$A$3:$A$2927,$A110))</f>
        <v>0</v>
      </c>
      <c r="I110">
        <f>IF( COUNTIF('Raw Data'!$A$3:$A$2927,$A110)=0,0,SUMIF('Raw Data'!$A$3:$A$2927, $A110,'Raw Data'!F$3:F$2927) / COUNTIF('Raw Data'!$A$3:$A$2927,$A110))</f>
        <v>0</v>
      </c>
      <c r="J110">
        <f>IF( COUNTIF('Raw Data'!$A$3:$A$2927,$A110)=0,0,SUMIF('Raw Data'!$A$3:$A$2927, $A110,'Raw Data'!G$3:G$2927) / COUNTIF('Raw Data'!$A$3:$A$2927,$A110))</f>
        <v>0</v>
      </c>
      <c r="K110">
        <f>IF( COUNTIF('Raw Data'!$A$3:$A$2927,$A110)=0,0,SUMIF('Raw Data'!$A$3:$A$2927, $A110,'Raw Data'!H$3:H$2927) / COUNTIF('Raw Data'!$A$3:$A$2927,$A110))</f>
        <v>0</v>
      </c>
      <c r="L110">
        <f t="array" ref="L110">MAX(IF('Raw Data'!$A$3:$A$927=$A110, 'Raw Data'!$N$3:$N$927))</f>
        <v>0</v>
      </c>
      <c r="M110">
        <f>IF( COUNTIF('Raw Data'!$A$3:$A$2927,$A110)=0,0,SUMIF('Raw Data'!$A$3:$A$2927, $A110,'Raw Data'!J$3:J$2927) / COUNTIF('Raw Data'!$A$3:$A$2927,$A110))</f>
        <v>0</v>
      </c>
      <c r="N110">
        <f>IF( COUNTIF('Raw Data'!$A$3:$A$2927,$A110)=0,0,SUMIF('Raw Data'!$A$3:$A$2927, $A110,'Raw Data'!K$3:K$2927) / COUNTIF('Raw Data'!$A$3:$A$2927,$A110))</f>
        <v>0</v>
      </c>
      <c r="O110">
        <f>IF( COUNTIF('Raw Data'!$A$3:$A$2927,$A110)=0,0,SUMIF('Raw Data'!$A$3:$A$2927, $A110,'Raw Data'!L$3:L$2927) / COUNTIF('Raw Data'!$A$3:$A$2927,$A110))</f>
        <v>0</v>
      </c>
      <c r="P110" s="58">
        <f>IF( COUNTIF('Raw Data'!$A$3:$A$2927,$A110)=0,0,SUMIF('Raw Data'!$A$3:$A$2927, $A110,'Raw Data'!M$3:M$2927) / COUNTIF('Raw Data'!$A$3:$A$2927,$A110))</f>
        <v>0</v>
      </c>
      <c r="Q110">
        <f t="array" ref="Q110">MAX(IF('Raw Data'!$A$3:$A$927=$A110, 'Raw Data'!$Z$3:$Z$927))</f>
        <v>2</v>
      </c>
      <c r="R110">
        <f t="array" ref="R110">MAX(IF('Raw Data'!$A$3:$A$927=$A110, 'Raw Data'!$T$3:$T$927))</f>
        <v>1</v>
      </c>
      <c r="S110" s="118">
        <f>IF( COUNTIF('Raw Data'!$A$3:$A$2927,$A110)=0,0,SUMIF('Raw Data'!$A$3:$A$2927, $A110,'Raw Data'!P$3:P$2927) / COUNTIF('Raw Data'!$A$3:$A$2927,$A110))</f>
        <v>0</v>
      </c>
      <c r="T110">
        <f>IF( COUNTIF('Raw Data'!$A$3:$A$2927,$A110)=0,0,SUMIF('Raw Data'!$A$3:$A$2927, $A110,'Raw Data'!Q$3:Q$2927) / COUNTIF('Raw Data'!$A$3:$A$2927,$A110))</f>
        <v>0.125</v>
      </c>
      <c r="U110">
        <f>IF( COUNTIF('Raw Data'!$A$3:$A$2927,$A110)=0,0,SUMIF('Raw Data'!$A$3:$A$2927, $A110,'Raw Data'!R$3:R$2927) / COUNTIF('Raw Data'!$A$3:$A$2927,$A110))</f>
        <v>0</v>
      </c>
      <c r="V110">
        <f>IF( COUNTIF('Raw Data'!$A$3:$A$2927,$A110)=0,0,SUMIF('Raw Data'!$A$3:$A$2927, $A110,'Raw Data'!S$3:S$2927) / COUNTIF('Raw Data'!$A$3:$A$2927,$A110))</f>
        <v>0</v>
      </c>
      <c r="W110">
        <f t="array" ref="W110">MAX(IF('Raw Data'!$A$3:$A$927=$A110, 'Raw Data'!$Y$3:$Y$927))</f>
        <v>1</v>
      </c>
      <c r="X110">
        <f>IF( COUNTIF('Raw Data'!$A$3:$A$2927,$A110)=0,0,SUMIF('Raw Data'!$A$3:$A$2927, $A110,'Raw Data'!U$3:U$2927) / COUNTIF('Raw Data'!$A$3:$A$2927,$A110))</f>
        <v>0.25</v>
      </c>
      <c r="Y110">
        <f>IF( COUNTIF('Raw Data'!$A$3:$A$2927,$A110)=0,0,SUMIF('Raw Data'!$A$3:$A$2927, $A110,'Raw Data'!V$3:V$2927) / COUNTIF('Raw Data'!$A$3:$A$2927,$A110))</f>
        <v>0</v>
      </c>
      <c r="Z110">
        <f>IF( COUNTIF('Raw Data'!$A$3:$A$2927,$A110)=0,0,SUMIF('Raw Data'!$A$3:$A$2927, $A110,'Raw Data'!W$3:W$2927) / COUNTIF('Raw Data'!$A$3:$A$2927,$A110))</f>
        <v>0</v>
      </c>
      <c r="AA110">
        <f>IF( COUNTIF('Raw Data'!$A$3:$A$2927,$A110)=0,0,SUMIF('Raw Data'!$A$3:$A$2927, $A110,'Raw Data'!X$3:X$2927) / COUNTIF('Raw Data'!$A$3:$A$2927,$A110))</f>
        <v>0</v>
      </c>
      <c r="AB110">
        <f>IF( COUNTIF('Raw Data'!$A$3:$A$2927,$A110)=0,0,SUMIF('Raw Data'!$A$3:$A$2927, $A110,'Raw Data'!AA$3:AA$2927) / COUNTIF('Raw Data'!$A$3:$A$2927,$A110))</f>
        <v>6.875</v>
      </c>
      <c r="AC110">
        <f>IF( COUNTIF('Raw Data'!$A$3:$A$2927,$A110)=0,0,SUMIF('Raw Data'!$A$3:$A$2927, $A110,'Raw Data'!AB$3:AB$2927) / COUNTIF('Raw Data'!$A$3:$A$2927,$A110))</f>
        <v>0</v>
      </c>
      <c r="AD110">
        <f>IF( COUNTIF('Raw Data'!$A$3:$A$2927,$A110)=0,0,SUMIF('Raw Data'!$A$3:$A$2927, $A110,'Raw Data'!AC$3:AC$2927) / COUNTIF('Raw Data'!$A$3:$A$2927,$A110))</f>
        <v>0.625</v>
      </c>
      <c r="AE110" s="117">
        <f>IF( COUNTIF('Raw Data'!$A$3:$A$2927,$A110)=0,0,SUMIF('Raw Data'!$A$3:$A$2927, $A110,'Raw Data'!AD$3:AD$2927) / COUNTIF('Raw Data'!$A$3:$A$2927,$A110))</f>
        <v>0</v>
      </c>
      <c r="AF110">
        <f>IF( COUNTIF('Raw Data'!$A$3:$A$2927,$A110)=0,0,SUMIF('Raw Data'!$A$3:$A$2927, $A110,'Raw Data'!AE$3:AE$2927) / COUNTIF('Raw Data'!$A$3:$A$2927,$A110))</f>
        <v>0.5</v>
      </c>
      <c r="AG110">
        <f>IF( COUNTIF('Raw Data'!$A$3:$A$2927,$A110)=0,0,SUMIF('Raw Data'!$A$3:$A$2927, $A110,'Raw Data'!AF$3:AF$2927) / COUNTIF('Raw Data'!$A$3:$A$2927,$A110))</f>
        <v>0</v>
      </c>
      <c r="AH110">
        <f>IF( COUNTIF('Raw Data'!$A$3:$A$2927,$A110)=0,0,SUMIF('Raw Data'!$A$3:$A$2927, $A110,'Raw Data'!AG$3:AG$2927) / COUNTIF('Raw Data'!$A$3:$A$2927,$A110))</f>
        <v>0.75</v>
      </c>
      <c r="AI110">
        <f>IF( COUNTIF('Raw Data'!$A$3:$A$2927,$A110)=0,0,SUMIF('Raw Data'!$A$3:$A$2927, $A110,'Raw Data'!AH$3:AH$2927) / COUNTIF('Raw Data'!$A$3:$A$2927,$A110))</f>
        <v>0.25</v>
      </c>
      <c r="AJ110" s="116">
        <f>COUNTIF('Raw Data'!A$3:A$2927, $A110)</f>
        <v>8</v>
      </c>
      <c r="AK110">
        <f>IFERROR(SUM(IF($E110 &gt;autoThreshold, auto), hatch * SUM($H110:$K110), cargo * SUM($M110:$P110),hatch * SUM( $S110:$V110), cargo * SUM($X110:$AA110), rocket23 * SUM($J110:$K110, $O110:$P110, $U110:$V110, $Z110:$AA110), IF($AD110 &gt; climbThreshold, climb), IF($AC110 &gt; assistThreshold, $AC110 * assist), $AH110 * penalty, dropHatch * $AI110, tippedBroke * SUM($AE110:$AF110),  IF( $E110 &lt; noAutoThreshold, noAuto), IF($C110 &lt; doesNothingThreshold, doesNothing, IF($AD110 &gt;1.45, 2) )), "h")</f>
        <v>-22.585000000000001</v>
      </c>
      <c r="AL110">
        <f>SUM(hHatch * SUM($H110:$K110), hHatch * SUM($S110:$V110), hRocket23 * SUM($J110:$K110), hRocket23 * SUM($U110:$V110), hSandstorm * SUM($H110:$K110), hPenalty * $AH110, hDropHatch * $AI110,hTippedBroke * SUM($AE110:$AF110), IF($E110 &lt; hNoAutoThreshold, hNoAuto), IF($AG110 &gt; hFloorHatchThreshold, hFloorHatch))</f>
        <v>-3.25</v>
      </c>
      <c r="AM110">
        <f>SUM(cCargo * SUM($M110:$P110), cCargo *SUM( $X110:$AA110), cRocket23 * SUM($O110:$P110, $Z110:$AA110),cSandstorm * SUM($M110:$P110), cPenalty * $AH110, cTippedBroke * SUM($AE110:$AF110), IF($E110 &lt; cNoAutoThreshold, cNoAuto, 0))</f>
        <v>-1.9975000000000001</v>
      </c>
    </row>
    <row r="111" spans="1:39" ht="15.75" thickBot="1">
      <c r="A111">
        <v>7721</v>
      </c>
      <c r="B111" t="s">
        <v>502</v>
      </c>
      <c r="C111">
        <f>PRODUCT($E111,3)+PRODUCT(SUM($H111:$K111),2)+PRODUCT(SUM($M111:$P111),3)+PRODUCT(SUM($S111:$V111),2)+PRODUCT(SUM($X111:$AA111), 3)+IF($AC111 &gt; 2, PRODUCT(SUM($AC111, -1),6), PRODUCT($AC111,3)) + IF($AD111 &gt; 2, PRODUCT(SUM($AD111, -1),6), PRODUCT($AD111,3)) + PRODUCT($AH111, -1)</f>
        <v>0</v>
      </c>
      <c r="D111">
        <f>PRODUCT(SUM($H111:$I111), 2) + PRODUCT(SUM($M111:$N111),3) + PRODUCT(SUM($S111:$T111), 2) + PRODUCT(SUM($X111:$Y111), 3)</f>
        <v>0</v>
      </c>
      <c r="E111">
        <f>IF( COUNTIF('Raw Data'!$A$3:$A$2927,$A111)=0,0,SUMIF('Raw Data'!$A$3:$A$2927, $A111,'Raw Data'!D$3:D$2927) / COUNTIF('Raw Data'!$A$3:$A$2927,$A111))</f>
        <v>0</v>
      </c>
      <c r="F111">
        <f t="array" ref="F111">MAX(IF('Raw Data'!$A$3:$A$927=$A111, 'Raw Data'!$O$3:$O$927))</f>
        <v>0</v>
      </c>
      <c r="G111">
        <f t="array" ref="G111">MAX(IF('Raw Data'!$A$3:$A$927=$A111, 'Raw Data'!$I$3:$I$927))</f>
        <v>0</v>
      </c>
      <c r="H111">
        <f>IF( COUNTIF('Raw Data'!$A$3:$A$2927,$A111)=0,0,SUMIF('Raw Data'!$A$3:$A$2927, $A111,'Raw Data'!E$3:E$2927) / COUNTIF('Raw Data'!$A$3:$A$2927,$A111))</f>
        <v>0</v>
      </c>
      <c r="I111">
        <f>IF( COUNTIF('Raw Data'!$A$3:$A$2927,$A111)=0,0,SUMIF('Raw Data'!$A$3:$A$2927, $A111,'Raw Data'!F$3:F$2927) / COUNTIF('Raw Data'!$A$3:$A$2927,$A111))</f>
        <v>0</v>
      </c>
      <c r="J111">
        <f>IF( COUNTIF('Raw Data'!$A$3:$A$2927,$A111)=0,0,SUMIF('Raw Data'!$A$3:$A$2927, $A111,'Raw Data'!G$3:G$2927) / COUNTIF('Raw Data'!$A$3:$A$2927,$A111))</f>
        <v>0</v>
      </c>
      <c r="K111">
        <f>IF( COUNTIF('Raw Data'!$A$3:$A$2927,$A111)=0,0,SUMIF('Raw Data'!$A$3:$A$2927, $A111,'Raw Data'!H$3:H$2927) / COUNTIF('Raw Data'!$A$3:$A$2927,$A111))</f>
        <v>0</v>
      </c>
      <c r="L111">
        <f t="array" ref="L111">MAX(IF('Raw Data'!$A$3:$A$927=$A111, 'Raw Data'!$N$3:$N$927))</f>
        <v>0</v>
      </c>
      <c r="M111">
        <f>IF( COUNTIF('Raw Data'!$A$3:$A$2927,$A111)=0,0,SUMIF('Raw Data'!$A$3:$A$2927, $A111,'Raw Data'!J$3:J$2927) / COUNTIF('Raw Data'!$A$3:$A$2927,$A111))</f>
        <v>0</v>
      </c>
      <c r="N111">
        <f>IF( COUNTIF('Raw Data'!$A$3:$A$2927,$A111)=0,0,SUMIF('Raw Data'!$A$3:$A$2927, $A111,'Raw Data'!K$3:K$2927) / COUNTIF('Raw Data'!$A$3:$A$2927,$A111))</f>
        <v>0</v>
      </c>
      <c r="O111">
        <f>IF( COUNTIF('Raw Data'!$A$3:$A$2927,$A111)=0,0,SUMIF('Raw Data'!$A$3:$A$2927, $A111,'Raw Data'!L$3:L$2927) / COUNTIF('Raw Data'!$A$3:$A$2927,$A111))</f>
        <v>0</v>
      </c>
      <c r="P111" s="58">
        <f>IF( COUNTIF('Raw Data'!$A$3:$A$2927,$A111)=0,0,SUMIF('Raw Data'!$A$3:$A$2927, $A111,'Raw Data'!M$3:M$2927) / COUNTIF('Raw Data'!$A$3:$A$2927,$A111))</f>
        <v>0</v>
      </c>
      <c r="Q111">
        <f t="array" ref="Q111">MAX(IF('Raw Data'!$A$3:$A$927=$A111, 'Raw Data'!$Z$3:$Z$927))</f>
        <v>0</v>
      </c>
      <c r="R111">
        <f t="array" ref="R111">MAX(IF('Raw Data'!$A$3:$A$927=$A111, 'Raw Data'!$T$3:$T$927))</f>
        <v>0</v>
      </c>
      <c r="S111" s="118">
        <f>IF( COUNTIF('Raw Data'!$A$3:$A$2927,$A111)=0,0,SUMIF('Raw Data'!$A$3:$A$2927, $A111,'Raw Data'!P$3:P$2927) / COUNTIF('Raw Data'!$A$3:$A$2927,$A111))</f>
        <v>0</v>
      </c>
      <c r="T111">
        <f>IF( COUNTIF('Raw Data'!$A$3:$A$2927,$A111)=0,0,SUMIF('Raw Data'!$A$3:$A$2927, $A111,'Raw Data'!Q$3:Q$2927) / COUNTIF('Raw Data'!$A$3:$A$2927,$A111))</f>
        <v>0</v>
      </c>
      <c r="U111">
        <f>IF( COUNTIF('Raw Data'!$A$3:$A$2927,$A111)=0,0,SUMIF('Raw Data'!$A$3:$A$2927, $A111,'Raw Data'!R$3:R$2927) / COUNTIF('Raw Data'!$A$3:$A$2927,$A111))</f>
        <v>0</v>
      </c>
      <c r="V111">
        <f>IF( COUNTIF('Raw Data'!$A$3:$A$2927,$A111)=0,0,SUMIF('Raw Data'!$A$3:$A$2927, $A111,'Raw Data'!S$3:S$2927) / COUNTIF('Raw Data'!$A$3:$A$2927,$A111))</f>
        <v>0</v>
      </c>
      <c r="W111">
        <f t="array" ref="W111">MAX(IF('Raw Data'!$A$3:$A$927=$A111, 'Raw Data'!$Y$3:$Y$927))</f>
        <v>0</v>
      </c>
      <c r="X111">
        <f>IF( COUNTIF('Raw Data'!$A$3:$A$2927,$A111)=0,0,SUMIF('Raw Data'!$A$3:$A$2927, $A111,'Raw Data'!U$3:U$2927) / COUNTIF('Raw Data'!$A$3:$A$2927,$A111))</f>
        <v>0</v>
      </c>
      <c r="Y111">
        <f>IF( COUNTIF('Raw Data'!$A$3:$A$2927,$A111)=0,0,SUMIF('Raw Data'!$A$3:$A$2927, $A111,'Raw Data'!V$3:V$2927) / COUNTIF('Raw Data'!$A$3:$A$2927,$A111))</f>
        <v>0</v>
      </c>
      <c r="Z111">
        <f>IF( COUNTIF('Raw Data'!$A$3:$A$2927,$A111)=0,0,SUMIF('Raw Data'!$A$3:$A$2927, $A111,'Raw Data'!W$3:W$2927) / COUNTIF('Raw Data'!$A$3:$A$2927,$A111))</f>
        <v>0</v>
      </c>
      <c r="AA111">
        <f>IF( COUNTIF('Raw Data'!$A$3:$A$2927,$A111)=0,0,SUMIF('Raw Data'!$A$3:$A$2927, $A111,'Raw Data'!X$3:X$2927) / COUNTIF('Raw Data'!$A$3:$A$2927,$A111))</f>
        <v>0</v>
      </c>
      <c r="AB111">
        <f>IF( COUNTIF('Raw Data'!$A$3:$A$2927,$A111)=0,0,SUMIF('Raw Data'!$A$3:$A$2927, $A111,'Raw Data'!AA$3:AA$2927) / COUNTIF('Raw Data'!$A$3:$A$2927,$A111))</f>
        <v>0</v>
      </c>
      <c r="AC111">
        <f>IF( COUNTIF('Raw Data'!$A$3:$A$2927,$A111)=0,0,SUMIF('Raw Data'!$A$3:$A$2927, $A111,'Raw Data'!AB$3:AB$2927) / COUNTIF('Raw Data'!$A$3:$A$2927,$A111))</f>
        <v>0</v>
      </c>
      <c r="AD111">
        <f>IF( COUNTIF('Raw Data'!$A$3:$A$2927,$A111)=0,0,SUMIF('Raw Data'!$A$3:$A$2927, $A111,'Raw Data'!AC$3:AC$2927) / COUNTIF('Raw Data'!$A$3:$A$2927,$A111))</f>
        <v>0</v>
      </c>
      <c r="AE111" s="117">
        <f>IF( COUNTIF('Raw Data'!$A$3:$A$2927,$A111)=0,0,SUMIF('Raw Data'!$A$3:$A$2927, $A111,'Raw Data'!AD$3:AD$2927) / COUNTIF('Raw Data'!$A$3:$A$2927,$A111))</f>
        <v>0</v>
      </c>
      <c r="AF111">
        <f>IF( COUNTIF('Raw Data'!$A$3:$A$2927,$A111)=0,0,SUMIF('Raw Data'!$A$3:$A$2927, $A111,'Raw Data'!AE$3:AE$2927) / COUNTIF('Raw Data'!$A$3:$A$2927,$A111))</f>
        <v>0</v>
      </c>
      <c r="AG111">
        <f>IF( COUNTIF('Raw Data'!$A$3:$A$2927,$A111)=0,0,SUMIF('Raw Data'!$A$3:$A$2927, $A111,'Raw Data'!AF$3:AF$2927) / COUNTIF('Raw Data'!$A$3:$A$2927,$A111))</f>
        <v>0</v>
      </c>
      <c r="AH111">
        <f>IF( COUNTIF('Raw Data'!$A$3:$A$2927,$A111)=0,0,SUMIF('Raw Data'!$A$3:$A$2927, $A111,'Raw Data'!AG$3:AG$2927) / COUNTIF('Raw Data'!$A$3:$A$2927,$A111))</f>
        <v>0</v>
      </c>
      <c r="AI111">
        <f>IF( COUNTIF('Raw Data'!$A$3:$A$2927,$A111)=0,0,SUMIF('Raw Data'!$A$3:$A$2927, $A111,'Raw Data'!AH$3:AH$2927) / COUNTIF('Raw Data'!$A$3:$A$2927,$A111))</f>
        <v>0</v>
      </c>
      <c r="AJ111" s="116">
        <f>COUNTIF('Raw Data'!A$3:A$2927, $A111)</f>
        <v>0</v>
      </c>
      <c r="AK111">
        <f>IFERROR(SUM(IF($E111 &gt;autoThreshold, auto), hatch * SUM($H111:$K111), cargo * SUM($M111:$P111),hatch * SUM( $S111:$V111), cargo * SUM($X111:$AA111), rocket23 * SUM($J111:$K111, $O111:$P111, $U111:$V111, $Z111:$AA111), IF($AD111 &gt; climbThreshold, climb), IF($AC111 &gt; assistThreshold, $AC111 * assist), $AH111 * penalty, dropHatch * $AI111, tippedBroke * SUM($AE111:$AF111),  IF( $E111 &lt; noAutoThreshold, noAuto), IF($C111 &lt; doesNothingThreshold, doesNothing, IF($AD111 &gt;1.45, 2) )), "h")</f>
        <v>-21</v>
      </c>
      <c r="AL111">
        <f>SUM(hHatch * SUM($H111:$K111), hHatch * SUM($S111:$V111), hRocket23 * SUM($J111:$K111), hRocket23 * SUM($U111:$V111), hSandstorm * SUM($H111:$K111), hPenalty * $AH111, hDropHatch * $AI111,hTippedBroke * SUM($AE111:$AF111), IF($E111 &lt; hNoAutoThreshold, hNoAuto), IF($AG111 &gt; hFloorHatchThreshold, hFloorHatch))</f>
        <v>-1.5</v>
      </c>
      <c r="AM111">
        <f>SUM(cCargo * SUM($M111:$P111), cCargo *SUM( $X111:$AA111), cRocket23 * SUM($O111:$P111, $Z111:$AA111),cSandstorm * SUM($M111:$P111), cPenalty * $AH111, cTippedBroke * SUM($AE111:$AF111), IF($E111 &lt; cNoAutoThreshold, cNoAuto, 0))</f>
        <v>-1</v>
      </c>
    </row>
    <row r="112" spans="1:39" ht="15.75" thickBot="1">
      <c r="A112">
        <v>7735</v>
      </c>
      <c r="B112" t="s">
        <v>237</v>
      </c>
      <c r="C112">
        <f>PRODUCT($E112,3)+PRODUCT(SUM($H112:$K112),2)+PRODUCT(SUM($M112:$P112),3)+PRODUCT(SUM($S112:$V112),2)+PRODUCT(SUM($X112:$AA112), 3)+IF($AC112 &gt; 2, PRODUCT(SUM($AC112, -1),6), PRODUCT($AC112,3)) + IF($AD112 &gt; 2, PRODUCT(SUM($AD112, -1),6), PRODUCT($AD112,3)) + PRODUCT($AH112, -1)</f>
        <v>12.700000000000001</v>
      </c>
      <c r="D112">
        <f>PRODUCT(SUM($H112:$I112), 2) + PRODUCT(SUM($M112:$N112),3) + PRODUCT(SUM($S112:$T112), 2) + PRODUCT(SUM($X112:$Y112), 3)</f>
        <v>6.4</v>
      </c>
      <c r="E112">
        <f>IF( COUNTIF('Raw Data'!$A$3:$A$2927,$A112)=0,0,SUMIF('Raw Data'!$A$3:$A$2927, $A112,'Raw Data'!D$3:D$2927) / COUNTIF('Raw Data'!$A$3:$A$2927,$A112))</f>
        <v>1.6</v>
      </c>
      <c r="F112">
        <f t="array" ref="F112">MAX(IF('Raw Data'!$A$3:$A$927=$A112, 'Raw Data'!$O$3:$O$927))</f>
        <v>1</v>
      </c>
      <c r="G112">
        <f t="array" ref="G112">MAX(IF('Raw Data'!$A$3:$A$927=$A112, 'Raw Data'!$I$3:$I$927))</f>
        <v>1</v>
      </c>
      <c r="H112">
        <f>IF( COUNTIF('Raw Data'!$A$3:$A$2927,$A112)=0,0,SUMIF('Raw Data'!$A$3:$A$2927, $A112,'Raw Data'!E$3:E$2927) / COUNTIF('Raw Data'!$A$3:$A$2927,$A112))</f>
        <v>0</v>
      </c>
      <c r="I112">
        <f>IF( COUNTIF('Raw Data'!$A$3:$A$2927,$A112)=0,0,SUMIF('Raw Data'!$A$3:$A$2927, $A112,'Raw Data'!F$3:F$2927) / COUNTIF('Raw Data'!$A$3:$A$2927,$A112))</f>
        <v>0.1</v>
      </c>
      <c r="J112">
        <f>IF( COUNTIF('Raw Data'!$A$3:$A$2927,$A112)=0,0,SUMIF('Raw Data'!$A$3:$A$2927, $A112,'Raw Data'!G$3:G$2927) / COUNTIF('Raw Data'!$A$3:$A$2927,$A112))</f>
        <v>0</v>
      </c>
      <c r="K112">
        <f>IF( COUNTIF('Raw Data'!$A$3:$A$2927,$A112)=0,0,SUMIF('Raw Data'!$A$3:$A$2927, $A112,'Raw Data'!H$3:H$2927) / COUNTIF('Raw Data'!$A$3:$A$2927,$A112))</f>
        <v>0</v>
      </c>
      <c r="L112">
        <f t="array" ref="L112">MAX(IF('Raw Data'!$A$3:$A$927=$A112, 'Raw Data'!$N$3:$N$927))</f>
        <v>0</v>
      </c>
      <c r="M112">
        <f>IF( COUNTIF('Raw Data'!$A$3:$A$2927,$A112)=0,0,SUMIF('Raw Data'!$A$3:$A$2927, $A112,'Raw Data'!J$3:J$2927) / COUNTIF('Raw Data'!$A$3:$A$2927,$A112))</f>
        <v>0</v>
      </c>
      <c r="N112">
        <f>IF( COUNTIF('Raw Data'!$A$3:$A$2927,$A112)=0,0,SUMIF('Raw Data'!$A$3:$A$2927, $A112,'Raw Data'!K$3:K$2927) / COUNTIF('Raw Data'!$A$3:$A$2927,$A112))</f>
        <v>0</v>
      </c>
      <c r="O112">
        <f>IF( COUNTIF('Raw Data'!$A$3:$A$2927,$A112)=0,0,SUMIF('Raw Data'!$A$3:$A$2927, $A112,'Raw Data'!L$3:L$2927) / COUNTIF('Raw Data'!$A$3:$A$2927,$A112))</f>
        <v>0</v>
      </c>
      <c r="P112" s="58">
        <f>IF( COUNTIF('Raw Data'!$A$3:$A$2927,$A112)=0,0,SUMIF('Raw Data'!$A$3:$A$2927, $A112,'Raw Data'!M$3:M$2927) / COUNTIF('Raw Data'!$A$3:$A$2927,$A112))</f>
        <v>0</v>
      </c>
      <c r="Q112">
        <f t="array" ref="Q112">MAX(IF('Raw Data'!$A$3:$A$927=$A112, 'Raw Data'!$Z$3:$Z$927))</f>
        <v>5</v>
      </c>
      <c r="R112">
        <f t="array" ref="R112">MAX(IF('Raw Data'!$A$3:$A$927=$A112, 'Raw Data'!$T$3:$T$927))</f>
        <v>1</v>
      </c>
      <c r="S112" s="118">
        <f>IF( COUNTIF('Raw Data'!$A$3:$A$2927,$A112)=0,0,SUMIF('Raw Data'!$A$3:$A$2927, $A112,'Raw Data'!P$3:P$2927) / COUNTIF('Raw Data'!$A$3:$A$2927,$A112))</f>
        <v>0.3</v>
      </c>
      <c r="T112">
        <f>IF( COUNTIF('Raw Data'!$A$3:$A$2927,$A112)=0,0,SUMIF('Raw Data'!$A$3:$A$2927, $A112,'Raw Data'!Q$3:Q$2927) / COUNTIF('Raw Data'!$A$3:$A$2927,$A112))</f>
        <v>0.1</v>
      </c>
      <c r="U112">
        <f>IF( COUNTIF('Raw Data'!$A$3:$A$2927,$A112)=0,0,SUMIF('Raw Data'!$A$3:$A$2927, $A112,'Raw Data'!R$3:R$2927) / COUNTIF('Raw Data'!$A$3:$A$2927,$A112))</f>
        <v>0</v>
      </c>
      <c r="V112">
        <f>IF( COUNTIF('Raw Data'!$A$3:$A$2927,$A112)=0,0,SUMIF('Raw Data'!$A$3:$A$2927, $A112,'Raw Data'!S$3:S$2927) / COUNTIF('Raw Data'!$A$3:$A$2927,$A112))</f>
        <v>0</v>
      </c>
      <c r="W112">
        <f t="array" ref="W112">MAX(IF('Raw Data'!$A$3:$A$927=$A112, 'Raw Data'!$Y$3:$Y$927))</f>
        <v>4</v>
      </c>
      <c r="X112">
        <f>IF( COUNTIF('Raw Data'!$A$3:$A$2927,$A112)=0,0,SUMIF('Raw Data'!$A$3:$A$2927, $A112,'Raw Data'!U$3:U$2927) / COUNTIF('Raw Data'!$A$3:$A$2927,$A112))</f>
        <v>1.8</v>
      </c>
      <c r="Y112">
        <f>IF( COUNTIF('Raw Data'!$A$3:$A$2927,$A112)=0,0,SUMIF('Raw Data'!$A$3:$A$2927, $A112,'Raw Data'!V$3:V$2927) / COUNTIF('Raw Data'!$A$3:$A$2927,$A112))</f>
        <v>0</v>
      </c>
      <c r="Z112">
        <f>IF( COUNTIF('Raw Data'!$A$3:$A$2927,$A112)=0,0,SUMIF('Raw Data'!$A$3:$A$2927, $A112,'Raw Data'!W$3:W$2927) / COUNTIF('Raw Data'!$A$3:$A$2927,$A112))</f>
        <v>0</v>
      </c>
      <c r="AA112">
        <f>IF( COUNTIF('Raw Data'!$A$3:$A$2927,$A112)=0,0,SUMIF('Raw Data'!$A$3:$A$2927, $A112,'Raw Data'!X$3:X$2927) / COUNTIF('Raw Data'!$A$3:$A$2927,$A112))</f>
        <v>0</v>
      </c>
      <c r="AB112">
        <f>IF( COUNTIF('Raw Data'!$A$3:$A$2927,$A112)=0,0,SUMIF('Raw Data'!$A$3:$A$2927, $A112,'Raw Data'!AA$3:AA$2927) / COUNTIF('Raw Data'!$A$3:$A$2927,$A112))</f>
        <v>9</v>
      </c>
      <c r="AC112">
        <f>IF( COUNTIF('Raw Data'!$A$3:$A$2927,$A112)=0,0,SUMIF('Raw Data'!$A$3:$A$2927, $A112,'Raw Data'!AB$3:AB$2927) / COUNTIF('Raw Data'!$A$3:$A$2927,$A112))</f>
        <v>0</v>
      </c>
      <c r="AD112">
        <f>IF( COUNTIF('Raw Data'!$A$3:$A$2927,$A112)=0,0,SUMIF('Raw Data'!$A$3:$A$2927, $A112,'Raw Data'!AC$3:AC$2927) / COUNTIF('Raw Data'!$A$3:$A$2927,$A112))</f>
        <v>0.8</v>
      </c>
      <c r="AE112" s="117">
        <f>IF( COUNTIF('Raw Data'!$A$3:$A$2927,$A112)=0,0,SUMIF('Raw Data'!$A$3:$A$2927, $A112,'Raw Data'!AD$3:AD$2927) / COUNTIF('Raw Data'!$A$3:$A$2927,$A112))</f>
        <v>0</v>
      </c>
      <c r="AF112">
        <f>IF( COUNTIF('Raw Data'!$A$3:$A$2927,$A112)=0,0,SUMIF('Raw Data'!$A$3:$A$2927, $A112,'Raw Data'!AE$3:AE$2927) / COUNTIF('Raw Data'!$A$3:$A$2927,$A112))</f>
        <v>0</v>
      </c>
      <c r="AG112">
        <f>IF( COUNTIF('Raw Data'!$A$3:$A$2927,$A112)=0,0,SUMIF('Raw Data'!$A$3:$A$2927, $A112,'Raw Data'!AF$3:AF$2927) / COUNTIF('Raw Data'!$A$3:$A$2927,$A112))</f>
        <v>0</v>
      </c>
      <c r="AH112">
        <f>IF( COUNTIF('Raw Data'!$A$3:$A$2927,$A112)=0,0,SUMIF('Raw Data'!$A$3:$A$2927, $A112,'Raw Data'!AG$3:AG$2927) / COUNTIF('Raw Data'!$A$3:$A$2927,$A112))</f>
        <v>0.9</v>
      </c>
      <c r="AI112">
        <f>IF( COUNTIF('Raw Data'!$A$3:$A$2927,$A112)=0,0,SUMIF('Raw Data'!$A$3:$A$2927, $A112,'Raw Data'!AH$3:AH$2927) / COUNTIF('Raw Data'!$A$3:$A$2927,$A112))</f>
        <v>0.1</v>
      </c>
      <c r="AJ112" s="116">
        <f>COUNTIF('Raw Data'!A$3:A$2927, $A112)</f>
        <v>10</v>
      </c>
      <c r="AK112">
        <f>IFERROR(SUM(IF($E112 &gt;autoThreshold, auto), hatch * SUM($H112:$K112), cargo * SUM($M112:$P112),hatch * SUM( $S112:$V112), cargo * SUM($X112:$AA112), rocket23 * SUM($J112:$K112, $O112:$P112, $U112:$V112, $Z112:$AA112), IF($AD112 &gt; climbThreshold, climb), IF($AC112 &gt; assistThreshold, $AC112 * assist), $AH112 * penalty, dropHatch * $AI112, tippedBroke * SUM($AE112:$AF112),  IF( $E112 &lt; noAutoThreshold, noAuto), IF($C112 &lt; doesNothingThreshold, doesNothing, IF($AD112 &gt;1.45, 2) )), "h")</f>
        <v>2.0379999999999998</v>
      </c>
      <c r="AL112">
        <f>SUM(hHatch * SUM($H112:$K112), hHatch * SUM($S112:$V112), hRocket23 * SUM($J112:$K112), hRocket23 * SUM($U112:$V112), hSandstorm * SUM($H112:$K112), hPenalty * $AH112, hDropHatch * $AI112,hTippedBroke * SUM($AE112:$AF112), IF($E112 &lt; hNoAutoThreshold, hNoAuto), IF($AG112 &gt; hFloorHatchThreshold, hFloorHatch))</f>
        <v>-9.9999999999999978E-2</v>
      </c>
      <c r="AM112">
        <f>SUM(cCargo * SUM($M112:$P112), cCargo *SUM( $X112:$AA112), cRocket23 * SUM($O112:$P112, $Z112:$AA112),cSandstorm * SUM($M112:$P112), cPenalty * $AH112, cTippedBroke * SUM($AE112:$AF112), IF($E112 &lt; cNoAutoThreshold, cNoAuto, 0))</f>
        <v>1.5030000000000001</v>
      </c>
    </row>
    <row r="113" spans="1:39" ht="15.75" thickBot="1">
      <c r="A113">
        <v>7757</v>
      </c>
      <c r="B113" t="s">
        <v>462</v>
      </c>
      <c r="C113">
        <f>PRODUCT($E113,3)+PRODUCT(SUM($H113:$K113),2)+PRODUCT(SUM($M113:$P113),3)+PRODUCT(SUM($S113:$V113),2)+PRODUCT(SUM($X113:$AA113), 3)+IF($AC113 &gt; 2, PRODUCT(SUM($AC113, -1),6), PRODUCT($AC113,3)) + IF($AD113 &gt; 2, PRODUCT(SUM($AD113, -1),6), PRODUCT($AD113,3)) + PRODUCT($AH113, -1)</f>
        <v>0</v>
      </c>
      <c r="D113">
        <f>PRODUCT(SUM($H113:$I113), 2) + PRODUCT(SUM($M113:$N113),3) + PRODUCT(SUM($S113:$T113), 2) + PRODUCT(SUM($X113:$Y113), 3)</f>
        <v>0</v>
      </c>
      <c r="E113">
        <f>IF( COUNTIF('Raw Data'!$A$3:$A$2927,$A113)=0,0,SUMIF('Raw Data'!$A$3:$A$2927, $A113,'Raw Data'!D$3:D$2927) / COUNTIF('Raw Data'!$A$3:$A$2927,$A113))</f>
        <v>0</v>
      </c>
      <c r="F113">
        <f t="array" ref="F113">MAX(IF('Raw Data'!$A$3:$A$927=$A113, 'Raw Data'!$O$3:$O$927))</f>
        <v>0</v>
      </c>
      <c r="G113">
        <f t="array" ref="G113">MAX(IF('Raw Data'!$A$3:$A$927=$A113, 'Raw Data'!$I$3:$I$927))</f>
        <v>0</v>
      </c>
      <c r="H113">
        <f>IF( COUNTIF('Raw Data'!$A$3:$A$2927,$A113)=0,0,SUMIF('Raw Data'!$A$3:$A$2927, $A113,'Raw Data'!E$3:E$2927) / COUNTIF('Raw Data'!$A$3:$A$2927,$A113))</f>
        <v>0</v>
      </c>
      <c r="I113">
        <f>IF( COUNTIF('Raw Data'!$A$3:$A$2927,$A113)=0,0,SUMIF('Raw Data'!$A$3:$A$2927, $A113,'Raw Data'!F$3:F$2927) / COUNTIF('Raw Data'!$A$3:$A$2927,$A113))</f>
        <v>0</v>
      </c>
      <c r="J113">
        <f>IF( COUNTIF('Raw Data'!$A$3:$A$2927,$A113)=0,0,SUMIF('Raw Data'!$A$3:$A$2927, $A113,'Raw Data'!G$3:G$2927) / COUNTIF('Raw Data'!$A$3:$A$2927,$A113))</f>
        <v>0</v>
      </c>
      <c r="K113">
        <f>IF( COUNTIF('Raw Data'!$A$3:$A$2927,$A113)=0,0,SUMIF('Raw Data'!$A$3:$A$2927, $A113,'Raw Data'!H$3:H$2927) / COUNTIF('Raw Data'!$A$3:$A$2927,$A113))</f>
        <v>0</v>
      </c>
      <c r="L113">
        <f t="array" ref="L113">MAX(IF('Raw Data'!$A$3:$A$927=$A113, 'Raw Data'!$N$3:$N$927))</f>
        <v>0</v>
      </c>
      <c r="M113">
        <f>IF( COUNTIF('Raw Data'!$A$3:$A$2927,$A113)=0,0,SUMIF('Raw Data'!$A$3:$A$2927, $A113,'Raw Data'!J$3:J$2927) / COUNTIF('Raw Data'!$A$3:$A$2927,$A113))</f>
        <v>0</v>
      </c>
      <c r="N113">
        <f>IF( COUNTIF('Raw Data'!$A$3:$A$2927,$A113)=0,0,SUMIF('Raw Data'!$A$3:$A$2927, $A113,'Raw Data'!K$3:K$2927) / COUNTIF('Raw Data'!$A$3:$A$2927,$A113))</f>
        <v>0</v>
      </c>
      <c r="O113">
        <f>IF( COUNTIF('Raw Data'!$A$3:$A$2927,$A113)=0,0,SUMIF('Raw Data'!$A$3:$A$2927, $A113,'Raw Data'!L$3:L$2927) / COUNTIF('Raw Data'!$A$3:$A$2927,$A113))</f>
        <v>0</v>
      </c>
      <c r="P113" s="58">
        <f>IF( COUNTIF('Raw Data'!$A$3:$A$2927,$A113)=0,0,SUMIF('Raw Data'!$A$3:$A$2927, $A113,'Raw Data'!M$3:M$2927) / COUNTIF('Raw Data'!$A$3:$A$2927,$A113))</f>
        <v>0</v>
      </c>
      <c r="Q113">
        <f t="array" ref="Q113">MAX(IF('Raw Data'!$A$3:$A$927=$A113, 'Raw Data'!$Z$3:$Z$927))</f>
        <v>0</v>
      </c>
      <c r="R113">
        <f t="array" ref="R113">MAX(IF('Raw Data'!$A$3:$A$927=$A113, 'Raw Data'!$T$3:$T$927))</f>
        <v>0</v>
      </c>
      <c r="S113" s="118">
        <f>IF( COUNTIF('Raw Data'!$A$3:$A$2927,$A113)=0,0,SUMIF('Raw Data'!$A$3:$A$2927, $A113,'Raw Data'!P$3:P$2927) / COUNTIF('Raw Data'!$A$3:$A$2927,$A113))</f>
        <v>0</v>
      </c>
      <c r="T113">
        <f>IF( COUNTIF('Raw Data'!$A$3:$A$2927,$A113)=0,0,SUMIF('Raw Data'!$A$3:$A$2927, $A113,'Raw Data'!Q$3:Q$2927) / COUNTIF('Raw Data'!$A$3:$A$2927,$A113))</f>
        <v>0</v>
      </c>
      <c r="U113">
        <f>IF( COUNTIF('Raw Data'!$A$3:$A$2927,$A113)=0,0,SUMIF('Raw Data'!$A$3:$A$2927, $A113,'Raw Data'!R$3:R$2927) / COUNTIF('Raw Data'!$A$3:$A$2927,$A113))</f>
        <v>0</v>
      </c>
      <c r="V113">
        <f>IF( COUNTIF('Raw Data'!$A$3:$A$2927,$A113)=0,0,SUMIF('Raw Data'!$A$3:$A$2927, $A113,'Raw Data'!S$3:S$2927) / COUNTIF('Raw Data'!$A$3:$A$2927,$A113))</f>
        <v>0</v>
      </c>
      <c r="W113">
        <f t="array" ref="W113">MAX(IF('Raw Data'!$A$3:$A$927=$A113, 'Raw Data'!$Y$3:$Y$927))</f>
        <v>0</v>
      </c>
      <c r="X113">
        <f>IF( COUNTIF('Raw Data'!$A$3:$A$2927,$A113)=0,0,SUMIF('Raw Data'!$A$3:$A$2927, $A113,'Raw Data'!U$3:U$2927) / COUNTIF('Raw Data'!$A$3:$A$2927,$A113))</f>
        <v>0</v>
      </c>
      <c r="Y113">
        <f>IF( COUNTIF('Raw Data'!$A$3:$A$2927,$A113)=0,0,SUMIF('Raw Data'!$A$3:$A$2927, $A113,'Raw Data'!V$3:V$2927) / COUNTIF('Raw Data'!$A$3:$A$2927,$A113))</f>
        <v>0</v>
      </c>
      <c r="Z113">
        <f>IF( COUNTIF('Raw Data'!$A$3:$A$2927,$A113)=0,0,SUMIF('Raw Data'!$A$3:$A$2927, $A113,'Raw Data'!W$3:W$2927) / COUNTIF('Raw Data'!$A$3:$A$2927,$A113))</f>
        <v>0</v>
      </c>
      <c r="AA113">
        <f>IF( COUNTIF('Raw Data'!$A$3:$A$2927,$A113)=0,0,SUMIF('Raw Data'!$A$3:$A$2927, $A113,'Raw Data'!X$3:X$2927) / COUNTIF('Raw Data'!$A$3:$A$2927,$A113))</f>
        <v>0</v>
      </c>
      <c r="AB113">
        <f>IF( COUNTIF('Raw Data'!$A$3:$A$2927,$A113)=0,0,SUMIF('Raw Data'!$A$3:$A$2927, $A113,'Raw Data'!AA$3:AA$2927) / COUNTIF('Raw Data'!$A$3:$A$2927,$A113))</f>
        <v>0</v>
      </c>
      <c r="AC113">
        <f>IF( COUNTIF('Raw Data'!$A$3:$A$2927,$A113)=0,0,SUMIF('Raw Data'!$A$3:$A$2927, $A113,'Raw Data'!AB$3:AB$2927) / COUNTIF('Raw Data'!$A$3:$A$2927,$A113))</f>
        <v>0</v>
      </c>
      <c r="AD113">
        <f>IF( COUNTIF('Raw Data'!$A$3:$A$2927,$A113)=0,0,SUMIF('Raw Data'!$A$3:$A$2927, $A113,'Raw Data'!AC$3:AC$2927) / COUNTIF('Raw Data'!$A$3:$A$2927,$A113))</f>
        <v>0</v>
      </c>
      <c r="AE113" s="117">
        <f>IF( COUNTIF('Raw Data'!$A$3:$A$2927,$A113)=0,0,SUMIF('Raw Data'!$A$3:$A$2927, $A113,'Raw Data'!AD$3:AD$2927) / COUNTIF('Raw Data'!$A$3:$A$2927,$A113))</f>
        <v>0</v>
      </c>
      <c r="AF113">
        <f>IF( COUNTIF('Raw Data'!$A$3:$A$2927,$A113)=0,0,SUMIF('Raw Data'!$A$3:$A$2927, $A113,'Raw Data'!AE$3:AE$2927) / COUNTIF('Raw Data'!$A$3:$A$2927,$A113))</f>
        <v>0</v>
      </c>
      <c r="AG113">
        <f>IF( COUNTIF('Raw Data'!$A$3:$A$2927,$A113)=0,0,SUMIF('Raw Data'!$A$3:$A$2927, $A113,'Raw Data'!AF$3:AF$2927) / COUNTIF('Raw Data'!$A$3:$A$2927,$A113))</f>
        <v>0</v>
      </c>
      <c r="AH113">
        <f>IF( COUNTIF('Raw Data'!$A$3:$A$2927,$A113)=0,0,SUMIF('Raw Data'!$A$3:$A$2927, $A113,'Raw Data'!AG$3:AG$2927) / COUNTIF('Raw Data'!$A$3:$A$2927,$A113))</f>
        <v>0</v>
      </c>
      <c r="AI113">
        <f>IF( COUNTIF('Raw Data'!$A$3:$A$2927,$A113)=0,0,SUMIF('Raw Data'!$A$3:$A$2927, $A113,'Raw Data'!AH$3:AH$2927) / COUNTIF('Raw Data'!$A$3:$A$2927,$A113))</f>
        <v>0</v>
      </c>
      <c r="AJ113" s="116">
        <f>COUNTIF('Raw Data'!A$3:A$2927, $A113)</f>
        <v>0</v>
      </c>
      <c r="AK113">
        <f>IFERROR(SUM(IF($E113 &gt;autoThreshold, auto), hatch * SUM($H113:$K113), cargo * SUM($M113:$P113),hatch * SUM( $S113:$V113), cargo * SUM($X113:$AA113), rocket23 * SUM($J113:$K113, $O113:$P113, $U113:$V113, $Z113:$AA113), IF($AD113 &gt; climbThreshold, climb), IF($AC113 &gt; assistThreshold, $AC113 * assist), $AH113 * penalty, dropHatch * $AI113, tippedBroke * SUM($AE113:$AF113),  IF( $E113 &lt; noAutoThreshold, noAuto), IF($C113 &lt; doesNothingThreshold, doesNothing, IF($AD113 &gt;1.45, 2) )), "h")</f>
        <v>-21</v>
      </c>
      <c r="AL113">
        <f>SUM(hHatch * SUM($H113:$K113), hHatch * SUM($S113:$V113), hRocket23 * SUM($J113:$K113), hRocket23 * SUM($U113:$V113), hSandstorm * SUM($H113:$K113), hPenalty * $AH113, hDropHatch * $AI113,hTippedBroke * SUM($AE113:$AF113), IF($E113 &lt; hNoAutoThreshold, hNoAuto), IF($AG113 &gt; hFloorHatchThreshold, hFloorHatch))</f>
        <v>-1.5</v>
      </c>
      <c r="AM113">
        <f>SUM(cCargo * SUM($M113:$P113), cCargo *SUM( $X113:$AA113), cRocket23 * SUM($O113:$P113, $Z113:$AA113),cSandstorm * SUM($M113:$P113), cPenalty * $AH113, cTippedBroke * SUM($AE113:$AF113), IF($E113 &lt; cNoAutoThreshold, cNoAuto, 0))</f>
        <v>-1</v>
      </c>
    </row>
    <row r="114" spans="1:39" ht="15.75" thickBot="1">
      <c r="A114">
        <v>7806</v>
      </c>
      <c r="B114" t="s">
        <v>463</v>
      </c>
      <c r="C114">
        <f>PRODUCT($E114,3)+PRODUCT(SUM($H114:$K114),2)+PRODUCT(SUM($M114:$P114),3)+PRODUCT(SUM($S114:$V114),2)+PRODUCT(SUM($X114:$AA114), 3)+IF($AC114 &gt; 2, PRODUCT(SUM($AC114, -1),6), PRODUCT($AC114,3)) + IF($AD114 &gt; 2, PRODUCT(SUM($AD114, -1),6), PRODUCT($AD114,3)) + PRODUCT($AH114, -1)</f>
        <v>0</v>
      </c>
      <c r="D114">
        <f>PRODUCT(SUM($H114:$I114), 2) + PRODUCT(SUM($M114:$N114),3) + PRODUCT(SUM($S114:$T114), 2) + PRODUCT(SUM($X114:$Y114), 3)</f>
        <v>0</v>
      </c>
      <c r="E114">
        <f>IF( COUNTIF('Raw Data'!$A$3:$A$2927,$A114)=0,0,SUMIF('Raw Data'!$A$3:$A$2927, $A114,'Raw Data'!D$3:D$2927) / COUNTIF('Raw Data'!$A$3:$A$2927,$A114))</f>
        <v>0</v>
      </c>
      <c r="F114">
        <f t="array" ref="F114">MAX(IF('Raw Data'!$A$3:$A$927=$A114, 'Raw Data'!$O$3:$O$927))</f>
        <v>0</v>
      </c>
      <c r="G114">
        <f t="array" ref="G114">MAX(IF('Raw Data'!$A$3:$A$927=$A114, 'Raw Data'!$I$3:$I$927))</f>
        <v>0</v>
      </c>
      <c r="H114">
        <f>IF( COUNTIF('Raw Data'!$A$3:$A$2927,$A114)=0,0,SUMIF('Raw Data'!$A$3:$A$2927, $A114,'Raw Data'!E$3:E$2927) / COUNTIF('Raw Data'!$A$3:$A$2927,$A114))</f>
        <v>0</v>
      </c>
      <c r="I114">
        <f>IF( COUNTIF('Raw Data'!$A$3:$A$2927,$A114)=0,0,SUMIF('Raw Data'!$A$3:$A$2927, $A114,'Raw Data'!F$3:F$2927) / COUNTIF('Raw Data'!$A$3:$A$2927,$A114))</f>
        <v>0</v>
      </c>
      <c r="J114">
        <f>IF( COUNTIF('Raw Data'!$A$3:$A$2927,$A114)=0,0,SUMIF('Raw Data'!$A$3:$A$2927, $A114,'Raw Data'!G$3:G$2927) / COUNTIF('Raw Data'!$A$3:$A$2927,$A114))</f>
        <v>0</v>
      </c>
      <c r="K114">
        <f>IF( COUNTIF('Raw Data'!$A$3:$A$2927,$A114)=0,0,SUMIF('Raw Data'!$A$3:$A$2927, $A114,'Raw Data'!H$3:H$2927) / COUNTIF('Raw Data'!$A$3:$A$2927,$A114))</f>
        <v>0</v>
      </c>
      <c r="L114">
        <f t="array" ref="L114">MAX(IF('Raw Data'!$A$3:$A$927=$A114, 'Raw Data'!$N$3:$N$927))</f>
        <v>0</v>
      </c>
      <c r="M114">
        <f>IF( COUNTIF('Raw Data'!$A$3:$A$2927,$A114)=0,0,SUMIF('Raw Data'!$A$3:$A$2927, $A114,'Raw Data'!J$3:J$2927) / COUNTIF('Raw Data'!$A$3:$A$2927,$A114))</f>
        <v>0</v>
      </c>
      <c r="N114">
        <f>IF( COUNTIF('Raw Data'!$A$3:$A$2927,$A114)=0,0,SUMIF('Raw Data'!$A$3:$A$2927, $A114,'Raw Data'!K$3:K$2927) / COUNTIF('Raw Data'!$A$3:$A$2927,$A114))</f>
        <v>0</v>
      </c>
      <c r="O114">
        <f>IF( COUNTIF('Raw Data'!$A$3:$A$2927,$A114)=0,0,SUMIF('Raw Data'!$A$3:$A$2927, $A114,'Raw Data'!L$3:L$2927) / COUNTIF('Raw Data'!$A$3:$A$2927,$A114))</f>
        <v>0</v>
      </c>
      <c r="P114" s="58">
        <f>IF( COUNTIF('Raw Data'!$A$3:$A$2927,$A114)=0,0,SUMIF('Raw Data'!$A$3:$A$2927, $A114,'Raw Data'!M$3:M$2927) / COUNTIF('Raw Data'!$A$3:$A$2927,$A114))</f>
        <v>0</v>
      </c>
      <c r="Q114">
        <f t="array" ref="Q114">MAX(IF('Raw Data'!$A$3:$A$927=$A114, 'Raw Data'!$Z$3:$Z$927))</f>
        <v>0</v>
      </c>
      <c r="R114">
        <f t="array" ref="R114">MAX(IF('Raw Data'!$A$3:$A$927=$A114, 'Raw Data'!$T$3:$T$927))</f>
        <v>0</v>
      </c>
      <c r="S114" s="118">
        <f>IF( COUNTIF('Raw Data'!$A$3:$A$2927,$A114)=0,0,SUMIF('Raw Data'!$A$3:$A$2927, $A114,'Raw Data'!P$3:P$2927) / COUNTIF('Raw Data'!$A$3:$A$2927,$A114))</f>
        <v>0</v>
      </c>
      <c r="T114">
        <f>IF( COUNTIF('Raw Data'!$A$3:$A$2927,$A114)=0,0,SUMIF('Raw Data'!$A$3:$A$2927, $A114,'Raw Data'!Q$3:Q$2927) / COUNTIF('Raw Data'!$A$3:$A$2927,$A114))</f>
        <v>0</v>
      </c>
      <c r="U114">
        <f>IF( COUNTIF('Raw Data'!$A$3:$A$2927,$A114)=0,0,SUMIF('Raw Data'!$A$3:$A$2927, $A114,'Raw Data'!R$3:R$2927) / COUNTIF('Raw Data'!$A$3:$A$2927,$A114))</f>
        <v>0</v>
      </c>
      <c r="V114">
        <f>IF( COUNTIF('Raw Data'!$A$3:$A$2927,$A114)=0,0,SUMIF('Raw Data'!$A$3:$A$2927, $A114,'Raw Data'!S$3:S$2927) / COUNTIF('Raw Data'!$A$3:$A$2927,$A114))</f>
        <v>0</v>
      </c>
      <c r="W114">
        <f t="array" ref="W114">MAX(IF('Raw Data'!$A$3:$A$927=$A114, 'Raw Data'!$Y$3:$Y$927))</f>
        <v>0</v>
      </c>
      <c r="X114">
        <f>IF( COUNTIF('Raw Data'!$A$3:$A$2927,$A114)=0,0,SUMIF('Raw Data'!$A$3:$A$2927, $A114,'Raw Data'!U$3:U$2927) / COUNTIF('Raw Data'!$A$3:$A$2927,$A114))</f>
        <v>0</v>
      </c>
      <c r="Y114">
        <f>IF( COUNTIF('Raw Data'!$A$3:$A$2927,$A114)=0,0,SUMIF('Raw Data'!$A$3:$A$2927, $A114,'Raw Data'!V$3:V$2927) / COUNTIF('Raw Data'!$A$3:$A$2927,$A114))</f>
        <v>0</v>
      </c>
      <c r="Z114">
        <f>IF( COUNTIF('Raw Data'!$A$3:$A$2927,$A114)=0,0,SUMIF('Raw Data'!$A$3:$A$2927, $A114,'Raw Data'!W$3:W$2927) / COUNTIF('Raw Data'!$A$3:$A$2927,$A114))</f>
        <v>0</v>
      </c>
      <c r="AA114">
        <f>IF( COUNTIF('Raw Data'!$A$3:$A$2927,$A114)=0,0,SUMIF('Raw Data'!$A$3:$A$2927, $A114,'Raw Data'!X$3:X$2927) / COUNTIF('Raw Data'!$A$3:$A$2927,$A114))</f>
        <v>0</v>
      </c>
      <c r="AB114">
        <f>IF( COUNTIF('Raw Data'!$A$3:$A$2927,$A114)=0,0,SUMIF('Raw Data'!$A$3:$A$2927, $A114,'Raw Data'!AA$3:AA$2927) / COUNTIF('Raw Data'!$A$3:$A$2927,$A114))</f>
        <v>0</v>
      </c>
      <c r="AC114">
        <f>IF( COUNTIF('Raw Data'!$A$3:$A$2927,$A114)=0,0,SUMIF('Raw Data'!$A$3:$A$2927, $A114,'Raw Data'!AB$3:AB$2927) / COUNTIF('Raw Data'!$A$3:$A$2927,$A114))</f>
        <v>0</v>
      </c>
      <c r="AD114">
        <f>IF( COUNTIF('Raw Data'!$A$3:$A$2927,$A114)=0,0,SUMIF('Raw Data'!$A$3:$A$2927, $A114,'Raw Data'!AC$3:AC$2927) / COUNTIF('Raw Data'!$A$3:$A$2927,$A114))</f>
        <v>0</v>
      </c>
      <c r="AE114" s="117">
        <f>IF( COUNTIF('Raw Data'!$A$3:$A$2927,$A114)=0,0,SUMIF('Raw Data'!$A$3:$A$2927, $A114,'Raw Data'!AD$3:AD$2927) / COUNTIF('Raw Data'!$A$3:$A$2927,$A114))</f>
        <v>0</v>
      </c>
      <c r="AF114">
        <f>IF( COUNTIF('Raw Data'!$A$3:$A$2927,$A114)=0,0,SUMIF('Raw Data'!$A$3:$A$2927, $A114,'Raw Data'!AE$3:AE$2927) / COUNTIF('Raw Data'!$A$3:$A$2927,$A114))</f>
        <v>0</v>
      </c>
      <c r="AG114">
        <f>IF( COUNTIF('Raw Data'!$A$3:$A$2927,$A114)=0,0,SUMIF('Raw Data'!$A$3:$A$2927, $A114,'Raw Data'!AF$3:AF$2927) / COUNTIF('Raw Data'!$A$3:$A$2927,$A114))</f>
        <v>0</v>
      </c>
      <c r="AH114">
        <f>IF( COUNTIF('Raw Data'!$A$3:$A$2927,$A114)=0,0,SUMIF('Raw Data'!$A$3:$A$2927, $A114,'Raw Data'!AG$3:AG$2927) / COUNTIF('Raw Data'!$A$3:$A$2927,$A114))</f>
        <v>0</v>
      </c>
      <c r="AI114">
        <f>IF( COUNTIF('Raw Data'!$A$3:$A$2927,$A114)=0,0,SUMIF('Raw Data'!$A$3:$A$2927, $A114,'Raw Data'!AH$3:AH$2927) / COUNTIF('Raw Data'!$A$3:$A$2927,$A114))</f>
        <v>0</v>
      </c>
      <c r="AJ114" s="116">
        <f>COUNTIF('Raw Data'!A$3:A$2927, $A114)</f>
        <v>0</v>
      </c>
      <c r="AK114">
        <f>IFERROR(SUM(IF($E114 &gt;autoThreshold, auto), hatch * SUM($H114:$K114), cargo * SUM($M114:$P114),hatch * SUM( $S114:$V114), cargo * SUM($X114:$AA114), rocket23 * SUM($J114:$K114, $O114:$P114, $U114:$V114, $Z114:$AA114), IF($AD114 &gt; climbThreshold, climb), IF($AC114 &gt; assistThreshold, $AC114 * assist), $AH114 * penalty, dropHatch * $AI114, tippedBroke * SUM($AE114:$AF114),  IF( $E114 &lt; noAutoThreshold, noAuto), IF($C114 &lt; doesNothingThreshold, doesNothing, IF($AD114 &gt;1.45, 2) )), "h")</f>
        <v>-21</v>
      </c>
      <c r="AL114">
        <f>SUM(hHatch * SUM($H114:$K114), hHatch * SUM($S114:$V114), hRocket23 * SUM($J114:$K114), hRocket23 * SUM($U114:$V114), hSandstorm * SUM($H114:$K114), hPenalty * $AH114, hDropHatch * $AI114,hTippedBroke * SUM($AE114:$AF114), IF($E114 &lt; hNoAutoThreshold, hNoAuto), IF($AG114 &gt; hFloorHatchThreshold, hFloorHatch))</f>
        <v>-1.5</v>
      </c>
      <c r="AM114">
        <f>SUM(cCargo * SUM($M114:$P114), cCargo *SUM( $X114:$AA114), cRocket23 * SUM($O114:$P114, $Z114:$AA114),cSandstorm * SUM($M114:$P114), cPenalty * $AH114, cTippedBroke * SUM($AE114:$AF114), IF($E114 &lt; cNoAutoThreshold, cNoAuto, 0))</f>
        <v>-1</v>
      </c>
    </row>
    <row r="115" spans="1:39">
      <c r="A115">
        <v>7902</v>
      </c>
      <c r="B115" t="s">
        <v>464</v>
      </c>
      <c r="C115">
        <f>PRODUCT($E115,3)+PRODUCT(SUM($H115:$K115),2)+PRODUCT(SUM($M115:$P115),3)+PRODUCT(SUM($S115:$V115),2)+PRODUCT(SUM($X115:$AA115), 3)+IF($AC115 &gt; 2, PRODUCT(SUM($AC115, -1),6), PRODUCT($AC115,3)) + IF($AD115 &gt; 2, PRODUCT(SUM($AD115, -1),6), PRODUCT($AD115,3)) + PRODUCT($AH115, -1)</f>
        <v>0</v>
      </c>
      <c r="D115">
        <f>PRODUCT(SUM($H115:$I115), 2) + PRODUCT(SUM($M115:$N115),3) + PRODUCT(SUM($S115:$T115), 2) + PRODUCT(SUM($X115:$Y115), 3)</f>
        <v>0</v>
      </c>
      <c r="E115">
        <f>IF( COUNTIF('Raw Data'!$A$3:$A$2927,$A115)=0,0,SUMIF('Raw Data'!$A$3:$A$2927, $A115,'Raw Data'!D$3:D$2927) / COUNTIF('Raw Data'!$A$3:$A$2927,$A115))</f>
        <v>0</v>
      </c>
      <c r="F115">
        <f t="array" ref="F115">MAX(IF('Raw Data'!$A$3:$A$927=$A115, 'Raw Data'!$O$3:$O$927))</f>
        <v>0</v>
      </c>
      <c r="G115">
        <f t="array" ref="G115">MAX(IF('Raw Data'!$A$3:$A$927=$A115, 'Raw Data'!$I$3:$I$927))</f>
        <v>0</v>
      </c>
      <c r="H115">
        <f>IF( COUNTIF('Raw Data'!$A$3:$A$2927,$A115)=0,0,SUMIF('Raw Data'!$A$3:$A$2927, $A115,'Raw Data'!E$3:E$2927) / COUNTIF('Raw Data'!$A$3:$A$2927,$A115))</f>
        <v>0</v>
      </c>
      <c r="I115">
        <f>IF( COUNTIF('Raw Data'!$A$3:$A$2927,$A115)=0,0,SUMIF('Raw Data'!$A$3:$A$2927, $A115,'Raw Data'!F$3:F$2927) / COUNTIF('Raw Data'!$A$3:$A$2927,$A115))</f>
        <v>0</v>
      </c>
      <c r="J115">
        <f>IF( COUNTIF('Raw Data'!$A$3:$A$2927,$A115)=0,0,SUMIF('Raw Data'!$A$3:$A$2927, $A115,'Raw Data'!G$3:G$2927) / COUNTIF('Raw Data'!$A$3:$A$2927,$A115))</f>
        <v>0</v>
      </c>
      <c r="K115">
        <f>IF( COUNTIF('Raw Data'!$A$3:$A$2927,$A115)=0,0,SUMIF('Raw Data'!$A$3:$A$2927, $A115,'Raw Data'!H$3:H$2927) / COUNTIF('Raw Data'!$A$3:$A$2927,$A115))</f>
        <v>0</v>
      </c>
      <c r="L115">
        <f t="array" ref="L115">MAX(IF('Raw Data'!$A$3:$A$927=$A115, 'Raw Data'!$N$3:$N$927))</f>
        <v>0</v>
      </c>
      <c r="M115">
        <f>IF( COUNTIF('Raw Data'!$A$3:$A$2927,$A115)=0,0,SUMIF('Raw Data'!$A$3:$A$2927, $A115,'Raw Data'!J$3:J$2927) / COUNTIF('Raw Data'!$A$3:$A$2927,$A115))</f>
        <v>0</v>
      </c>
      <c r="N115">
        <f>IF( COUNTIF('Raw Data'!$A$3:$A$2927,$A115)=0,0,SUMIF('Raw Data'!$A$3:$A$2927, $A115,'Raw Data'!K$3:K$2927) / COUNTIF('Raw Data'!$A$3:$A$2927,$A115))</f>
        <v>0</v>
      </c>
      <c r="O115">
        <f>IF( COUNTIF('Raw Data'!$A$3:$A$2927,$A115)=0,0,SUMIF('Raw Data'!$A$3:$A$2927, $A115,'Raw Data'!L$3:L$2927) / COUNTIF('Raw Data'!$A$3:$A$2927,$A115))</f>
        <v>0</v>
      </c>
      <c r="P115" s="58">
        <f>IF( COUNTIF('Raw Data'!$A$3:$A$2927,$A115)=0,0,SUMIF('Raw Data'!$A$3:$A$2927, $A115,'Raw Data'!M$3:M$2927) / COUNTIF('Raw Data'!$A$3:$A$2927,$A115))</f>
        <v>0</v>
      </c>
      <c r="Q115">
        <f t="array" ref="Q115">MAX(IF('Raw Data'!$A$3:$A$927=$A115, 'Raw Data'!$Z$3:$Z$927))</f>
        <v>0</v>
      </c>
      <c r="R115">
        <f t="array" ref="R115">MAX(IF('Raw Data'!$A$3:$A$927=$A115, 'Raw Data'!$T$3:$T$927))</f>
        <v>0</v>
      </c>
      <c r="S115" s="118">
        <f>IF( COUNTIF('Raw Data'!$A$3:$A$2927,$A115)=0,0,SUMIF('Raw Data'!$A$3:$A$2927, $A115,'Raw Data'!P$3:P$2927) / COUNTIF('Raw Data'!$A$3:$A$2927,$A115))</f>
        <v>0</v>
      </c>
      <c r="T115">
        <f>IF( COUNTIF('Raw Data'!$A$3:$A$2927,$A115)=0,0,SUMIF('Raw Data'!$A$3:$A$2927, $A115,'Raw Data'!Q$3:Q$2927) / COUNTIF('Raw Data'!$A$3:$A$2927,$A115))</f>
        <v>0</v>
      </c>
      <c r="U115">
        <f>IF( COUNTIF('Raw Data'!$A$3:$A$2927,$A115)=0,0,SUMIF('Raw Data'!$A$3:$A$2927, $A115,'Raw Data'!R$3:R$2927) / COUNTIF('Raw Data'!$A$3:$A$2927,$A115))</f>
        <v>0</v>
      </c>
      <c r="V115">
        <f>IF( COUNTIF('Raw Data'!$A$3:$A$2927,$A115)=0,0,SUMIF('Raw Data'!$A$3:$A$2927, $A115,'Raw Data'!S$3:S$2927) / COUNTIF('Raw Data'!$A$3:$A$2927,$A115))</f>
        <v>0</v>
      </c>
      <c r="W115">
        <f t="array" ref="W115">MAX(IF('Raw Data'!$A$3:$A$927=$A115, 'Raw Data'!$Y$3:$Y$927))</f>
        <v>0</v>
      </c>
      <c r="X115">
        <f>IF( COUNTIF('Raw Data'!$A$3:$A$2927,$A115)=0,0,SUMIF('Raw Data'!$A$3:$A$2927, $A115,'Raw Data'!U$3:U$2927) / COUNTIF('Raw Data'!$A$3:$A$2927,$A115))</f>
        <v>0</v>
      </c>
      <c r="Y115">
        <f>IF( COUNTIF('Raw Data'!$A$3:$A$2927,$A115)=0,0,SUMIF('Raw Data'!$A$3:$A$2927, $A115,'Raw Data'!V$3:V$2927) / COUNTIF('Raw Data'!$A$3:$A$2927,$A115))</f>
        <v>0</v>
      </c>
      <c r="Z115">
        <f>IF( COUNTIF('Raw Data'!$A$3:$A$2927,$A115)=0,0,SUMIF('Raw Data'!$A$3:$A$2927, $A115,'Raw Data'!W$3:W$2927) / COUNTIF('Raw Data'!$A$3:$A$2927,$A115))</f>
        <v>0</v>
      </c>
      <c r="AA115">
        <f>IF( COUNTIF('Raw Data'!$A$3:$A$2927,$A115)=0,0,SUMIF('Raw Data'!$A$3:$A$2927, $A115,'Raw Data'!X$3:X$2927) / COUNTIF('Raw Data'!$A$3:$A$2927,$A115))</f>
        <v>0</v>
      </c>
      <c r="AB115">
        <f>IF( COUNTIF('Raw Data'!$A$3:$A$2927,$A115)=0,0,SUMIF('Raw Data'!$A$3:$A$2927, $A115,'Raw Data'!AA$3:AA$2927) / COUNTIF('Raw Data'!$A$3:$A$2927,$A115))</f>
        <v>0</v>
      </c>
      <c r="AC115">
        <f>IF( COUNTIF('Raw Data'!$A$3:$A$2927,$A115)=0,0,SUMIF('Raw Data'!$A$3:$A$2927, $A115,'Raw Data'!AB$3:AB$2927) / COUNTIF('Raw Data'!$A$3:$A$2927,$A115))</f>
        <v>0</v>
      </c>
      <c r="AD115">
        <f>IF( COUNTIF('Raw Data'!$A$3:$A$2927,$A115)=0,0,SUMIF('Raw Data'!$A$3:$A$2927, $A115,'Raw Data'!AC$3:AC$2927) / COUNTIF('Raw Data'!$A$3:$A$2927,$A115))</f>
        <v>0</v>
      </c>
      <c r="AE115" s="117">
        <f>IF( COUNTIF('Raw Data'!$A$3:$A$2927,$A115)=0,0,SUMIF('Raw Data'!$A$3:$A$2927, $A115,'Raw Data'!AD$3:AD$2927) / COUNTIF('Raw Data'!$A$3:$A$2927,$A115))</f>
        <v>0</v>
      </c>
      <c r="AF115">
        <f>IF( COUNTIF('Raw Data'!$A$3:$A$2927,$A115)=0,0,SUMIF('Raw Data'!$A$3:$A$2927, $A115,'Raw Data'!AE$3:AE$2927) / COUNTIF('Raw Data'!$A$3:$A$2927,$A115))</f>
        <v>0</v>
      </c>
      <c r="AG115">
        <f>IF( COUNTIF('Raw Data'!$A$3:$A$2927,$A115)=0,0,SUMIF('Raw Data'!$A$3:$A$2927, $A115,'Raw Data'!AF$3:AF$2927) / COUNTIF('Raw Data'!$A$3:$A$2927,$A115))</f>
        <v>0</v>
      </c>
      <c r="AH115">
        <f>IF( COUNTIF('Raw Data'!$A$3:$A$2927,$A115)=0,0,SUMIF('Raw Data'!$A$3:$A$2927, $A115,'Raw Data'!AG$3:AG$2927) / COUNTIF('Raw Data'!$A$3:$A$2927,$A115))</f>
        <v>0</v>
      </c>
      <c r="AI115">
        <f>IF( COUNTIF('Raw Data'!$A$3:$A$2927,$A115)=0,0,SUMIF('Raw Data'!$A$3:$A$2927, $A115,'Raw Data'!AH$3:AH$2927) / COUNTIF('Raw Data'!$A$3:$A$2927,$A115))</f>
        <v>0</v>
      </c>
      <c r="AJ115" s="116">
        <f>COUNTIF('Raw Data'!A$3:A$2927, $A115)</f>
        <v>0</v>
      </c>
      <c r="AK115">
        <f>IFERROR(SUM(IF($E115 &gt;autoThreshold, auto), hatch * SUM($H115:$K115), cargo * SUM($M115:$P115),hatch * SUM( $S115:$V115), cargo * SUM($X115:$AA115), rocket23 * SUM($J115:$K115, $O115:$P115, $U115:$V115, $Z115:$AA115), IF($AD115 &gt; climbThreshold, climb), IF($AC115 &gt; assistThreshold, $AC115 * assist), $AH115 * penalty, dropHatch * $AI115, tippedBroke * SUM($AE115:$AF115),  IF( $E115 &lt; noAutoThreshold, noAuto), IF($C115 &lt; doesNothingThreshold, doesNothing, IF($AD115 &gt;1.45, 2) )), "h")</f>
        <v>-21</v>
      </c>
      <c r="AL115">
        <f>SUM(hHatch * SUM($H115:$K115), hHatch * SUM($S115:$V115), hRocket23 * SUM($J115:$K115), hRocket23 * SUM($U115:$V115), hSandstorm * SUM($H115:$K115), hPenalty * $AH115, hDropHatch * $AI115,hTippedBroke * SUM($AE115:$AF115), IF($E115 &lt; hNoAutoThreshold, hNoAuto), IF($AG115 &gt; hFloorHatchThreshold, hFloorHatch))</f>
        <v>-1.5</v>
      </c>
      <c r="AM115">
        <f>SUM(cCargo * SUM($M115:$P115), cCargo *SUM( $X115:$AA115), cRocket23 * SUM($O115:$P115, $Z115:$AA115),cSandstorm * SUM($M115:$P115), cPenalty * $AH115, cTippedBroke * SUM($AE115:$AF115), IF($E115 &lt; cNoAutoThreshold, cNoAuto, 0))</f>
        <v>-1</v>
      </c>
    </row>
    <row r="116" spans="1:39">
      <c r="AE116" s="117"/>
      <c r="AJ116" s="117"/>
    </row>
    <row r="117" spans="1:39">
      <c r="AE117" s="117"/>
      <c r="AJ117" s="117"/>
    </row>
    <row r="118" spans="1:39">
      <c r="AE118" s="117"/>
      <c r="AJ118" s="117"/>
    </row>
    <row r="119" spans="1:39">
      <c r="AE119" s="117"/>
      <c r="AJ119" s="117"/>
    </row>
    <row r="120" spans="1:39">
      <c r="AE120" s="117"/>
      <c r="AJ120" s="117"/>
    </row>
    <row r="121" spans="1:39">
      <c r="AE121" s="117"/>
      <c r="AJ121" s="117"/>
    </row>
    <row r="122" spans="1:39">
      <c r="AE122" s="117"/>
      <c r="AJ122" s="117"/>
    </row>
    <row r="123" spans="1:39">
      <c r="AE123" s="117"/>
      <c r="AJ123" s="117"/>
    </row>
    <row r="124" spans="1:39">
      <c r="AE124" s="117"/>
      <c r="AJ124" s="117"/>
    </row>
    <row r="125" spans="1:39">
      <c r="AE125" s="117"/>
      <c r="AJ125" s="117"/>
    </row>
    <row r="126" spans="1:39">
      <c r="AE126" s="117"/>
      <c r="AJ126" s="117"/>
    </row>
    <row r="127" spans="1:39">
      <c r="AE127" s="117"/>
      <c r="AJ127" s="117"/>
    </row>
    <row r="128" spans="1:39">
      <c r="AE128" s="117"/>
      <c r="AJ128" s="117"/>
    </row>
    <row r="129" spans="31:36">
      <c r="AE129" s="117"/>
      <c r="AJ129" s="117"/>
    </row>
    <row r="130" spans="31:36">
      <c r="AE130" s="117"/>
      <c r="AJ130" s="117"/>
    </row>
    <row r="131" spans="31:36">
      <c r="AE131" s="117"/>
      <c r="AJ131" s="117"/>
    </row>
    <row r="132" spans="31:36">
      <c r="AE132" s="117"/>
      <c r="AJ132" s="117"/>
    </row>
    <row r="133" spans="31:36">
      <c r="AE133" s="117"/>
      <c r="AJ133" s="117"/>
    </row>
    <row r="134" spans="31:36">
      <c r="AE134" s="117"/>
      <c r="AJ134" s="117"/>
    </row>
    <row r="135" spans="31:36">
      <c r="AE135" s="117"/>
      <c r="AJ135" s="117"/>
    </row>
    <row r="136" spans="31:36">
      <c r="AE136" s="117"/>
      <c r="AJ136" s="117"/>
    </row>
    <row r="137" spans="31:36">
      <c r="AE137" s="117"/>
      <c r="AJ137" s="117"/>
    </row>
    <row r="138" spans="31:36">
      <c r="AE138" s="117"/>
      <c r="AJ138" s="117"/>
    </row>
    <row r="139" spans="31:36">
      <c r="AE139" s="117"/>
      <c r="AJ139" s="117"/>
    </row>
    <row r="140" spans="31:36">
      <c r="AE140" s="117"/>
      <c r="AJ140" s="117"/>
    </row>
    <row r="141" spans="31:36">
      <c r="AE141" s="117"/>
      <c r="AJ141" s="117"/>
    </row>
    <row r="142" spans="31:36">
      <c r="AE142" s="117"/>
      <c r="AJ142" s="117"/>
    </row>
    <row r="143" spans="31:36">
      <c r="AE143" s="117"/>
      <c r="AJ143" s="117"/>
    </row>
    <row r="144" spans="31:36">
      <c r="AE144" s="117"/>
      <c r="AJ144" s="117"/>
    </row>
    <row r="145" spans="31:36">
      <c r="AE145" s="117"/>
      <c r="AJ145" s="117"/>
    </row>
    <row r="146" spans="31:36">
      <c r="AE146" s="117"/>
      <c r="AJ146" s="117"/>
    </row>
    <row r="147" spans="31:36">
      <c r="AE147" s="117"/>
      <c r="AJ147" s="117"/>
    </row>
    <row r="148" spans="31:36">
      <c r="AE148" s="117"/>
      <c r="AJ148" s="117"/>
    </row>
    <row r="149" spans="31:36">
      <c r="AE149" s="117"/>
      <c r="AJ149" s="117"/>
    </row>
    <row r="150" spans="31:36">
      <c r="AE150" s="117"/>
      <c r="AJ150" s="117"/>
    </row>
    <row r="151" spans="31:36">
      <c r="AE151" s="117"/>
      <c r="AJ151" s="117"/>
    </row>
    <row r="152" spans="31:36">
      <c r="AE152" s="117"/>
      <c r="AJ152" s="117"/>
    </row>
    <row r="153" spans="31:36">
      <c r="AE153" s="117"/>
      <c r="AJ153" s="117"/>
    </row>
    <row r="154" spans="31:36">
      <c r="AE154" s="117"/>
      <c r="AJ154" s="117"/>
    </row>
    <row r="155" spans="31:36">
      <c r="AE155" s="117"/>
      <c r="AJ155" s="117"/>
    </row>
    <row r="156" spans="31:36">
      <c r="AE156" s="117"/>
      <c r="AJ156" s="117"/>
    </row>
    <row r="157" spans="31:36">
      <c r="AE157" s="117"/>
      <c r="AJ157" s="117"/>
    </row>
    <row r="158" spans="31:36">
      <c r="AE158" s="117"/>
      <c r="AJ158" s="117"/>
    </row>
    <row r="159" spans="31:36">
      <c r="AE159" s="117"/>
      <c r="AJ159" s="117"/>
    </row>
    <row r="160" spans="31:36">
      <c r="AE160" s="117"/>
      <c r="AJ160" s="117"/>
    </row>
    <row r="161" spans="31:36">
      <c r="AE161" s="117"/>
      <c r="AJ161" s="117"/>
    </row>
    <row r="162" spans="31:36">
      <c r="AE162" s="117"/>
      <c r="AJ162" s="117"/>
    </row>
    <row r="163" spans="31:36">
      <c r="AE163" s="117"/>
      <c r="AJ163" s="117"/>
    </row>
    <row r="164" spans="31:36">
      <c r="AE164" s="117"/>
      <c r="AJ164" s="117"/>
    </row>
    <row r="165" spans="31:36">
      <c r="AE165" s="117"/>
      <c r="AJ165" s="117"/>
    </row>
    <row r="166" spans="31:36">
      <c r="AE166" s="117"/>
      <c r="AJ166" s="117"/>
    </row>
    <row r="167" spans="31:36">
      <c r="AE167" s="117"/>
      <c r="AJ167" s="117"/>
    </row>
    <row r="168" spans="31:36">
      <c r="AE168" s="117"/>
      <c r="AJ168" s="117"/>
    </row>
    <row r="169" spans="31:36">
      <c r="AE169" s="117"/>
      <c r="AJ169" s="117"/>
    </row>
    <row r="170" spans="31:36">
      <c r="AE170" s="117"/>
      <c r="AJ170" s="117"/>
    </row>
    <row r="171" spans="31:36">
      <c r="AE171" s="117"/>
      <c r="AJ171" s="117"/>
    </row>
    <row r="172" spans="31:36">
      <c r="AE172" s="117"/>
      <c r="AJ172" s="117"/>
    </row>
    <row r="173" spans="31:36">
      <c r="AE173" s="117"/>
      <c r="AJ173" s="117"/>
    </row>
    <row r="174" spans="31:36">
      <c r="AE174" s="117"/>
      <c r="AJ174" s="117"/>
    </row>
    <row r="175" spans="31:36">
      <c r="AE175" s="117"/>
      <c r="AJ175" s="117"/>
    </row>
    <row r="176" spans="31:36">
      <c r="AE176" s="117"/>
      <c r="AJ176" s="117"/>
    </row>
    <row r="177" spans="31:36">
      <c r="AE177" s="117"/>
      <c r="AJ177" s="117"/>
    </row>
    <row r="178" spans="31:36">
      <c r="AE178" s="117"/>
      <c r="AJ178" s="117"/>
    </row>
    <row r="179" spans="31:36">
      <c r="AE179" s="117"/>
      <c r="AJ179" s="117"/>
    </row>
    <row r="180" spans="31:36">
      <c r="AE180" s="117"/>
      <c r="AJ180" s="117"/>
    </row>
    <row r="181" spans="31:36">
      <c r="AE181" s="117"/>
      <c r="AJ181" s="117"/>
    </row>
    <row r="182" spans="31:36">
      <c r="AE182" s="117"/>
      <c r="AJ182" s="117"/>
    </row>
    <row r="183" spans="31:36">
      <c r="AE183" s="117"/>
      <c r="AJ183" s="117"/>
    </row>
    <row r="184" spans="31:36">
      <c r="AE184" s="117"/>
      <c r="AJ184" s="117"/>
    </row>
    <row r="185" spans="31:36">
      <c r="AE185" s="117"/>
      <c r="AJ185" s="117"/>
    </row>
    <row r="186" spans="31:36">
      <c r="AE186" s="117"/>
      <c r="AJ186" s="117"/>
    </row>
    <row r="187" spans="31:36">
      <c r="AE187" s="117"/>
      <c r="AJ187" s="117"/>
    </row>
    <row r="188" spans="31:36">
      <c r="AE188" s="117"/>
      <c r="AJ188" s="117"/>
    </row>
    <row r="189" spans="31:36">
      <c r="AE189" s="117"/>
      <c r="AJ189" s="117"/>
    </row>
    <row r="190" spans="31:36">
      <c r="AE190" s="117"/>
      <c r="AJ190" s="117"/>
    </row>
    <row r="191" spans="31:36">
      <c r="AE191" s="117"/>
      <c r="AJ191" s="117"/>
    </row>
    <row r="192" spans="31:36">
      <c r="AE192" s="117"/>
      <c r="AJ192" s="117"/>
    </row>
    <row r="193" spans="31:36">
      <c r="AE193" s="117"/>
      <c r="AJ193" s="117"/>
    </row>
    <row r="194" spans="31:36">
      <c r="AE194" s="117"/>
      <c r="AJ194" s="117"/>
    </row>
    <row r="195" spans="31:36">
      <c r="AE195" s="117"/>
      <c r="AJ195" s="117"/>
    </row>
    <row r="196" spans="31:36">
      <c r="AE196" s="117"/>
      <c r="AJ196" s="117"/>
    </row>
    <row r="197" spans="31:36">
      <c r="AE197" s="117"/>
      <c r="AJ197" s="117"/>
    </row>
    <row r="198" spans="31:36">
      <c r="AE198" s="117"/>
      <c r="AJ198" s="117"/>
    </row>
    <row r="199" spans="31:36">
      <c r="AE199" s="117"/>
      <c r="AJ199" s="117"/>
    </row>
    <row r="200" spans="31:36">
      <c r="AE200" s="117"/>
      <c r="AJ200" s="117"/>
    </row>
    <row r="201" spans="31:36">
      <c r="AE201" s="117"/>
      <c r="AJ201" s="117"/>
    </row>
    <row r="202" spans="31:36">
      <c r="AE202" s="117"/>
      <c r="AJ202" s="117"/>
    </row>
    <row r="203" spans="31:36">
      <c r="AE203" s="117"/>
      <c r="AJ203" s="117"/>
    </row>
    <row r="204" spans="31:36">
      <c r="AE204" s="117"/>
      <c r="AJ204" s="117"/>
    </row>
    <row r="205" spans="31:36">
      <c r="AE205" s="117"/>
      <c r="AJ205" s="117"/>
    </row>
    <row r="206" spans="31:36">
      <c r="AE206" s="117"/>
      <c r="AJ206" s="117"/>
    </row>
    <row r="207" spans="31:36">
      <c r="AE207" s="117"/>
      <c r="AJ207" s="117"/>
    </row>
    <row r="208" spans="31:36">
      <c r="AE208" s="117"/>
      <c r="AJ208" s="117"/>
    </row>
    <row r="209" spans="31:36">
      <c r="AE209" s="117"/>
      <c r="AJ209" s="117"/>
    </row>
    <row r="210" spans="31:36">
      <c r="AE210" s="117"/>
      <c r="AJ210" s="117"/>
    </row>
    <row r="211" spans="31:36">
      <c r="AE211" s="117"/>
      <c r="AJ211" s="117"/>
    </row>
    <row r="212" spans="31:36">
      <c r="AE212" s="117"/>
      <c r="AJ212" s="117"/>
    </row>
    <row r="213" spans="31:36">
      <c r="AE213" s="117"/>
      <c r="AJ213" s="117"/>
    </row>
    <row r="214" spans="31:36">
      <c r="AE214" s="117"/>
      <c r="AJ214" s="117"/>
    </row>
    <row r="215" spans="31:36">
      <c r="AE215" s="117"/>
      <c r="AJ215" s="117"/>
    </row>
    <row r="216" spans="31:36">
      <c r="AE216" s="117"/>
      <c r="AJ216" s="117"/>
    </row>
    <row r="217" spans="31:36">
      <c r="AE217" s="117"/>
      <c r="AJ217" s="117"/>
    </row>
    <row r="218" spans="31:36">
      <c r="AE218" s="117"/>
      <c r="AJ218" s="117"/>
    </row>
    <row r="219" spans="31:36">
      <c r="AE219" s="117"/>
      <c r="AJ219" s="117"/>
    </row>
    <row r="220" spans="31:36">
      <c r="AE220" s="117"/>
      <c r="AJ220" s="117"/>
    </row>
    <row r="221" spans="31:36">
      <c r="AE221" s="117"/>
      <c r="AJ221" s="117"/>
    </row>
    <row r="222" spans="31:36">
      <c r="AE222" s="117"/>
      <c r="AJ222" s="117"/>
    </row>
    <row r="223" spans="31:36">
      <c r="AE223" s="117"/>
      <c r="AJ223" s="117"/>
    </row>
    <row r="224" spans="31:36">
      <c r="AE224" s="117"/>
      <c r="AJ224" s="117"/>
    </row>
    <row r="225" spans="31:36">
      <c r="AE225" s="117"/>
      <c r="AJ225" s="117"/>
    </row>
    <row r="226" spans="31:36">
      <c r="AE226" s="117"/>
      <c r="AJ226" s="117"/>
    </row>
    <row r="227" spans="31:36">
      <c r="AE227" s="117"/>
      <c r="AJ227" s="117"/>
    </row>
    <row r="228" spans="31:36">
      <c r="AE228" s="117"/>
      <c r="AJ228" s="117"/>
    </row>
    <row r="229" spans="31:36">
      <c r="AE229" s="117"/>
      <c r="AJ229" s="117"/>
    </row>
    <row r="230" spans="31:36">
      <c r="AE230" s="117"/>
      <c r="AJ230" s="117"/>
    </row>
    <row r="231" spans="31:36">
      <c r="AE231" s="117"/>
      <c r="AJ231" s="117"/>
    </row>
    <row r="232" spans="31:36">
      <c r="AE232" s="117"/>
      <c r="AJ232" s="117"/>
    </row>
    <row r="233" spans="31:36">
      <c r="AE233" s="117"/>
      <c r="AJ233" s="117"/>
    </row>
    <row r="234" spans="31:36">
      <c r="AE234" s="117"/>
      <c r="AJ234" s="117"/>
    </row>
    <row r="235" spans="31:36">
      <c r="AE235" s="117"/>
      <c r="AJ235" s="117"/>
    </row>
    <row r="236" spans="31:36">
      <c r="AE236" s="117"/>
      <c r="AJ236" s="117"/>
    </row>
    <row r="237" spans="31:36">
      <c r="AE237" s="117"/>
      <c r="AJ237" s="117"/>
    </row>
    <row r="238" spans="31:36">
      <c r="AE238" s="117"/>
      <c r="AJ238" s="117"/>
    </row>
    <row r="239" spans="31:36">
      <c r="AE239" s="117"/>
      <c r="AJ239" s="117"/>
    </row>
    <row r="240" spans="31:36">
      <c r="AE240" s="117"/>
      <c r="AJ240" s="117"/>
    </row>
    <row r="241" spans="31:36">
      <c r="AE241" s="117"/>
      <c r="AJ241" s="117"/>
    </row>
    <row r="242" spans="31:36">
      <c r="AE242" s="117"/>
      <c r="AJ242" s="117"/>
    </row>
    <row r="243" spans="31:36">
      <c r="AE243" s="117"/>
      <c r="AJ243" s="117"/>
    </row>
    <row r="244" spans="31:36">
      <c r="AE244" s="117"/>
      <c r="AJ244" s="117"/>
    </row>
    <row r="245" spans="31:36">
      <c r="AE245" s="117"/>
      <c r="AJ245" s="117"/>
    </row>
    <row r="246" spans="31:36">
      <c r="AE246" s="117"/>
      <c r="AJ246" s="117"/>
    </row>
    <row r="247" spans="31:36">
      <c r="AE247" s="117"/>
      <c r="AJ247" s="117"/>
    </row>
    <row r="248" spans="31:36">
      <c r="AE248" s="117"/>
      <c r="AJ248" s="117"/>
    </row>
    <row r="249" spans="31:36">
      <c r="AE249" s="117"/>
      <c r="AJ249" s="117"/>
    </row>
    <row r="250" spans="31:36">
      <c r="AE250" s="117"/>
      <c r="AJ250" s="117"/>
    </row>
  </sheetData>
  <mergeCells count="8">
    <mergeCell ref="AY13:AZ13"/>
    <mergeCell ref="AS13:AT13"/>
    <mergeCell ref="AV13:AW13"/>
    <mergeCell ref="A1:B1"/>
    <mergeCell ref="G1:P1"/>
    <mergeCell ref="Q1:AD1"/>
    <mergeCell ref="AE1:AI1"/>
    <mergeCell ref="AP13:AQ13"/>
  </mergeCells>
  <conditionalFormatting sqref="A3:B42">
    <cfRule type="expression" dxfId="69" priority="210">
      <formula>IF($AJ3=0,TRUE,FALSE)</formula>
    </cfRule>
  </conditionalFormatting>
  <conditionalFormatting sqref="F1:F2 F251:F1048576">
    <cfRule type="cellIs" dxfId="68" priority="205" operator="greaterThan">
      <formula>$AQ$20</formula>
    </cfRule>
    <cfRule type="cellIs" dxfId="67" priority="206" operator="greaterThan">
      <formula>$AQ$20</formula>
    </cfRule>
  </conditionalFormatting>
  <conditionalFormatting sqref="AP14:AW29 AP30:AQ30">
    <cfRule type="containsText" dxfId="66" priority="204" operator="containsText" text="threshold">
      <formula>NOT(ISERROR(SEARCH("threshold",AP14)))</formula>
    </cfRule>
  </conditionalFormatting>
  <conditionalFormatting sqref="AP14:AW28 AQ30">
    <cfRule type="cellIs" dxfId="65" priority="203" operator="lessThan">
      <formula>0</formula>
    </cfRule>
  </conditionalFormatting>
  <conditionalFormatting sqref="AY14:AZ29">
    <cfRule type="containsText" dxfId="64" priority="202" operator="containsText" text="threshold">
      <formula>NOT(ISERROR(SEARCH("threshold",AY14)))</formula>
    </cfRule>
  </conditionalFormatting>
  <conditionalFormatting sqref="AY14:AZ28">
    <cfRule type="cellIs" dxfId="63" priority="201" operator="lessThan">
      <formula>0</formula>
    </cfRule>
  </conditionalFormatting>
  <conditionalFormatting sqref="AP37">
    <cfRule type="expression" dxfId="62" priority="200">
      <formula>IF($AJ37=0,TRUE,FALSE)</formula>
    </cfRule>
  </conditionalFormatting>
  <conditionalFormatting sqref="A116:AM250 A43:B115">
    <cfRule type="expression" dxfId="61" priority="198">
      <formula>IF($AJ43=0,TRUE,FALSE)</formula>
    </cfRule>
  </conditionalFormatting>
  <conditionalFormatting sqref="F116:F250">
    <cfRule type="cellIs" dxfId="60" priority="196" operator="greaterThan">
      <formula>$AQ$20</formula>
    </cfRule>
    <cfRule type="cellIs" dxfId="59" priority="197" operator="greaterThan">
      <formula>$AQ$20</formula>
    </cfRule>
  </conditionalFormatting>
  <conditionalFormatting sqref="C3:C115">
    <cfRule type="expression" dxfId="58" priority="39">
      <formula>IF($AJ3=0,TRUE,FALSE)</formula>
    </cfRule>
  </conditionalFormatting>
  <conditionalFormatting sqref="D3:D115">
    <cfRule type="expression" dxfId="57" priority="38">
      <formula>IF($AJ3=0,TRUE,FALSE)</formula>
    </cfRule>
  </conditionalFormatting>
  <conditionalFormatting sqref="E3:E115">
    <cfRule type="expression" dxfId="56" priority="37">
      <formula>IF($AJ3=0,TRUE,FALSE)</formula>
    </cfRule>
  </conditionalFormatting>
  <conditionalFormatting sqref="F3:F115">
    <cfRule type="expression" dxfId="55" priority="36">
      <formula>IF($AJ3=0,TRUE,FALSE)</formula>
    </cfRule>
  </conditionalFormatting>
  <conditionalFormatting sqref="F3:F115">
    <cfRule type="cellIs" dxfId="54" priority="34" operator="greaterThan">
      <formula>$AQ$20</formula>
    </cfRule>
    <cfRule type="cellIs" dxfId="53" priority="35" operator="greaterThan">
      <formula>$AQ$20</formula>
    </cfRule>
  </conditionalFormatting>
  <conditionalFormatting sqref="G3:G115">
    <cfRule type="expression" dxfId="52" priority="33">
      <formula>IF($AJ3=0,TRUE,FALSE)</formula>
    </cfRule>
  </conditionalFormatting>
  <conditionalFormatting sqref="H3:H115">
    <cfRule type="expression" dxfId="51" priority="32">
      <formula>IF($AJ3=0,TRUE,FALSE)</formula>
    </cfRule>
  </conditionalFormatting>
  <conditionalFormatting sqref="I3:I115">
    <cfRule type="expression" dxfId="50" priority="31">
      <formula>IF($AJ3=0,TRUE,FALSE)</formula>
    </cfRule>
  </conditionalFormatting>
  <conditionalFormatting sqref="J3:J115">
    <cfRule type="expression" dxfId="49" priority="30">
      <formula>IF($AJ3=0,TRUE,FALSE)</formula>
    </cfRule>
  </conditionalFormatting>
  <conditionalFormatting sqref="K3:K115">
    <cfRule type="expression" dxfId="48" priority="29">
      <formula>IF($AJ3=0,TRUE,FALSE)</formula>
    </cfRule>
  </conditionalFormatting>
  <conditionalFormatting sqref="L3:L115">
    <cfRule type="expression" dxfId="47" priority="28">
      <formula>IF($AJ3=0,TRUE,FALSE)</formula>
    </cfRule>
  </conditionalFormatting>
  <conditionalFormatting sqref="M3:M115">
    <cfRule type="expression" dxfId="46" priority="27">
      <formula>IF($AJ3=0,TRUE,FALSE)</formula>
    </cfRule>
  </conditionalFormatting>
  <conditionalFormatting sqref="N3:N115">
    <cfRule type="expression" dxfId="45" priority="26">
      <formula>IF($AJ3=0,TRUE,FALSE)</formula>
    </cfRule>
  </conditionalFormatting>
  <conditionalFormatting sqref="O3:O115">
    <cfRule type="expression" dxfId="44" priority="25">
      <formula>IF($AJ3=0,TRUE,FALSE)</formula>
    </cfRule>
  </conditionalFormatting>
  <conditionalFormatting sqref="P3:P115">
    <cfRule type="expression" dxfId="43" priority="24">
      <formula>IF($AJ3=0,TRUE,FALSE)</formula>
    </cfRule>
  </conditionalFormatting>
  <conditionalFormatting sqref="Q3:Q115">
    <cfRule type="expression" dxfId="42" priority="23">
      <formula>IF($AJ3=0,TRUE,FALSE)</formula>
    </cfRule>
  </conditionalFormatting>
  <conditionalFormatting sqref="R3:R115">
    <cfRule type="expression" dxfId="41" priority="22">
      <formula>IF($AJ3=0,TRUE,FALSE)</formula>
    </cfRule>
  </conditionalFormatting>
  <conditionalFormatting sqref="S3:S115">
    <cfRule type="expression" dxfId="40" priority="21">
      <formula>IF($AJ3=0,TRUE,FALSE)</formula>
    </cfRule>
  </conditionalFormatting>
  <conditionalFormatting sqref="T3:T115">
    <cfRule type="expression" dxfId="39" priority="20">
      <formula>IF($AJ3=0,TRUE,FALSE)</formula>
    </cfRule>
  </conditionalFormatting>
  <conditionalFormatting sqref="U3:U115">
    <cfRule type="expression" dxfId="38" priority="19">
      <formula>IF($AJ3=0,TRUE,FALSE)</formula>
    </cfRule>
  </conditionalFormatting>
  <conditionalFormatting sqref="V3:V115">
    <cfRule type="expression" dxfId="37" priority="18">
      <formula>IF($AJ3=0,TRUE,FALSE)</formula>
    </cfRule>
  </conditionalFormatting>
  <conditionalFormatting sqref="W3:W115">
    <cfRule type="expression" dxfId="36" priority="17">
      <formula>IF($AJ3=0,TRUE,FALSE)</formula>
    </cfRule>
  </conditionalFormatting>
  <conditionalFormatting sqref="X3:X115">
    <cfRule type="expression" dxfId="35" priority="16">
      <formula>IF($AJ3=0,TRUE,FALSE)</formula>
    </cfRule>
  </conditionalFormatting>
  <conditionalFormatting sqref="Y3:Y115">
    <cfRule type="expression" dxfId="34" priority="15">
      <formula>IF($AJ3=0,TRUE,FALSE)</formula>
    </cfRule>
  </conditionalFormatting>
  <conditionalFormatting sqref="Z3:Z115">
    <cfRule type="expression" dxfId="33" priority="14">
      <formula>IF($AJ3=0,TRUE,FALSE)</formula>
    </cfRule>
  </conditionalFormatting>
  <conditionalFormatting sqref="AA3:AA115">
    <cfRule type="expression" dxfId="32" priority="13">
      <formula>IF($AJ3=0,TRUE,FALSE)</formula>
    </cfRule>
  </conditionalFormatting>
  <conditionalFormatting sqref="AB3:AB115">
    <cfRule type="expression" dxfId="31" priority="12">
      <formula>IF($AJ3=0,TRUE,FALSE)</formula>
    </cfRule>
  </conditionalFormatting>
  <conditionalFormatting sqref="AC3:AC115">
    <cfRule type="expression" dxfId="30" priority="11">
      <formula>IF($AJ3=0,TRUE,FALSE)</formula>
    </cfRule>
  </conditionalFormatting>
  <conditionalFormatting sqref="AD3:AD115">
    <cfRule type="expression" dxfId="29" priority="10">
      <formula>IF($AJ3=0,TRUE,FALSE)</formula>
    </cfRule>
  </conditionalFormatting>
  <conditionalFormatting sqref="AE3:AE115">
    <cfRule type="expression" dxfId="28" priority="9">
      <formula>IF($AJ3=0,TRUE,FALSE)</formula>
    </cfRule>
  </conditionalFormatting>
  <conditionalFormatting sqref="AF3:AF115">
    <cfRule type="expression" dxfId="27" priority="8">
      <formula>IF($AJ3=0,TRUE,FALSE)</formula>
    </cfRule>
  </conditionalFormatting>
  <conditionalFormatting sqref="AG3:AG115">
    <cfRule type="expression" dxfId="26" priority="7">
      <formula>IF($AJ3=0,TRUE,FALSE)</formula>
    </cfRule>
  </conditionalFormatting>
  <conditionalFormatting sqref="AH3:AH115">
    <cfRule type="expression" dxfId="25" priority="6">
      <formula>IF($AJ3=0,TRUE,FALSE)</formula>
    </cfRule>
  </conditionalFormatting>
  <conditionalFormatting sqref="AI3:AI115">
    <cfRule type="expression" dxfId="24" priority="5">
      <formula>IF($AJ3=0,TRUE,FALSE)</formula>
    </cfRule>
  </conditionalFormatting>
  <conditionalFormatting sqref="AJ3:AJ115">
    <cfRule type="expression" dxfId="23" priority="4">
      <formula>IF($AJ3=0,TRUE,FALSE)</formula>
    </cfRule>
  </conditionalFormatting>
  <conditionalFormatting sqref="AK3:AK115">
    <cfRule type="expression" dxfId="22" priority="3">
      <formula>IF($AJ3=0,TRUE,FALSE)</formula>
    </cfRule>
  </conditionalFormatting>
  <conditionalFormatting sqref="AL3:AL115">
    <cfRule type="expression" dxfId="21" priority="2">
      <formula>IF($AJ3=0,TRUE,FALSE)</formula>
    </cfRule>
  </conditionalFormatting>
  <conditionalFormatting sqref="AM3:AM115">
    <cfRule type="expression" dxfId="20" priority="1">
      <formula>IF($AJ3=0,TRUE,FALSE)</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3B161-682B-3249-9FA6-BEE2AB62F79D}">
  <sheetPr codeName="Sheet5"/>
  <dimension ref="A1:R115"/>
  <sheetViews>
    <sheetView workbookViewId="0">
      <selection activeCell="J23" sqref="J23"/>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8" max="8" width="5.85546875" customWidth="1"/>
    <col min="10" max="10" width="25" customWidth="1"/>
    <col min="11" max="11" width="14.140625" customWidth="1"/>
    <col min="13" max="13" width="8.85546875" customWidth="1"/>
  </cols>
  <sheetData>
    <row r="1" spans="1:18">
      <c r="A1" s="189" t="s">
        <v>350</v>
      </c>
      <c r="B1" s="189"/>
      <c r="C1" s="189"/>
      <c r="D1" s="189"/>
      <c r="E1" s="189"/>
      <c r="F1" s="189"/>
      <c r="G1" s="189"/>
      <c r="H1" s="137"/>
      <c r="I1" s="189" t="s">
        <v>351</v>
      </c>
      <c r="J1" s="189"/>
      <c r="K1" s="189"/>
      <c r="L1" s="189"/>
      <c r="M1" s="189"/>
      <c r="N1" s="189"/>
      <c r="O1" s="189"/>
    </row>
    <row r="2" spans="1:18">
      <c r="A2" t="s">
        <v>306</v>
      </c>
      <c r="C2" t="s">
        <v>352</v>
      </c>
      <c r="D2" t="str">
        <f>'Scouting Output'!AL2</f>
        <v>Hatch Desirability</v>
      </c>
      <c r="E2" t="str">
        <f>'Scouting Output'!AM2</f>
        <v>Cargo Desirability</v>
      </c>
      <c r="F2" t="s">
        <v>311</v>
      </c>
      <c r="G2" t="s">
        <v>322</v>
      </c>
      <c r="H2" s="137"/>
      <c r="I2" s="135" t="s">
        <v>306</v>
      </c>
      <c r="K2" t="s">
        <v>353</v>
      </c>
      <c r="L2" t="s">
        <v>239</v>
      </c>
      <c r="M2" t="s">
        <v>321</v>
      </c>
      <c r="N2" t="s">
        <v>354</v>
      </c>
      <c r="O2" t="s">
        <v>322</v>
      </c>
    </row>
    <row r="3" spans="1:18">
      <c r="A3">
        <v>5406</v>
      </c>
      <c r="B3" t="s">
        <v>429</v>
      </c>
      <c r="C3">
        <f>IFERROR(VLOOKUP($A3,'Scouting Output'!$A$3:$AM$250,37,FALSE), -999)</f>
        <v>13.3</v>
      </c>
      <c r="D3">
        <f>IFERROR(VLOOKUP($A3,'Scouting Output'!$A$3:$AM$250,38,FALSE), -999)</f>
        <v>3.5</v>
      </c>
      <c r="E3">
        <f>IFERROR(VLOOKUP($A3,'Scouting Output'!$A$3:$AM$250,39,FALSE), -999)</f>
        <v>5</v>
      </c>
      <c r="F3">
        <f>IFERROR(VLOOKUP($A3, 'Scouting Output'!$A$3:$AM$250, 30, FALSE), -999)</f>
        <v>3</v>
      </c>
      <c r="G3">
        <f>IFERROR(VLOOKUP($A3, 'Scouting Output'!$A$3:$AM$250, 3, FALSE), -999)</f>
        <v>34</v>
      </c>
      <c r="H3" s="137"/>
      <c r="I3" s="135">
        <f>'Scouting Output'!A25</f>
        <v>2708</v>
      </c>
      <c r="J3" t="str">
        <f>'Scouting Output'!B25</f>
        <v>Lake Effect Robotics</v>
      </c>
      <c r="K3">
        <f>VLOOKUP($I3,'Scouting Output'!$A$3:$AN$42,40,FALSE)</f>
        <v>-22.462499999999999</v>
      </c>
      <c r="L3">
        <f>VLOOKUP($I3,'Scouting Output'!$A$3:$AM$42,38,FALSE)</f>
        <v>-2.8125</v>
      </c>
      <c r="M3">
        <f>VLOOKUP($I3,'Scouting Output'!$A$3:$AM$42,39,FALSE)</f>
        <v>-0.78</v>
      </c>
      <c r="N3">
        <f>VLOOKUP($I3,'Scouting Output'!$A$3:$AM$42,30,FALSE)</f>
        <v>0.75</v>
      </c>
      <c r="O3">
        <f>VLOOKUP($I3, 'Scouting Output'!$A$3:$AM$42, 3, FALSE)</f>
        <v>4.625</v>
      </c>
      <c r="Q3" t="s">
        <v>294</v>
      </c>
      <c r="R3">
        <v>4783</v>
      </c>
    </row>
    <row r="4" spans="1:18">
      <c r="A4">
        <v>188</v>
      </c>
      <c r="B4" t="s">
        <v>198</v>
      </c>
      <c r="C4">
        <f>IFERROR(VLOOKUP($A4,'Scouting Output'!$A$3:$AM$250,37,FALSE), -999)</f>
        <v>4.1111111111111116</v>
      </c>
      <c r="D4">
        <f>IFERROR(VLOOKUP($A4,'Scouting Output'!$A$3:$AM$250,38,FALSE), -999)</f>
        <v>1.6111111111111112</v>
      </c>
      <c r="E4">
        <f>IFERROR(VLOOKUP($A4,'Scouting Output'!$A$3:$AM$250,39,FALSE), -999)</f>
        <v>3.5555555555555554</v>
      </c>
      <c r="F4">
        <f>IFERROR(VLOOKUP($A4, 'Scouting Output'!$A$3:$AM$250, 30, FALSE), -999)</f>
        <v>0.66666666666666663</v>
      </c>
      <c r="G4">
        <f>IFERROR(VLOOKUP($A4, 'Scouting Output'!$A$3:$AM$250, 3, FALSE), -999)</f>
        <v>18.777777777777779</v>
      </c>
      <c r="H4" s="137"/>
      <c r="I4" s="135">
        <f>'Scouting Output'!A6</f>
        <v>288</v>
      </c>
      <c r="J4" t="str">
        <f>'Scouting Output'!B6</f>
        <v>The RoboDawgs</v>
      </c>
      <c r="K4">
        <f>VLOOKUP($I4,'Scouting Output'!$A$3:$AN$42,40,FALSE)</f>
        <v>-21</v>
      </c>
      <c r="L4">
        <f>VLOOKUP($I4,'Scouting Output'!$A$3:$AM$42,38,FALSE)</f>
        <v>-1.5</v>
      </c>
      <c r="M4">
        <f>VLOOKUP($I4,'Scouting Output'!$A$3:$AM$42,39,FALSE)</f>
        <v>-1</v>
      </c>
      <c r="N4">
        <f>VLOOKUP($I4,'Scouting Output'!$A$3:$AM$42,30,FALSE)</f>
        <v>0</v>
      </c>
      <c r="O4">
        <f>VLOOKUP($I4, 'Scouting Output'!$A$3:$AM$42, 3, FALSE)</f>
        <v>0</v>
      </c>
    </row>
    <row r="5" spans="1:18">
      <c r="A5">
        <v>4951</v>
      </c>
      <c r="B5" t="s">
        <v>216</v>
      </c>
      <c r="C5">
        <f>IFERROR(VLOOKUP($A5,'Scouting Output'!$A$3:$AM$250,37,FALSE), -999)</f>
        <v>2.2828571428571434</v>
      </c>
      <c r="D5">
        <f>IFERROR(VLOOKUP($A5,'Scouting Output'!$A$3:$AM$250,38,FALSE), -999)</f>
        <v>-1.2857142857142858</v>
      </c>
      <c r="E5">
        <f>IFERROR(VLOOKUP($A5,'Scouting Output'!$A$3:$AM$250,39,FALSE), -999)</f>
        <v>3.152857142857143</v>
      </c>
      <c r="F5">
        <f>IFERROR(VLOOKUP($A5, 'Scouting Output'!$A$3:$AM$250, 30, FALSE), -999)</f>
        <v>1</v>
      </c>
      <c r="G5">
        <f>IFERROR(VLOOKUP($A5, 'Scouting Output'!$A$3:$AM$250, 3, FALSE), -999)</f>
        <v>17.428571428571431</v>
      </c>
      <c r="H5" s="137"/>
      <c r="I5" s="135">
        <f>'Scouting Output'!A5</f>
        <v>244</v>
      </c>
      <c r="J5" t="str">
        <f>'Scouting Output'!B5</f>
        <v>RoboDawgs 3D</v>
      </c>
      <c r="K5">
        <f>VLOOKUP($I5,'Scouting Output'!$A$3:$AN$42,40,FALSE)</f>
        <v>-21</v>
      </c>
      <c r="L5">
        <f>VLOOKUP($I5,'Scouting Output'!$A$3:$AM$42,38,FALSE)</f>
        <v>-1.5</v>
      </c>
      <c r="M5">
        <f>VLOOKUP($I5,'Scouting Output'!$A$3:$AM$42,39,FALSE)</f>
        <v>-1</v>
      </c>
      <c r="N5">
        <f>VLOOKUP($I5,'Scouting Output'!$A$3:$AM$42,30,FALSE)</f>
        <v>0</v>
      </c>
      <c r="O5">
        <f>VLOOKUP($I5, 'Scouting Output'!$A$3:$AM$42, 3, FALSE)</f>
        <v>0</v>
      </c>
    </row>
    <row r="6" spans="1:18">
      <c r="A6">
        <v>5036</v>
      </c>
      <c r="B6" t="s">
        <v>217</v>
      </c>
      <c r="C6">
        <f>IFERROR(VLOOKUP($A6,'Scouting Output'!$A$3:$AM$250,37,FALSE), -999)</f>
        <v>1.4600000000000004</v>
      </c>
      <c r="D6">
        <f>IFERROR(VLOOKUP($A6,'Scouting Output'!$A$3:$AM$250,38,FALSE), -999)</f>
        <v>-0.85</v>
      </c>
      <c r="E6">
        <f>IFERROR(VLOOKUP($A6,'Scouting Output'!$A$3:$AM$250,39,FALSE), -999)</f>
        <v>3.0960000000000001</v>
      </c>
      <c r="F6">
        <f>IFERROR(VLOOKUP($A6, 'Scouting Output'!$A$3:$AM$250, 30, FALSE), -999)</f>
        <v>0.8</v>
      </c>
      <c r="G6">
        <f>IFERROR(VLOOKUP($A6, 'Scouting Output'!$A$3:$AM$250, 3, FALSE), -999)</f>
        <v>15.399999999999999</v>
      </c>
      <c r="H6" s="137"/>
      <c r="I6" s="135">
        <f>'Scouting Output'!A12</f>
        <v>919</v>
      </c>
      <c r="J6" t="str">
        <f>'Scouting Output'!B12</f>
        <v>Tiger Techs</v>
      </c>
      <c r="K6">
        <f>VLOOKUP($I6,'Scouting Output'!$A$3:$AN$42,40,FALSE)</f>
        <v>-21</v>
      </c>
      <c r="L6">
        <f>VLOOKUP($I6,'Scouting Output'!$A$3:$AM$42,38,FALSE)</f>
        <v>-1.5</v>
      </c>
      <c r="M6">
        <f>VLOOKUP($I6,'Scouting Output'!$A$3:$AM$42,39,FALSE)</f>
        <v>-1</v>
      </c>
      <c r="N6">
        <f>VLOOKUP($I6,'Scouting Output'!$A$3:$AM$42,30,FALSE)</f>
        <v>0</v>
      </c>
      <c r="O6">
        <f>VLOOKUP($I6, 'Scouting Output'!$A$3:$AM$42, 3, FALSE)</f>
        <v>0</v>
      </c>
    </row>
    <row r="7" spans="1:18">
      <c r="A7">
        <v>2386</v>
      </c>
      <c r="B7" t="s">
        <v>201</v>
      </c>
      <c r="C7">
        <f>IFERROR(VLOOKUP($A7,'Scouting Output'!$A$3:$AM$250,37,FALSE), -999)</f>
        <v>10.222222222222221</v>
      </c>
      <c r="D7">
        <f>IFERROR(VLOOKUP($A7,'Scouting Output'!$A$3:$AM$250,38,FALSE), -999)</f>
        <v>0.33333333333333348</v>
      </c>
      <c r="E7">
        <f>IFERROR(VLOOKUP($A7,'Scouting Output'!$A$3:$AM$250,39,FALSE), -999)</f>
        <v>2.9722222222222219</v>
      </c>
      <c r="F7">
        <f>IFERROR(VLOOKUP($A7, 'Scouting Output'!$A$3:$AM$250, 30, FALSE), -999)</f>
        <v>3</v>
      </c>
      <c r="G7">
        <f>IFERROR(VLOOKUP($A7, 'Scouting Output'!$A$3:$AM$250, 3, FALSE), -999)</f>
        <v>28</v>
      </c>
      <c r="H7" s="137"/>
      <c r="I7" s="135">
        <f>'Scouting Output'!A4</f>
        <v>216</v>
      </c>
      <c r="J7" t="str">
        <f>'Scouting Output'!B4</f>
        <v>More RoboDawgs</v>
      </c>
      <c r="K7">
        <f>VLOOKUP($I7,'Scouting Output'!$A$3:$AN$42,40,FALSE)</f>
        <v>-21</v>
      </c>
      <c r="L7">
        <f>VLOOKUP($I7,'Scouting Output'!$A$3:$AM$42,38,FALSE)</f>
        <v>-1.5</v>
      </c>
      <c r="M7">
        <f>VLOOKUP($I7,'Scouting Output'!$A$3:$AM$42,39,FALSE)</f>
        <v>-1</v>
      </c>
      <c r="N7">
        <f>VLOOKUP($I7,'Scouting Output'!$A$3:$AM$42,30,FALSE)</f>
        <v>0</v>
      </c>
      <c r="O7">
        <f>VLOOKUP($I7, 'Scouting Output'!$A$3:$AM$42, 3, FALSE)</f>
        <v>0</v>
      </c>
    </row>
    <row r="8" spans="1:18">
      <c r="A8">
        <v>4476</v>
      </c>
      <c r="B8" t="s">
        <v>208</v>
      </c>
      <c r="C8">
        <f>IFERROR(VLOOKUP($A8,'Scouting Output'!$A$3:$AM$250,37,FALSE), -999)</f>
        <v>3.7345454545454548</v>
      </c>
      <c r="D8">
        <f>IFERROR(VLOOKUP($A8,'Scouting Output'!$A$3:$AM$250,38,FALSE), -999)</f>
        <v>0.72727272727272707</v>
      </c>
      <c r="E8">
        <f>IFERROR(VLOOKUP($A8,'Scouting Output'!$A$3:$AM$250,39,FALSE), -999)</f>
        <v>2.8927272727272726</v>
      </c>
      <c r="F8">
        <f>IFERROR(VLOOKUP($A8, 'Scouting Output'!$A$3:$AM$250, 30, FALSE), -999)</f>
        <v>0.54545454545454541</v>
      </c>
      <c r="G8">
        <f>IFERROR(VLOOKUP($A8, 'Scouting Output'!$A$3:$AM$250, 3, FALSE), -999)</f>
        <v>18.36363636363636</v>
      </c>
      <c r="H8" s="137"/>
      <c r="I8" s="135">
        <f>'Scouting Output'!A33</f>
        <v>4252</v>
      </c>
      <c r="J8" t="str">
        <f>'Scouting Output'!B33</f>
        <v>Cardinal Robotics</v>
      </c>
      <c r="K8">
        <f>VLOOKUP($I8,'Scouting Output'!$A$3:$AN$42,40,FALSE)</f>
        <v>-21</v>
      </c>
      <c r="L8">
        <f>VLOOKUP($I8,'Scouting Output'!$A$3:$AM$42,38,FALSE)</f>
        <v>-1.5</v>
      </c>
      <c r="M8">
        <f>VLOOKUP($I8,'Scouting Output'!$A$3:$AM$42,39,FALSE)</f>
        <v>-1</v>
      </c>
      <c r="N8">
        <f>VLOOKUP($I8,'Scouting Output'!$A$3:$AM$42,30,FALSE)</f>
        <v>0</v>
      </c>
      <c r="O8">
        <f>VLOOKUP($I8, 'Scouting Output'!$A$3:$AM$42, 3, FALSE)</f>
        <v>0</v>
      </c>
      <c r="Q8" t="s">
        <v>380</v>
      </c>
    </row>
    <row r="9" spans="1:18">
      <c r="A9">
        <v>7267</v>
      </c>
      <c r="B9" t="s">
        <v>231</v>
      </c>
      <c r="C9">
        <f>IFERROR(VLOOKUP($A9,'Scouting Output'!$A$3:$AM$250,37,FALSE), -999)</f>
        <v>1.3488888888888892</v>
      </c>
      <c r="D9">
        <f>IFERROR(VLOOKUP($A9,'Scouting Output'!$A$3:$AM$250,38,FALSE), -999)</f>
        <v>-0.77777777777777779</v>
      </c>
      <c r="E9">
        <f>IFERROR(VLOOKUP($A9,'Scouting Output'!$A$3:$AM$250,39,FALSE), -999)</f>
        <v>2.8833333333333333</v>
      </c>
      <c r="F9">
        <f>IFERROR(VLOOKUP($A9, 'Scouting Output'!$A$3:$AM$250, 30, FALSE), -999)</f>
        <v>0.44444444444444442</v>
      </c>
      <c r="G9">
        <f>IFERROR(VLOOKUP($A9, 'Scouting Output'!$A$3:$AM$250, 3, FALSE), -999)</f>
        <v>13.888888888888891</v>
      </c>
      <c r="H9" s="137"/>
      <c r="I9" s="135">
        <f>'Scouting Output'!A18</f>
        <v>1334</v>
      </c>
      <c r="J9" t="str">
        <f>'Scouting Output'!B18</f>
        <v>Red Devils</v>
      </c>
      <c r="K9">
        <f>VLOOKUP($I9,'Scouting Output'!$A$3:$AN$42,40,FALSE)</f>
        <v>1.0236363636363635</v>
      </c>
      <c r="L9">
        <f>VLOOKUP($I9,'Scouting Output'!$A$3:$AM$42,38,FALSE)</f>
        <v>0.36363636363636359</v>
      </c>
      <c r="M9">
        <f>VLOOKUP($I9,'Scouting Output'!$A$3:$AM$42,39,FALSE)</f>
        <v>0.81818181818181812</v>
      </c>
      <c r="N9">
        <f>VLOOKUP($I9,'Scouting Output'!$A$3:$AM$42,30,FALSE)</f>
        <v>1</v>
      </c>
      <c r="O9">
        <f>VLOOKUP($I9, 'Scouting Output'!$A$3:$AM$42, 3, FALSE)</f>
        <v>10.727272727272727</v>
      </c>
      <c r="Q9" t="s">
        <v>381</v>
      </c>
    </row>
    <row r="10" spans="1:18" ht="15.75">
      <c r="A10">
        <v>1305</v>
      </c>
      <c r="B10" t="s">
        <v>445</v>
      </c>
      <c r="C10">
        <f>IFERROR(VLOOKUP($A10,'Scouting Output'!$A$3:$AM$250,37,FALSE), -999)</f>
        <v>11.911111111111111</v>
      </c>
      <c r="D10">
        <f>IFERROR(VLOOKUP($A10,'Scouting Output'!$A$3:$AM$250,38,FALSE), -999)</f>
        <v>3.5000000000000004</v>
      </c>
      <c r="E10">
        <f>IFERROR(VLOOKUP($A10,'Scouting Output'!$A$3:$AM$250,39,FALSE), -999)</f>
        <v>2.6111111111111112</v>
      </c>
      <c r="F10">
        <f>IFERROR(VLOOKUP($A10, 'Scouting Output'!$A$3:$AM$250, 30, FALSE), -999)</f>
        <v>3</v>
      </c>
      <c r="G10">
        <f>IFERROR(VLOOKUP($A10, 'Scouting Output'!$A$3:$AM$250, 3, FALSE), -999)</f>
        <v>29</v>
      </c>
      <c r="H10" s="137"/>
      <c r="I10" s="135">
        <f>'Scouting Output'!A9</f>
        <v>781</v>
      </c>
      <c r="J10" t="str">
        <f>'Scouting Output'!B9</f>
        <v>Kinetic Knights</v>
      </c>
      <c r="K10">
        <f>VLOOKUP($I10,'Scouting Output'!$A$3:$AN$42,40,FALSE)</f>
        <v>-21</v>
      </c>
      <c r="L10">
        <f>VLOOKUP($I10,'Scouting Output'!$A$3:$AM$42,38,FALSE)</f>
        <v>-1.5</v>
      </c>
      <c r="M10">
        <f>VLOOKUP($I10,'Scouting Output'!$A$3:$AM$42,39,FALSE)</f>
        <v>-1</v>
      </c>
      <c r="N10">
        <f>VLOOKUP($I10,'Scouting Output'!$A$3:$AM$42,30,FALSE)</f>
        <v>0</v>
      </c>
      <c r="O10">
        <f>VLOOKUP($I10, 'Scouting Output'!$A$3:$AM$42, 3, FALSE)</f>
        <v>0</v>
      </c>
      <c r="Q10" s="138" t="s">
        <v>382</v>
      </c>
      <c r="R10" t="s">
        <v>388</v>
      </c>
    </row>
    <row r="11" spans="1:18" ht="15.75">
      <c r="A11">
        <v>2200</v>
      </c>
      <c r="B11" t="s">
        <v>200</v>
      </c>
      <c r="C11">
        <f>IFERROR(VLOOKUP($A11,'Scouting Output'!$A$3:$AM$250,37,FALSE), -999)</f>
        <v>10.9975</v>
      </c>
      <c r="D11">
        <f>IFERROR(VLOOKUP($A11,'Scouting Output'!$A$3:$AM$250,38,FALSE), -999)</f>
        <v>1.4375</v>
      </c>
      <c r="E11">
        <f>IFERROR(VLOOKUP($A11,'Scouting Output'!$A$3:$AM$250,39,FALSE), -999)</f>
        <v>2.3774999999999999</v>
      </c>
      <c r="F11">
        <f>IFERROR(VLOOKUP($A11, 'Scouting Output'!$A$3:$AM$250, 30, FALSE), -999)</f>
        <v>2.625</v>
      </c>
      <c r="G11">
        <f>IFERROR(VLOOKUP($A11, 'Scouting Output'!$A$3:$AM$250, 3, FALSE), -999)</f>
        <v>28.125</v>
      </c>
      <c r="H11" s="137"/>
      <c r="I11" s="135">
        <f>'Scouting Output'!A13</f>
        <v>1075</v>
      </c>
      <c r="J11" t="str">
        <f>'Scouting Output'!B13</f>
        <v>Sprockets</v>
      </c>
      <c r="K11">
        <f>VLOOKUP($I11,'Scouting Output'!$A$3:$AN$42,40,FALSE)</f>
        <v>-21</v>
      </c>
      <c r="L11">
        <f>VLOOKUP($I11,'Scouting Output'!$A$3:$AM$42,38,FALSE)</f>
        <v>-1.5</v>
      </c>
      <c r="M11">
        <f>VLOOKUP($I11,'Scouting Output'!$A$3:$AM$42,39,FALSE)</f>
        <v>-1</v>
      </c>
      <c r="N11">
        <f>VLOOKUP($I11,'Scouting Output'!$A$3:$AM$42,30,FALSE)</f>
        <v>0</v>
      </c>
      <c r="O11">
        <f>VLOOKUP($I11, 'Scouting Output'!$A$3:$AM$42, 3, FALSE)</f>
        <v>0</v>
      </c>
      <c r="Q11" s="139" t="s">
        <v>383</v>
      </c>
      <c r="R11" t="s">
        <v>389</v>
      </c>
    </row>
    <row r="12" spans="1:18">
      <c r="A12">
        <v>610</v>
      </c>
      <c r="B12" t="s">
        <v>199</v>
      </c>
      <c r="C12">
        <f>IFERROR(VLOOKUP($A12,'Scouting Output'!$A$3:$AM$250,37,FALSE), -999)</f>
        <v>6.522222222222223</v>
      </c>
      <c r="D12">
        <f>IFERROR(VLOOKUP($A12,'Scouting Output'!$A$3:$AM$250,38,FALSE), -999)</f>
        <v>2.8888888888888893</v>
      </c>
      <c r="E12">
        <f>IFERROR(VLOOKUP($A12,'Scouting Output'!$A$3:$AM$250,39,FALSE), -999)</f>
        <v>2.3633333333333333</v>
      </c>
      <c r="F12">
        <f>IFERROR(VLOOKUP($A12, 'Scouting Output'!$A$3:$AM$250, 30, FALSE), -999)</f>
        <v>2</v>
      </c>
      <c r="G12">
        <f>IFERROR(VLOOKUP($A12, 'Scouting Output'!$A$3:$AM$250, 3, FALSE), -999)</f>
        <v>21.555555555555554</v>
      </c>
      <c r="H12" s="137"/>
      <c r="I12" s="135">
        <f>'Scouting Output'!A28</f>
        <v>2994</v>
      </c>
      <c r="J12" t="str">
        <f>'Scouting Output'!B28</f>
        <v>ASTECHZ</v>
      </c>
      <c r="K12">
        <f>VLOOKUP($I12,'Scouting Output'!$A$3:$AN$42,40,FALSE)</f>
        <v>3.9420000000000006</v>
      </c>
      <c r="L12">
        <f>VLOOKUP($I12,'Scouting Output'!$A$3:$AM$42,38,FALSE)</f>
        <v>-1.85</v>
      </c>
      <c r="M12">
        <f>VLOOKUP($I12,'Scouting Output'!$A$3:$AM$42,39,FALSE)</f>
        <v>0.70099999999999996</v>
      </c>
      <c r="N12">
        <f>VLOOKUP($I12,'Scouting Output'!$A$3:$AM$42,30,FALSE)</f>
        <v>1.6</v>
      </c>
      <c r="O12">
        <f>VLOOKUP($I12, 'Scouting Output'!$A$3:$AM$42, 3, FALSE)</f>
        <v>13.799999999999999</v>
      </c>
    </row>
    <row r="13" spans="1:18">
      <c r="A13">
        <v>6135</v>
      </c>
      <c r="B13" t="s">
        <v>223</v>
      </c>
      <c r="C13">
        <f>IFERROR(VLOOKUP($A13,'Scouting Output'!$A$3:$AM$250,37,FALSE), -999)</f>
        <v>3.5022222222222226</v>
      </c>
      <c r="D13">
        <f>IFERROR(VLOOKUP($A13,'Scouting Output'!$A$3:$AM$250,38,FALSE), -999)</f>
        <v>1</v>
      </c>
      <c r="E13">
        <f>IFERROR(VLOOKUP($A13,'Scouting Output'!$A$3:$AM$250,39,FALSE), -999)</f>
        <v>2.2244444444444444</v>
      </c>
      <c r="F13">
        <f>IFERROR(VLOOKUP($A13, 'Scouting Output'!$A$3:$AM$250, 30, FALSE), -999)</f>
        <v>1.1111111111111112</v>
      </c>
      <c r="G13">
        <f>IFERROR(VLOOKUP($A13, 'Scouting Output'!$A$3:$AM$250, 3, FALSE), -999)</f>
        <v>18.666666666666664</v>
      </c>
      <c r="H13" s="137"/>
      <c r="I13" s="135">
        <f>'Scouting Output'!A3</f>
        <v>188</v>
      </c>
      <c r="J13" t="str">
        <f>'Scouting Output'!B3</f>
        <v>Blizzard</v>
      </c>
      <c r="K13">
        <f>VLOOKUP($I13,'Scouting Output'!$A$3:$AN$42,40,FALSE)</f>
        <v>2.3888888888888893</v>
      </c>
      <c r="L13">
        <f>VLOOKUP($I13,'Scouting Output'!$A$3:$AM$42,38,FALSE)</f>
        <v>1.6111111111111112</v>
      </c>
      <c r="M13">
        <f>VLOOKUP($I13,'Scouting Output'!$A$3:$AM$42,39,FALSE)</f>
        <v>3.5555555555555554</v>
      </c>
      <c r="N13">
        <f>VLOOKUP($I13,'Scouting Output'!$A$3:$AM$42,30,FALSE)</f>
        <v>0.66666666666666663</v>
      </c>
      <c r="O13">
        <f>VLOOKUP($I13, 'Scouting Output'!$A$3:$AM$42, 3, FALSE)</f>
        <v>18.777777777777779</v>
      </c>
      <c r="Q13" t="s">
        <v>384</v>
      </c>
    </row>
    <row r="14" spans="1:18" ht="15.75">
      <c r="A14">
        <v>1246</v>
      </c>
      <c r="B14" t="s">
        <v>418</v>
      </c>
      <c r="C14">
        <f>IFERROR(VLOOKUP($A14,'Scouting Output'!$A$3:$AM$250,37,FALSE), -999)</f>
        <v>1.3781818181818182</v>
      </c>
      <c r="D14">
        <f>IFERROR(VLOOKUP($A14,'Scouting Output'!$A$3:$AM$250,38,FALSE), -999)</f>
        <v>-0.18181818181818182</v>
      </c>
      <c r="E14">
        <f>IFERROR(VLOOKUP($A14,'Scouting Output'!$A$3:$AM$250,39,FALSE), -999)</f>
        <v>2.2045454545454546</v>
      </c>
      <c r="F14">
        <f>IFERROR(VLOOKUP($A14, 'Scouting Output'!$A$3:$AM$250, 30, FALSE), -999)</f>
        <v>0.81818181818181823</v>
      </c>
      <c r="G14">
        <f>IFERROR(VLOOKUP($A14, 'Scouting Output'!$A$3:$AM$250, 3, FALSE), -999)</f>
        <v>12.818181818181818</v>
      </c>
      <c r="H14" s="137"/>
      <c r="I14" s="135">
        <f>'Scouting Output'!A21</f>
        <v>2200</v>
      </c>
      <c r="J14" t="str">
        <f>'Scouting Output'!B21</f>
        <v>MMRambotics</v>
      </c>
      <c r="K14">
        <f>VLOOKUP($I14,'Scouting Output'!$A$3:$AN$42,40,FALSE)</f>
        <v>10.2475</v>
      </c>
      <c r="L14">
        <f>VLOOKUP($I14,'Scouting Output'!$A$3:$AM$42,38,FALSE)</f>
        <v>1.4375</v>
      </c>
      <c r="M14">
        <f>VLOOKUP($I14,'Scouting Output'!$A$3:$AM$42,39,FALSE)</f>
        <v>2.3774999999999999</v>
      </c>
      <c r="N14">
        <f>VLOOKUP($I14,'Scouting Output'!$A$3:$AM$42,30,FALSE)</f>
        <v>2.625</v>
      </c>
      <c r="O14">
        <f>VLOOKUP($I14, 'Scouting Output'!$A$3:$AM$42, 3, FALSE)</f>
        <v>28.125</v>
      </c>
      <c r="Q14" s="139" t="s">
        <v>383</v>
      </c>
      <c r="R14" t="s">
        <v>386</v>
      </c>
    </row>
    <row r="15" spans="1:18" ht="15.75">
      <c r="A15">
        <v>5409</v>
      </c>
      <c r="B15" t="s">
        <v>218</v>
      </c>
      <c r="C15">
        <f>IFERROR(VLOOKUP($A15,'Scouting Output'!$A$3:$AM$250,37,FALSE), -999)</f>
        <v>0.98222222222222266</v>
      </c>
      <c r="D15">
        <f>IFERROR(VLOOKUP($A15,'Scouting Output'!$A$3:$AM$250,38,FALSE), -999)</f>
        <v>-0.94444444444444442</v>
      </c>
      <c r="E15">
        <f>IFERROR(VLOOKUP($A15,'Scouting Output'!$A$3:$AM$250,39,FALSE), -999)</f>
        <v>2.1344444444444446</v>
      </c>
      <c r="F15">
        <f>IFERROR(VLOOKUP($A15, 'Scouting Output'!$A$3:$AM$250, 30, FALSE), -999)</f>
        <v>0.77777777777777779</v>
      </c>
      <c r="G15">
        <f>IFERROR(VLOOKUP($A15, 'Scouting Output'!$A$3:$AM$250, 3, FALSE), -999)</f>
        <v>13.222222222222221</v>
      </c>
      <c r="H15" s="137"/>
      <c r="I15" s="135">
        <f>'Scouting Output'!A20</f>
        <v>2013</v>
      </c>
      <c r="J15" t="str">
        <f>'Scouting Output'!B20</f>
        <v>Cybergnomes</v>
      </c>
      <c r="K15">
        <f>VLOOKUP($I15,'Scouting Output'!$A$3:$AN$42,40,FALSE)</f>
        <v>-22.897500000000001</v>
      </c>
      <c r="L15">
        <f>VLOOKUP($I15,'Scouting Output'!$A$3:$AM$42,38,FALSE)</f>
        <v>-3.0625</v>
      </c>
      <c r="M15">
        <f>VLOOKUP($I15,'Scouting Output'!$A$3:$AM$42,39,FALSE)</f>
        <v>-1.8562500000000002</v>
      </c>
      <c r="N15">
        <f>VLOOKUP($I15,'Scouting Output'!$A$3:$AM$42,30,FALSE)</f>
        <v>0.75</v>
      </c>
      <c r="O15">
        <f>VLOOKUP($I15, 'Scouting Output'!$A$3:$AM$42, 3, FALSE)</f>
        <v>0.75</v>
      </c>
      <c r="Q15" s="140" t="s">
        <v>385</v>
      </c>
      <c r="R15" t="s">
        <v>387</v>
      </c>
    </row>
    <row r="16" spans="1:18">
      <c r="A16">
        <v>6866</v>
      </c>
      <c r="B16" t="s">
        <v>227</v>
      </c>
      <c r="C16">
        <f>IFERROR(VLOOKUP($A16,'Scouting Output'!$A$3:$AM$250,37,FALSE), -999)</f>
        <v>1.7324999999999999</v>
      </c>
      <c r="D16">
        <f>IFERROR(VLOOKUP($A16,'Scouting Output'!$A$3:$AM$250,38,FALSE), -999)</f>
        <v>-1</v>
      </c>
      <c r="E16">
        <f>IFERROR(VLOOKUP($A16,'Scouting Output'!$A$3:$AM$250,39,FALSE), -999)</f>
        <v>1.8824999999999998</v>
      </c>
      <c r="F16">
        <f>IFERROR(VLOOKUP($A16, 'Scouting Output'!$A$3:$AM$250, 30, FALSE), -999)</f>
        <v>0.875</v>
      </c>
      <c r="G16">
        <f>IFERROR(VLOOKUP($A16, 'Scouting Output'!$A$3:$AM$250, 3, FALSE), -999)</f>
        <v>13.75</v>
      </c>
      <c r="H16" s="137"/>
      <c r="I16" s="135">
        <f>'Scouting Output'!A42</f>
        <v>4777</v>
      </c>
      <c r="J16" t="str">
        <f>'Scouting Output'!B42</f>
        <v>Spirit Robotics</v>
      </c>
      <c r="K16">
        <f>VLOOKUP($I16,'Scouting Output'!$A$3:$AN$42,40,FALSE)</f>
        <v>-21</v>
      </c>
      <c r="L16">
        <f>VLOOKUP($I16,'Scouting Output'!$A$3:$AM$42,38,FALSE)</f>
        <v>-1.5</v>
      </c>
      <c r="M16">
        <f>VLOOKUP($I16,'Scouting Output'!$A$3:$AM$42,39,FALSE)</f>
        <v>-1</v>
      </c>
      <c r="N16">
        <f>VLOOKUP($I16,'Scouting Output'!$A$3:$AM$42,30,FALSE)</f>
        <v>0</v>
      </c>
      <c r="O16">
        <f>VLOOKUP($I16, 'Scouting Output'!$A$3:$AM$42, 3, FALSE)</f>
        <v>0</v>
      </c>
    </row>
    <row r="17" spans="1:17">
      <c r="A17">
        <v>7614</v>
      </c>
      <c r="B17" t="s">
        <v>233</v>
      </c>
      <c r="C17">
        <f>IFERROR(VLOOKUP($A17,'Scouting Output'!$A$3:$AM$250,37,FALSE), -999)</f>
        <v>0.65500000000000003</v>
      </c>
      <c r="D17">
        <f>IFERROR(VLOOKUP($A17,'Scouting Output'!$A$3:$AM$250,38,FALSE), -999)</f>
        <v>-0.4375</v>
      </c>
      <c r="E17">
        <f>IFERROR(VLOOKUP($A17,'Scouting Output'!$A$3:$AM$250,39,FALSE), -999)</f>
        <v>1.5625</v>
      </c>
      <c r="F17">
        <f>IFERROR(VLOOKUP($A17, 'Scouting Output'!$A$3:$AM$250, 30, FALSE), -999)</f>
        <v>0.75</v>
      </c>
      <c r="G17">
        <f>IFERROR(VLOOKUP($A17, 'Scouting Output'!$A$3:$AM$250, 3, FALSE), -999)</f>
        <v>11</v>
      </c>
      <c r="H17" s="137"/>
      <c r="I17" s="135">
        <f>'Scouting Output'!A32</f>
        <v>4152</v>
      </c>
      <c r="J17" t="str">
        <f>'Scouting Output'!B32</f>
        <v>Hoya Robotics</v>
      </c>
      <c r="K17">
        <f>VLOOKUP($I17,'Scouting Output'!$A$3:$AN$42,40,FALSE)</f>
        <v>8.7420000000000009</v>
      </c>
      <c r="L17">
        <f>VLOOKUP($I17,'Scouting Output'!$A$3:$AM$42,38,FALSE)</f>
        <v>3.5000000000000004</v>
      </c>
      <c r="M17">
        <f>VLOOKUP($I17,'Scouting Output'!$A$3:$AM$42,39,FALSE)</f>
        <v>1.1260000000000001</v>
      </c>
      <c r="N17">
        <f>VLOOKUP($I17,'Scouting Output'!$A$3:$AM$42,30,FALSE)</f>
        <v>1.6</v>
      </c>
      <c r="O17">
        <f>VLOOKUP($I17, 'Scouting Output'!$A$3:$AM$42, 3, FALSE)</f>
        <v>19.8</v>
      </c>
      <c r="Q17" t="s">
        <v>390</v>
      </c>
    </row>
    <row r="18" spans="1:17">
      <c r="A18">
        <v>7735</v>
      </c>
      <c r="B18" t="s">
        <v>237</v>
      </c>
      <c r="C18">
        <f>IFERROR(VLOOKUP($A18,'Scouting Output'!$A$3:$AM$250,37,FALSE), -999)</f>
        <v>2.0379999999999998</v>
      </c>
      <c r="D18">
        <f>IFERROR(VLOOKUP($A18,'Scouting Output'!$A$3:$AM$250,38,FALSE), -999)</f>
        <v>-9.9999999999999978E-2</v>
      </c>
      <c r="E18">
        <f>IFERROR(VLOOKUP($A18,'Scouting Output'!$A$3:$AM$250,39,FALSE), -999)</f>
        <v>1.5030000000000001</v>
      </c>
      <c r="F18">
        <f>IFERROR(VLOOKUP($A18, 'Scouting Output'!$A$3:$AM$250, 30, FALSE), -999)</f>
        <v>0.8</v>
      </c>
      <c r="G18">
        <f>IFERROR(VLOOKUP($A18, 'Scouting Output'!$A$3:$AM$250, 3, FALSE), -999)</f>
        <v>12.700000000000001</v>
      </c>
      <c r="H18" s="137"/>
      <c r="I18" s="135">
        <f>'Scouting Output'!A19</f>
        <v>1360</v>
      </c>
      <c r="J18" t="str">
        <f>'Scouting Output'!B19</f>
        <v>Orbit Robotics</v>
      </c>
      <c r="K18">
        <f>VLOOKUP($I18,'Scouting Output'!$A$3:$AN$42,40,FALSE)</f>
        <v>-21</v>
      </c>
      <c r="L18">
        <f>VLOOKUP($I18,'Scouting Output'!$A$3:$AM$42,38,FALSE)</f>
        <v>-1.5</v>
      </c>
      <c r="M18">
        <f>VLOOKUP($I18,'Scouting Output'!$A$3:$AM$42,39,FALSE)</f>
        <v>-1</v>
      </c>
      <c r="N18">
        <f>VLOOKUP($I18,'Scouting Output'!$A$3:$AM$42,30,FALSE)</f>
        <v>0</v>
      </c>
      <c r="O18">
        <f>VLOOKUP($I18, 'Scouting Output'!$A$3:$AM$42, 3, FALSE)</f>
        <v>0</v>
      </c>
      <c r="Q18" t="s">
        <v>391</v>
      </c>
    </row>
    <row r="19" spans="1:17">
      <c r="A19">
        <v>2706</v>
      </c>
      <c r="B19" t="s">
        <v>421</v>
      </c>
      <c r="C19">
        <f>IFERROR(VLOOKUP($A19,'Scouting Output'!$A$3:$AM$250,37,FALSE), -999)</f>
        <v>2.6872727272727275</v>
      </c>
      <c r="D19">
        <f>IFERROR(VLOOKUP($A19,'Scouting Output'!$A$3:$AM$250,38,FALSE), -999)</f>
        <v>1.9545454545454544</v>
      </c>
      <c r="E19">
        <f>IFERROR(VLOOKUP($A19,'Scouting Output'!$A$3:$AM$250,39,FALSE), -999)</f>
        <v>1.2727272727272727</v>
      </c>
      <c r="F19">
        <f>IFERROR(VLOOKUP($A19, 'Scouting Output'!$A$3:$AM$250, 30, FALSE), -999)</f>
        <v>0.72727272727272729</v>
      </c>
      <c r="G19">
        <f>IFERROR(VLOOKUP($A19, 'Scouting Output'!$A$3:$AM$250, 3, FALSE), -999)</f>
        <v>13.363636363636363</v>
      </c>
      <c r="H19" s="137"/>
      <c r="I19" s="135">
        <f>'Scouting Output'!A14</f>
        <v>1246</v>
      </c>
      <c r="J19" t="str">
        <f>'Scouting Output'!B14</f>
        <v>Agincourt Skunkworks</v>
      </c>
      <c r="K19">
        <f>VLOOKUP($I19,'Scouting Output'!$A$3:$AN$42,40,FALSE)</f>
        <v>1.3781818181818182</v>
      </c>
      <c r="L19">
        <f>VLOOKUP($I19,'Scouting Output'!$A$3:$AM$42,38,FALSE)</f>
        <v>-0.18181818181818182</v>
      </c>
      <c r="M19">
        <f>VLOOKUP($I19,'Scouting Output'!$A$3:$AM$42,39,FALSE)</f>
        <v>2.2045454545454546</v>
      </c>
      <c r="N19">
        <f>VLOOKUP($I19,'Scouting Output'!$A$3:$AM$42,30,FALSE)</f>
        <v>0.81818181818181823</v>
      </c>
      <c r="O19">
        <f>VLOOKUP($I19, 'Scouting Output'!$A$3:$AM$42, 3, FALSE)</f>
        <v>12.818181818181818</v>
      </c>
    </row>
    <row r="20" spans="1:17">
      <c r="A20">
        <v>4152</v>
      </c>
      <c r="B20" t="s">
        <v>207</v>
      </c>
      <c r="C20">
        <f>IFERROR(VLOOKUP($A20,'Scouting Output'!$A$3:$AM$250,37,FALSE), -999)</f>
        <v>7.0419999999999998</v>
      </c>
      <c r="D20">
        <f>IFERROR(VLOOKUP($A20,'Scouting Output'!$A$3:$AM$250,38,FALSE), -999)</f>
        <v>3.5000000000000004</v>
      </c>
      <c r="E20">
        <f>IFERROR(VLOOKUP($A20,'Scouting Output'!$A$3:$AM$250,39,FALSE), -999)</f>
        <v>1.1260000000000001</v>
      </c>
      <c r="F20">
        <f>IFERROR(VLOOKUP($A20, 'Scouting Output'!$A$3:$AM$250, 30, FALSE), -999)</f>
        <v>1.6</v>
      </c>
      <c r="G20">
        <f>IFERROR(VLOOKUP($A20, 'Scouting Output'!$A$3:$AM$250, 3, FALSE), -999)</f>
        <v>19.8</v>
      </c>
      <c r="H20" s="137"/>
      <c r="I20" s="135">
        <f>'Scouting Output'!A22</f>
        <v>2386</v>
      </c>
      <c r="J20" t="str">
        <f>'Scouting Output'!B22</f>
        <v>Trojans</v>
      </c>
      <c r="K20">
        <f>VLOOKUP($I20,'Scouting Output'!$A$3:$AN$42,40,FALSE)</f>
        <v>10.444444444444445</v>
      </c>
      <c r="L20">
        <f>VLOOKUP($I20,'Scouting Output'!$A$3:$AM$42,38,FALSE)</f>
        <v>0.33333333333333348</v>
      </c>
      <c r="M20">
        <f>VLOOKUP($I20,'Scouting Output'!$A$3:$AM$42,39,FALSE)</f>
        <v>2.9722222222222219</v>
      </c>
      <c r="N20">
        <f>VLOOKUP($I20,'Scouting Output'!$A$3:$AM$42,30,FALSE)</f>
        <v>3</v>
      </c>
      <c r="O20">
        <f>VLOOKUP($I20, 'Scouting Output'!$A$3:$AM$42, 3, FALSE)</f>
        <v>28</v>
      </c>
    </row>
    <row r="21" spans="1:17">
      <c r="A21">
        <v>4936</v>
      </c>
      <c r="B21" t="s">
        <v>214</v>
      </c>
      <c r="C21">
        <f>IFERROR(VLOOKUP($A21,'Scouting Output'!$A$3:$AM$250,37,FALSE), -999)</f>
        <v>1.6800000000000002</v>
      </c>
      <c r="D21">
        <f>IFERROR(VLOOKUP($A21,'Scouting Output'!$A$3:$AM$250,38,FALSE), -999)</f>
        <v>0.9375</v>
      </c>
      <c r="E21">
        <f>IFERROR(VLOOKUP($A21,'Scouting Output'!$A$3:$AM$250,39,FALSE), -999)</f>
        <v>1.00125</v>
      </c>
      <c r="F21">
        <f>IFERROR(VLOOKUP($A21, 'Scouting Output'!$A$3:$AM$250, 30, FALSE), -999)</f>
        <v>0.875</v>
      </c>
      <c r="G21">
        <f>IFERROR(VLOOKUP($A21, 'Scouting Output'!$A$3:$AM$250, 3, FALSE), -999)</f>
        <v>14.875</v>
      </c>
      <c r="H21" s="137"/>
      <c r="I21" s="135">
        <f>'Scouting Output'!A36</f>
        <v>4476</v>
      </c>
      <c r="J21" t="str">
        <f>'Scouting Output'!B36</f>
        <v>W.A.F.F.L.E.S</v>
      </c>
      <c r="K21">
        <f>VLOOKUP($I21,'Scouting Output'!$A$3:$AN$42,40,FALSE)</f>
        <v>3.689090909090909</v>
      </c>
      <c r="L21">
        <f>VLOOKUP($I21,'Scouting Output'!$A$3:$AM$42,38,FALSE)</f>
        <v>0.72727272727272707</v>
      </c>
      <c r="M21">
        <f>VLOOKUP($I21,'Scouting Output'!$A$3:$AM$42,39,FALSE)</f>
        <v>2.8927272727272726</v>
      </c>
      <c r="N21">
        <f>VLOOKUP($I21,'Scouting Output'!$A$3:$AM$42,30,FALSE)</f>
        <v>0.54545454545454541</v>
      </c>
      <c r="O21">
        <f>VLOOKUP($I21, 'Scouting Output'!$A$3:$AM$42, 3, FALSE)</f>
        <v>18.36363636363636</v>
      </c>
    </row>
    <row r="22" spans="1:17">
      <c r="A22">
        <v>4946</v>
      </c>
      <c r="B22" t="s">
        <v>215</v>
      </c>
      <c r="C22">
        <f>IFERROR(VLOOKUP($A22,'Scouting Output'!$A$3:$AM$250,37,FALSE), -999)</f>
        <v>2.804444444444445</v>
      </c>
      <c r="D22">
        <f>IFERROR(VLOOKUP($A22,'Scouting Output'!$A$3:$AM$250,38,FALSE), -999)</f>
        <v>1.9444444444444446</v>
      </c>
      <c r="E22">
        <f>IFERROR(VLOOKUP($A22,'Scouting Output'!$A$3:$AM$250,39,FALSE), -999)</f>
        <v>0.91333333333333366</v>
      </c>
      <c r="F22">
        <f>IFERROR(VLOOKUP($A22, 'Scouting Output'!$A$3:$AM$250, 30, FALSE), -999)</f>
        <v>0.88888888888888884</v>
      </c>
      <c r="G22">
        <f>IFERROR(VLOOKUP($A22, 'Scouting Output'!$A$3:$AM$250, 3, FALSE), -999)</f>
        <v>14.888888888888889</v>
      </c>
      <c r="H22" s="137"/>
      <c r="I22" s="135">
        <f>'Scouting Output'!A24</f>
        <v>2706</v>
      </c>
      <c r="J22" t="str">
        <f>'Scouting Output'!B24</f>
        <v>Merge Robotics</v>
      </c>
      <c r="K22">
        <f>VLOOKUP($I22,'Scouting Output'!$A$3:$AN$42,40,FALSE)</f>
        <v>2.3236363636363637</v>
      </c>
      <c r="L22">
        <f>VLOOKUP($I22,'Scouting Output'!$A$3:$AM$42,38,FALSE)</f>
        <v>1.9545454545454544</v>
      </c>
      <c r="M22">
        <f>VLOOKUP($I22,'Scouting Output'!$A$3:$AM$42,39,FALSE)</f>
        <v>1.2727272727272727</v>
      </c>
      <c r="N22">
        <f>VLOOKUP($I22,'Scouting Output'!$A$3:$AM$42,30,FALSE)</f>
        <v>0.72727272727272729</v>
      </c>
      <c r="O22">
        <f>VLOOKUP($I22, 'Scouting Output'!$A$3:$AM$42, 3, FALSE)</f>
        <v>13.363636363636363</v>
      </c>
    </row>
    <row r="23" spans="1:17">
      <c r="A23">
        <v>1334</v>
      </c>
      <c r="B23" t="s">
        <v>420</v>
      </c>
      <c r="C23">
        <f>IFERROR(VLOOKUP($A23,'Scouting Output'!$A$3:$AM$250,37,FALSE), -999)</f>
        <v>1.0236363636363635</v>
      </c>
      <c r="D23">
        <f>IFERROR(VLOOKUP($A23,'Scouting Output'!$A$3:$AM$250,38,FALSE), -999)</f>
        <v>0.36363636363636359</v>
      </c>
      <c r="E23">
        <f>IFERROR(VLOOKUP($A23,'Scouting Output'!$A$3:$AM$250,39,FALSE), -999)</f>
        <v>0.81818181818181812</v>
      </c>
      <c r="F23">
        <f>IFERROR(VLOOKUP($A23, 'Scouting Output'!$A$3:$AM$250, 30, FALSE), -999)</f>
        <v>1</v>
      </c>
      <c r="G23">
        <f>IFERROR(VLOOKUP($A23, 'Scouting Output'!$A$3:$AM$250, 3, FALSE), -999)</f>
        <v>10.727272727272727</v>
      </c>
      <c r="H23" s="137"/>
      <c r="I23" s="135">
        <f>'Scouting Output'!A23</f>
        <v>2634</v>
      </c>
      <c r="J23" t="str">
        <f>'Scouting Output'!B23</f>
        <v>The Gryphons</v>
      </c>
      <c r="K23">
        <f>VLOOKUP($I23,'Scouting Output'!$A$3:$AN$42,40,FALSE)</f>
        <v>-21</v>
      </c>
      <c r="L23">
        <f>VLOOKUP($I23,'Scouting Output'!$A$3:$AM$42,38,FALSE)</f>
        <v>-1.5</v>
      </c>
      <c r="M23">
        <f>VLOOKUP($I23,'Scouting Output'!$A$3:$AM$42,39,FALSE)</f>
        <v>-1</v>
      </c>
      <c r="N23">
        <f>VLOOKUP($I23,'Scouting Output'!$A$3:$AM$42,30,FALSE)</f>
        <v>0</v>
      </c>
      <c r="O23">
        <f>VLOOKUP($I23, 'Scouting Output'!$A$3:$AM$42, 3, FALSE)</f>
        <v>0</v>
      </c>
    </row>
    <row r="24" spans="1:17">
      <c r="A24">
        <v>6110</v>
      </c>
      <c r="B24" t="s">
        <v>222</v>
      </c>
      <c r="C24">
        <f>IFERROR(VLOOKUP($A24,'Scouting Output'!$A$3:$AM$250,37,FALSE), -999)</f>
        <v>0.26999999999999968</v>
      </c>
      <c r="D24">
        <f>IFERROR(VLOOKUP($A24,'Scouting Output'!$A$3:$AM$250,38,FALSE), -999)</f>
        <v>-0.95000000000000007</v>
      </c>
      <c r="E24">
        <f>IFERROR(VLOOKUP($A24,'Scouting Output'!$A$3:$AM$250,39,FALSE), -999)</f>
        <v>0.7749999999999998</v>
      </c>
      <c r="F24">
        <f>IFERROR(VLOOKUP($A24, 'Scouting Output'!$A$3:$AM$250, 30, FALSE), -999)</f>
        <v>0.8</v>
      </c>
      <c r="G24">
        <f>IFERROR(VLOOKUP($A24, 'Scouting Output'!$A$3:$AM$250, 3, FALSE), -999)</f>
        <v>11.700000000000001</v>
      </c>
      <c r="H24" s="137"/>
      <c r="I24" s="135">
        <f>'Scouting Output'!A38</f>
        <v>4525</v>
      </c>
      <c r="J24" t="str">
        <f>'Scouting Output'!B38</f>
        <v>Renaissance Robotics</v>
      </c>
      <c r="K24">
        <f>VLOOKUP($I24,'Scouting Output'!$A$3:$AN$42,40,FALSE)</f>
        <v>-1.23</v>
      </c>
      <c r="L24">
        <f>VLOOKUP($I24,'Scouting Output'!$A$3:$AM$42,38,FALSE)</f>
        <v>-1.3125</v>
      </c>
      <c r="M24">
        <f>VLOOKUP($I24,'Scouting Output'!$A$3:$AM$42,39,FALSE)</f>
        <v>-0.49375000000000002</v>
      </c>
      <c r="N24">
        <f>VLOOKUP($I24,'Scouting Output'!$A$3:$AM$42,30,FALSE)</f>
        <v>0.75</v>
      </c>
      <c r="O24">
        <f>VLOOKUP($I24, 'Scouting Output'!$A$3:$AM$42, 3, FALSE)</f>
        <v>7</v>
      </c>
    </row>
    <row r="25" spans="1:17">
      <c r="A25">
        <v>4519</v>
      </c>
      <c r="B25" t="s">
        <v>209</v>
      </c>
      <c r="C25">
        <f>IFERROR(VLOOKUP($A25,'Scouting Output'!$A$3:$AM$250,37,FALSE), -999)</f>
        <v>1.5466666666666669</v>
      </c>
      <c r="D25">
        <f>IFERROR(VLOOKUP($A25,'Scouting Output'!$A$3:$AM$250,38,FALSE), -999)</f>
        <v>-0.22222222222222221</v>
      </c>
      <c r="E25">
        <f>IFERROR(VLOOKUP($A25,'Scouting Output'!$A$3:$AM$250,39,FALSE), -999)</f>
        <v>0.77444444444444449</v>
      </c>
      <c r="F25">
        <f>IFERROR(VLOOKUP($A25, 'Scouting Output'!$A$3:$AM$250, 30, FALSE), -999)</f>
        <v>1.2222222222222223</v>
      </c>
      <c r="G25">
        <f>IFERROR(VLOOKUP($A25, 'Scouting Output'!$A$3:$AM$250, 3, FALSE), -999)</f>
        <v>12.444444444444446</v>
      </c>
      <c r="H25" s="137"/>
      <c r="I25" s="135">
        <f>'Scouting Output'!A8</f>
        <v>746</v>
      </c>
      <c r="J25" t="str">
        <f>'Scouting Output'!B8</f>
        <v>Gearheads</v>
      </c>
      <c r="K25">
        <f>VLOOKUP($I25,'Scouting Output'!$A$3:$AN$42,40,FALSE)</f>
        <v>-21</v>
      </c>
      <c r="L25">
        <f>VLOOKUP($I25,'Scouting Output'!$A$3:$AM$42,38,FALSE)</f>
        <v>-1.5</v>
      </c>
      <c r="M25">
        <f>VLOOKUP($I25,'Scouting Output'!$A$3:$AM$42,39,FALSE)</f>
        <v>-1</v>
      </c>
      <c r="N25">
        <f>VLOOKUP($I25,'Scouting Output'!$A$3:$AM$42,30,FALSE)</f>
        <v>0</v>
      </c>
      <c r="O25">
        <f>VLOOKUP($I25, 'Scouting Output'!$A$3:$AM$42, 3, FALSE)</f>
        <v>0</v>
      </c>
    </row>
    <row r="26" spans="1:17">
      <c r="A26">
        <v>2994</v>
      </c>
      <c r="B26" t="s">
        <v>204</v>
      </c>
      <c r="C26">
        <f>IFERROR(VLOOKUP($A26,'Scouting Output'!$A$3:$AM$250,37,FALSE), -999)</f>
        <v>1.9420000000000002</v>
      </c>
      <c r="D26">
        <f>IFERROR(VLOOKUP($A26,'Scouting Output'!$A$3:$AM$250,38,FALSE), -999)</f>
        <v>-1.85</v>
      </c>
      <c r="E26">
        <f>IFERROR(VLOOKUP($A26,'Scouting Output'!$A$3:$AM$250,39,FALSE), -999)</f>
        <v>0.70099999999999996</v>
      </c>
      <c r="F26">
        <f>IFERROR(VLOOKUP($A26, 'Scouting Output'!$A$3:$AM$250, 30, FALSE), -999)</f>
        <v>1.6</v>
      </c>
      <c r="G26">
        <f>IFERROR(VLOOKUP($A26, 'Scouting Output'!$A$3:$AM$250, 3, FALSE), -999)</f>
        <v>13.799999999999999</v>
      </c>
      <c r="H26" s="137"/>
      <c r="I26" s="135">
        <f>'Scouting Output'!A37</f>
        <v>4519</v>
      </c>
      <c r="J26" t="str">
        <f>'Scouting Output'!B37</f>
        <v>King's Robotics</v>
      </c>
      <c r="K26">
        <f>VLOOKUP($I26,'Scouting Output'!$A$3:$AN$42,40,FALSE)</f>
        <v>1.5466666666666669</v>
      </c>
      <c r="L26">
        <f>VLOOKUP($I26,'Scouting Output'!$A$3:$AM$42,38,FALSE)</f>
        <v>-0.22222222222222221</v>
      </c>
      <c r="M26">
        <f>VLOOKUP($I26,'Scouting Output'!$A$3:$AM$42,39,FALSE)</f>
        <v>0.77444444444444449</v>
      </c>
      <c r="N26">
        <f>VLOOKUP($I26,'Scouting Output'!$A$3:$AM$42,30,FALSE)</f>
        <v>1.2222222222222223</v>
      </c>
      <c r="O26">
        <f>VLOOKUP($I26, 'Scouting Output'!$A$3:$AM$42, 3, FALSE)</f>
        <v>12.444444444444446</v>
      </c>
    </row>
    <row r="27" spans="1:17">
      <c r="A27">
        <v>7476</v>
      </c>
      <c r="B27" t="s">
        <v>438</v>
      </c>
      <c r="C27">
        <f>IFERROR(VLOOKUP($A27,'Scouting Output'!$A$3:$AM$250,37,FALSE), -999)</f>
        <v>2.2454545454545456</v>
      </c>
      <c r="D27">
        <f>IFERROR(VLOOKUP($A27,'Scouting Output'!$A$3:$AM$250,38,FALSE), -999)</f>
        <v>0.54545454545454541</v>
      </c>
      <c r="E27">
        <f>IFERROR(VLOOKUP($A27,'Scouting Output'!$A$3:$AM$250,39,FALSE), -999)</f>
        <v>0.68272727272727263</v>
      </c>
      <c r="F27">
        <f>IFERROR(VLOOKUP($A27, 'Scouting Output'!$A$3:$AM$250, 30, FALSE), -999)</f>
        <v>0.90909090909090906</v>
      </c>
      <c r="G27">
        <f>IFERROR(VLOOKUP($A27, 'Scouting Output'!$A$3:$AM$250, 3, FALSE), -999)</f>
        <v>14.09090909090909</v>
      </c>
      <c r="H27" s="137"/>
      <c r="I27" s="135">
        <f>'Scouting Output'!A27</f>
        <v>2852</v>
      </c>
      <c r="J27" t="str">
        <f>'Scouting Output'!B27</f>
        <v>DM High Voltage</v>
      </c>
      <c r="K27">
        <f>VLOOKUP($I27,'Scouting Output'!$A$3:$AN$42,40,FALSE)</f>
        <v>0.52285714285714269</v>
      </c>
      <c r="L27">
        <f>VLOOKUP($I27,'Scouting Output'!$A$3:$AM$42,38,FALSE)</f>
        <v>-7.1428571428571175E-2</v>
      </c>
      <c r="M27">
        <f>VLOOKUP($I27,'Scouting Output'!$A$3:$AM$42,39,FALSE)</f>
        <v>-1.1771428571428573</v>
      </c>
      <c r="N27">
        <f>VLOOKUP($I27,'Scouting Output'!$A$3:$AM$42,30,FALSE)</f>
        <v>0.7142857142857143</v>
      </c>
      <c r="O27">
        <f>VLOOKUP($I27, 'Scouting Output'!$A$3:$AM$42, 3, FALSE)</f>
        <v>9.2857142857142847</v>
      </c>
    </row>
    <row r="28" spans="1:17">
      <c r="A28">
        <v>6864</v>
      </c>
      <c r="B28" t="s">
        <v>226</v>
      </c>
      <c r="C28">
        <f>IFERROR(VLOOKUP($A28,'Scouting Output'!$A$3:$AM$250,37,FALSE), -999)</f>
        <v>-0.56727272727272715</v>
      </c>
      <c r="D28">
        <f>IFERROR(VLOOKUP($A28,'Scouting Output'!$A$3:$AM$250,38,FALSE), -999)</f>
        <v>-1.1818181818181817</v>
      </c>
      <c r="E28">
        <f>IFERROR(VLOOKUP($A28,'Scouting Output'!$A$3:$AM$250,39,FALSE), -999)</f>
        <v>0.55000000000000004</v>
      </c>
      <c r="F28">
        <f>IFERROR(VLOOKUP($A28, 'Scouting Output'!$A$3:$AM$250, 30, FALSE), -999)</f>
        <v>0.63636363636363635</v>
      </c>
      <c r="G28">
        <f>IFERROR(VLOOKUP($A28, 'Scouting Output'!$A$3:$AM$250, 3, FALSE), -999)</f>
        <v>7.8181818181818201</v>
      </c>
      <c r="H28" s="137"/>
      <c r="I28" s="135">
        <f>'Scouting Output'!A40</f>
        <v>4688</v>
      </c>
      <c r="J28" t="str">
        <f>'Scouting Output'!B40</f>
        <v>Saints Bot</v>
      </c>
      <c r="K28">
        <f>VLOOKUP($I28,'Scouting Output'!$A$3:$AN$42,40,FALSE)</f>
        <v>-21</v>
      </c>
      <c r="L28">
        <f>VLOOKUP($I28,'Scouting Output'!$A$3:$AM$42,38,FALSE)</f>
        <v>-1.5</v>
      </c>
      <c r="M28">
        <f>VLOOKUP($I28,'Scouting Output'!$A$3:$AM$42,39,FALSE)</f>
        <v>-1</v>
      </c>
      <c r="N28">
        <f>VLOOKUP($I28,'Scouting Output'!$A$3:$AM$42,30,FALSE)</f>
        <v>0</v>
      </c>
      <c r="O28">
        <f>VLOOKUP($I28, 'Scouting Output'!$A$3:$AM$42, 3, FALSE)</f>
        <v>0</v>
      </c>
    </row>
    <row r="29" spans="1:17">
      <c r="A29">
        <v>7710</v>
      </c>
      <c r="B29" t="s">
        <v>235</v>
      </c>
      <c r="C29">
        <f>IFERROR(VLOOKUP($A29,'Scouting Output'!$A$3:$AM$250,37,FALSE), -999)</f>
        <v>0</v>
      </c>
      <c r="D29">
        <f>IFERROR(VLOOKUP($A29,'Scouting Output'!$A$3:$AM$250,38,FALSE), -999)</f>
        <v>-0.9285714285714286</v>
      </c>
      <c r="E29">
        <f>IFERROR(VLOOKUP($A29,'Scouting Output'!$A$3:$AM$250,39,FALSE), -999)</f>
        <v>0</v>
      </c>
      <c r="F29">
        <f>IFERROR(VLOOKUP($A29, 'Scouting Output'!$A$3:$AM$250, 30, FALSE), -999)</f>
        <v>0.7142857142857143</v>
      </c>
      <c r="G29">
        <f>IFERROR(VLOOKUP($A29, 'Scouting Output'!$A$3:$AM$250, 3, FALSE), -999)</f>
        <v>10.571428571428571</v>
      </c>
      <c r="H29" s="137"/>
      <c r="I29" s="135">
        <f>'Scouting Output'!A31</f>
        <v>4015</v>
      </c>
      <c r="J29" t="str">
        <f>'Scouting Output'!B31</f>
        <v>Jag</v>
      </c>
      <c r="K29">
        <f>VLOOKUP($I29,'Scouting Output'!$A$3:$AN$42,40,FALSE)</f>
        <v>-0.87799999999999989</v>
      </c>
      <c r="L29">
        <f>VLOOKUP($I29,'Scouting Output'!$A$3:$AM$42,38,FALSE)</f>
        <v>-2.4500000000000002</v>
      </c>
      <c r="M29">
        <f>VLOOKUP($I29,'Scouting Output'!$A$3:$AM$42,39,FALSE)</f>
        <v>-7.2999999999999843E-2</v>
      </c>
      <c r="N29">
        <f>VLOOKUP($I29,'Scouting Output'!$A$3:$AM$42,30,FALSE)</f>
        <v>0.5</v>
      </c>
      <c r="O29">
        <f>VLOOKUP($I29, 'Scouting Output'!$A$3:$AM$42, 3, FALSE)</f>
        <v>9.3000000000000007</v>
      </c>
    </row>
    <row r="30" spans="1:17">
      <c r="A30">
        <v>4015</v>
      </c>
      <c r="B30" t="s">
        <v>206</v>
      </c>
      <c r="C30">
        <f>IFERROR(VLOOKUP($A30,'Scouting Output'!$A$3:$AM$250,37,FALSE), -999)</f>
        <v>-0.82799999999999985</v>
      </c>
      <c r="D30">
        <f>IFERROR(VLOOKUP($A30,'Scouting Output'!$A$3:$AM$250,38,FALSE), -999)</f>
        <v>-2.4500000000000002</v>
      </c>
      <c r="E30">
        <f>IFERROR(VLOOKUP($A30,'Scouting Output'!$A$3:$AM$250,39,FALSE), -999)</f>
        <v>-7.2999999999999843E-2</v>
      </c>
      <c r="F30">
        <f>IFERROR(VLOOKUP($A30, 'Scouting Output'!$A$3:$AM$250, 30, FALSE), -999)</f>
        <v>0.5</v>
      </c>
      <c r="G30">
        <f>IFERROR(VLOOKUP($A30, 'Scouting Output'!$A$3:$AM$250, 3, FALSE), -999)</f>
        <v>9.3000000000000007</v>
      </c>
      <c r="H30" s="137"/>
      <c r="I30" s="135">
        <f>'Scouting Output'!A17</f>
        <v>1325</v>
      </c>
      <c r="J30" t="str">
        <f>'Scouting Output'!B17</f>
        <v>Inverse Paradox</v>
      </c>
      <c r="K30">
        <f>VLOOKUP($I30,'Scouting Output'!$A$3:$AN$42,40,FALSE)</f>
        <v>-21</v>
      </c>
      <c r="L30">
        <f>VLOOKUP($I30,'Scouting Output'!$A$3:$AM$42,38,FALSE)</f>
        <v>-1.5</v>
      </c>
      <c r="M30">
        <f>VLOOKUP($I30,'Scouting Output'!$A$3:$AM$42,39,FALSE)</f>
        <v>-1</v>
      </c>
      <c r="N30">
        <f>VLOOKUP($I30,'Scouting Output'!$A$3:$AM$42,30,FALSE)</f>
        <v>0</v>
      </c>
      <c r="O30">
        <f>VLOOKUP($I30, 'Scouting Output'!$A$3:$AM$42, 3, FALSE)</f>
        <v>0</v>
      </c>
    </row>
    <row r="31" spans="1:17">
      <c r="A31">
        <v>4907</v>
      </c>
      <c r="B31" t="s">
        <v>213</v>
      </c>
      <c r="C31">
        <f>IFERROR(VLOOKUP($A31,'Scouting Output'!$A$3:$AM$250,37,FALSE), -999)</f>
        <v>7.1</v>
      </c>
      <c r="D31">
        <f>IFERROR(VLOOKUP($A31,'Scouting Output'!$A$3:$AM$250,38,FALSE), -999)</f>
        <v>0.19999999999999996</v>
      </c>
      <c r="E31">
        <f>IFERROR(VLOOKUP($A31,'Scouting Output'!$A$3:$AM$250,39,FALSE), -999)</f>
        <v>-9.9000000000000005E-2</v>
      </c>
      <c r="F31">
        <f>IFERROR(VLOOKUP($A31, 'Scouting Output'!$A$3:$AM$250, 30, FALSE), -999)</f>
        <v>2.5</v>
      </c>
      <c r="G31">
        <f>IFERROR(VLOOKUP($A31, 'Scouting Output'!$A$3:$AM$250, 3, FALSE), -999)</f>
        <v>15</v>
      </c>
      <c r="H31" s="137"/>
      <c r="I31" s="135">
        <f>'Scouting Output'!A35</f>
        <v>4343</v>
      </c>
      <c r="J31" t="str">
        <f>'Scouting Output'!B35</f>
        <v>MaxTech</v>
      </c>
      <c r="K31">
        <f>VLOOKUP($I31,'Scouting Output'!$A$3:$AN$42,40,FALSE)</f>
        <v>-21</v>
      </c>
      <c r="L31">
        <f>VLOOKUP($I31,'Scouting Output'!$A$3:$AM$42,38,FALSE)</f>
        <v>-1.5</v>
      </c>
      <c r="M31">
        <f>VLOOKUP($I31,'Scouting Output'!$A$3:$AM$42,39,FALSE)</f>
        <v>-1</v>
      </c>
      <c r="N31">
        <f>VLOOKUP($I31,'Scouting Output'!$A$3:$AM$42,30,FALSE)</f>
        <v>0</v>
      </c>
      <c r="O31">
        <f>VLOOKUP($I31, 'Scouting Output'!$A$3:$AM$42, 3, FALSE)</f>
        <v>0</v>
      </c>
    </row>
    <row r="32" spans="1:17">
      <c r="A32">
        <v>6859</v>
      </c>
      <c r="B32" t="s">
        <v>225</v>
      </c>
      <c r="C32">
        <f>IFERROR(VLOOKUP($A32,'Scouting Output'!$A$3:$AM$250,37,FALSE), -999)</f>
        <v>-0.70888888888888879</v>
      </c>
      <c r="D32">
        <f>IFERROR(VLOOKUP($A32,'Scouting Output'!$A$3:$AM$250,38,FALSE), -999)</f>
        <v>-1.2222222222222223</v>
      </c>
      <c r="E32">
        <f>IFERROR(VLOOKUP($A32,'Scouting Output'!$A$3:$AM$250,39,FALSE), -999)</f>
        <v>-0.10444444444444445</v>
      </c>
      <c r="F32">
        <f>IFERROR(VLOOKUP($A32, 'Scouting Output'!$A$3:$AM$250, 30, FALSE), -999)</f>
        <v>0.44444444444444442</v>
      </c>
      <c r="G32">
        <f>IFERROR(VLOOKUP($A32, 'Scouting Output'!$A$3:$AM$250, 3, FALSE), -999)</f>
        <v>5.1111111111111116</v>
      </c>
      <c r="H32" s="137"/>
      <c r="I32" s="135">
        <f>'Scouting Output'!A30</f>
        <v>3655</v>
      </c>
      <c r="J32" t="str">
        <f>'Scouting Output'!B30</f>
        <v>Tractor Technicians</v>
      </c>
      <c r="K32">
        <f>VLOOKUP($I32,'Scouting Output'!$A$3:$AN$42,40,FALSE)</f>
        <v>-21</v>
      </c>
      <c r="L32">
        <f>VLOOKUP($I32,'Scouting Output'!$A$3:$AM$42,38,FALSE)</f>
        <v>-1.5</v>
      </c>
      <c r="M32">
        <f>VLOOKUP($I32,'Scouting Output'!$A$3:$AM$42,39,FALSE)</f>
        <v>-1</v>
      </c>
      <c r="N32">
        <f>VLOOKUP($I32,'Scouting Output'!$A$3:$AM$42,30,FALSE)</f>
        <v>0</v>
      </c>
      <c r="O32">
        <f>VLOOKUP($I32, 'Scouting Output'!$A$3:$AM$42, 3, FALSE)</f>
        <v>0</v>
      </c>
    </row>
    <row r="33" spans="1:15">
      <c r="A33">
        <v>6336</v>
      </c>
      <c r="B33" t="s">
        <v>456</v>
      </c>
      <c r="C33">
        <f>IFERROR(VLOOKUP($A33,'Scouting Output'!$A$3:$AM$250,37,FALSE), -999)</f>
        <v>4.4577777777777783</v>
      </c>
      <c r="D33">
        <f>IFERROR(VLOOKUP($A33,'Scouting Output'!$A$3:$AM$250,38,FALSE), -999)</f>
        <v>0.83333333333333315</v>
      </c>
      <c r="E33">
        <f>IFERROR(VLOOKUP($A33,'Scouting Output'!$A$3:$AM$250,39,FALSE), -999)</f>
        <v>-0.21333333333333337</v>
      </c>
      <c r="F33">
        <f>IFERROR(VLOOKUP($A33, 'Scouting Output'!$A$3:$AM$250, 30, FALSE), -999)</f>
        <v>1.5555555555555556</v>
      </c>
      <c r="G33">
        <f>IFERROR(VLOOKUP($A33, 'Scouting Output'!$A$3:$AM$250, 3, FALSE), -999)</f>
        <v>15.000000000000002</v>
      </c>
      <c r="H33" s="137"/>
      <c r="I33" s="135">
        <f>'Scouting Output'!A29</f>
        <v>3571</v>
      </c>
      <c r="J33" t="str">
        <f>'Scouting Output'!B29</f>
        <v>Mustang Robotics</v>
      </c>
      <c r="K33">
        <f>VLOOKUP($I33,'Scouting Output'!$A$3:$AN$42,40,FALSE)</f>
        <v>-1.1875</v>
      </c>
      <c r="L33">
        <f>VLOOKUP($I33,'Scouting Output'!$A$3:$AM$42,38,FALSE)</f>
        <v>-1.1875</v>
      </c>
      <c r="M33">
        <f>VLOOKUP($I33,'Scouting Output'!$A$3:$AM$42,39,FALSE)</f>
        <v>-1.12375</v>
      </c>
      <c r="N33">
        <f>VLOOKUP($I33,'Scouting Output'!$A$3:$AM$42,30,FALSE)</f>
        <v>0.5</v>
      </c>
      <c r="O33">
        <f>VLOOKUP($I33, 'Scouting Output'!$A$3:$AM$42, 3, FALSE)</f>
        <v>5.25</v>
      </c>
    </row>
    <row r="34" spans="1:15">
      <c r="A34">
        <v>6514</v>
      </c>
      <c r="B34" t="s">
        <v>224</v>
      </c>
      <c r="C34">
        <f>IFERROR(VLOOKUP($A34,'Scouting Output'!$A$3:$AM$250,37,FALSE), -999)</f>
        <v>-0.77777777777777768</v>
      </c>
      <c r="D34">
        <f>IFERROR(VLOOKUP($A34,'Scouting Output'!$A$3:$AM$250,38,FALSE), -999)</f>
        <v>-0.77777777777777768</v>
      </c>
      <c r="E34">
        <f>IFERROR(VLOOKUP($A34,'Scouting Output'!$A$3:$AM$250,39,FALSE), -999)</f>
        <v>-0.22</v>
      </c>
      <c r="F34">
        <f>IFERROR(VLOOKUP($A34, 'Scouting Output'!$A$3:$AM$250, 30, FALSE), -999)</f>
        <v>0.55555555555555558</v>
      </c>
      <c r="G34">
        <f>IFERROR(VLOOKUP($A34, 'Scouting Output'!$A$3:$AM$250, 3, FALSE), -999)</f>
        <v>6.7777777777777777</v>
      </c>
      <c r="H34" s="137"/>
      <c r="I34" s="135">
        <f>'Scouting Output'!A11</f>
        <v>907</v>
      </c>
      <c r="J34" t="str">
        <f>'Scouting Output'!B11</f>
        <v>East York Cybernetics "The Cybernauts"</v>
      </c>
      <c r="K34">
        <f>VLOOKUP($I34,'Scouting Output'!$A$3:$AN$42,40,FALSE)</f>
        <v>-21</v>
      </c>
      <c r="L34">
        <f>VLOOKUP($I34,'Scouting Output'!$A$3:$AM$42,38,FALSE)</f>
        <v>-1.5</v>
      </c>
      <c r="M34">
        <f>VLOOKUP($I34,'Scouting Output'!$A$3:$AM$42,39,FALSE)</f>
        <v>-1</v>
      </c>
      <c r="N34">
        <f>VLOOKUP($I34,'Scouting Output'!$A$3:$AM$42,30,FALSE)</f>
        <v>0</v>
      </c>
      <c r="O34">
        <f>VLOOKUP($I34, 'Scouting Output'!$A$3:$AM$42, 3, FALSE)</f>
        <v>0</v>
      </c>
    </row>
    <row r="35" spans="1:15">
      <c r="A35">
        <v>7564</v>
      </c>
      <c r="B35" t="s">
        <v>232</v>
      </c>
      <c r="C35">
        <f>IFERROR(VLOOKUP($A35,'Scouting Output'!$A$3:$AM$250,37,FALSE), -999)</f>
        <v>0.4514285714285714</v>
      </c>
      <c r="D35">
        <f>IFERROR(VLOOKUP($A35,'Scouting Output'!$A$3:$AM$250,38,FALSE), -999)</f>
        <v>-0.6428571428571429</v>
      </c>
      <c r="E35">
        <f>IFERROR(VLOOKUP($A35,'Scouting Output'!$A$3:$AM$250,39,FALSE), -999)</f>
        <v>-0.24571428571428577</v>
      </c>
      <c r="F35">
        <f>IFERROR(VLOOKUP($A35, 'Scouting Output'!$A$3:$AM$250, 30, FALSE), -999)</f>
        <v>0.7142857142857143</v>
      </c>
      <c r="G35">
        <f>IFERROR(VLOOKUP($A35, 'Scouting Output'!$A$3:$AM$250, 3, FALSE), -999)</f>
        <v>7.7142857142857144</v>
      </c>
      <c r="H35" s="137"/>
      <c r="I35" s="135">
        <f>'Scouting Output'!A26</f>
        <v>2771</v>
      </c>
      <c r="J35" t="str">
        <f>'Scouting Output'!B26</f>
        <v>Code Red Robotics the Stray Dogs</v>
      </c>
      <c r="K35">
        <f>VLOOKUP($I35,'Scouting Output'!$A$3:$AN$42,40,FALSE)</f>
        <v>-21</v>
      </c>
      <c r="L35">
        <f>VLOOKUP($I35,'Scouting Output'!$A$3:$AM$42,38,FALSE)</f>
        <v>-1.5</v>
      </c>
      <c r="M35">
        <f>VLOOKUP($I35,'Scouting Output'!$A$3:$AM$42,39,FALSE)</f>
        <v>-1</v>
      </c>
      <c r="N35">
        <f>VLOOKUP($I35,'Scouting Output'!$A$3:$AM$42,30,FALSE)</f>
        <v>0</v>
      </c>
      <c r="O35">
        <f>VLOOKUP($I35, 'Scouting Output'!$A$3:$AM$42, 3, FALSE)</f>
        <v>0</v>
      </c>
    </row>
    <row r="36" spans="1:15">
      <c r="A36">
        <v>6461</v>
      </c>
      <c r="B36" t="s">
        <v>457</v>
      </c>
      <c r="C36">
        <f>IFERROR(VLOOKUP($A36,'Scouting Output'!$A$3:$AM$250,37,FALSE), -999)</f>
        <v>-0.14285714285714285</v>
      </c>
      <c r="D36">
        <f>IFERROR(VLOOKUP($A36,'Scouting Output'!$A$3:$AM$250,38,FALSE), -999)</f>
        <v>-0.14285714285714285</v>
      </c>
      <c r="E36">
        <f>IFERROR(VLOOKUP($A36,'Scouting Output'!$A$3:$AM$250,39,FALSE), -999)</f>
        <v>-0.28285714285714286</v>
      </c>
      <c r="F36">
        <f>IFERROR(VLOOKUP($A36, 'Scouting Output'!$A$3:$AM$250, 30, FALSE), -999)</f>
        <v>1</v>
      </c>
      <c r="G36">
        <f>IFERROR(VLOOKUP($A36, 'Scouting Output'!$A$3:$AM$250, 3, FALSE), -999)</f>
        <v>7.2857142857142856</v>
      </c>
      <c r="H36" s="137"/>
      <c r="I36" s="135">
        <f>'Scouting Output'!A10</f>
        <v>854</v>
      </c>
      <c r="J36" t="str">
        <f>'Scouting Output'!B10</f>
        <v>Iron Bears</v>
      </c>
      <c r="K36">
        <f>VLOOKUP($I36,'Scouting Output'!$A$3:$AN$42,40,FALSE)</f>
        <v>-21</v>
      </c>
      <c r="L36">
        <f>VLOOKUP($I36,'Scouting Output'!$A$3:$AM$42,38,FALSE)</f>
        <v>-1.5</v>
      </c>
      <c r="M36">
        <f>VLOOKUP($I36,'Scouting Output'!$A$3:$AM$42,39,FALSE)</f>
        <v>-1</v>
      </c>
      <c r="N36">
        <f>VLOOKUP($I36,'Scouting Output'!$A$3:$AM$42,30,FALSE)</f>
        <v>0</v>
      </c>
      <c r="O36">
        <f>VLOOKUP($I36, 'Scouting Output'!$A$3:$AM$42, 3, FALSE)</f>
        <v>0</v>
      </c>
    </row>
    <row r="37" spans="1:15">
      <c r="A37">
        <v>5426</v>
      </c>
      <c r="B37" t="s">
        <v>219</v>
      </c>
      <c r="C37">
        <f>IFERROR(VLOOKUP($A37,'Scouting Output'!$A$3:$AM$250,37,FALSE), -999)</f>
        <v>1.2819999999999998</v>
      </c>
      <c r="D37">
        <f>IFERROR(VLOOKUP($A37,'Scouting Output'!$A$3:$AM$250,38,FALSE), -999)</f>
        <v>0.14999999999999997</v>
      </c>
      <c r="E37">
        <f>IFERROR(VLOOKUP($A37,'Scouting Output'!$A$3:$AM$250,39,FALSE), -999)</f>
        <v>-0.29700000000000004</v>
      </c>
      <c r="F37">
        <f>IFERROR(VLOOKUP($A37, 'Scouting Output'!$A$3:$AM$250, 30, FALSE), -999)</f>
        <v>0.7</v>
      </c>
      <c r="G37">
        <f>IFERROR(VLOOKUP($A37, 'Scouting Output'!$A$3:$AM$250, 3, FALSE), -999)</f>
        <v>9.9999999999999982</v>
      </c>
      <c r="H37" s="137"/>
      <c r="I37" s="135">
        <f>'Scouting Output'!A15</f>
        <v>1285</v>
      </c>
      <c r="J37" t="str">
        <f>'Scouting Output'!B15</f>
        <v>The Big Bang</v>
      </c>
      <c r="K37">
        <f>VLOOKUP($I37,'Scouting Output'!$A$3:$AN$42,40,FALSE)</f>
        <v>-21</v>
      </c>
      <c r="L37">
        <f>VLOOKUP($I37,'Scouting Output'!$A$3:$AM$42,38,FALSE)</f>
        <v>-1.5</v>
      </c>
      <c r="M37">
        <f>VLOOKUP($I37,'Scouting Output'!$A$3:$AM$42,39,FALSE)</f>
        <v>-1</v>
      </c>
      <c r="N37">
        <f>VLOOKUP($I37,'Scouting Output'!$A$3:$AM$42,30,FALSE)</f>
        <v>0</v>
      </c>
      <c r="O37">
        <f>VLOOKUP($I37, 'Scouting Output'!$A$3:$AM$42, 3, FALSE)</f>
        <v>0</v>
      </c>
    </row>
    <row r="38" spans="1:15">
      <c r="A38">
        <v>6867</v>
      </c>
      <c r="B38" t="s">
        <v>228</v>
      </c>
      <c r="C38">
        <f>IFERROR(VLOOKUP($A38,'Scouting Output'!$A$3:$AM$250,37,FALSE), -999)</f>
        <v>4.8472727272727267</v>
      </c>
      <c r="D38">
        <f>IFERROR(VLOOKUP($A38,'Scouting Output'!$A$3:$AM$250,38,FALSE), -999)</f>
        <v>1.9999999999999993</v>
      </c>
      <c r="E38">
        <f>IFERROR(VLOOKUP($A38,'Scouting Output'!$A$3:$AM$250,39,FALSE), -999)</f>
        <v>-0.35818181818181821</v>
      </c>
      <c r="F38">
        <f>IFERROR(VLOOKUP($A38, 'Scouting Output'!$A$3:$AM$250, 30, FALSE), -999)</f>
        <v>1.4545454545454546</v>
      </c>
      <c r="G38">
        <f>IFERROR(VLOOKUP($A38, 'Scouting Output'!$A$3:$AM$250, 3, FALSE), -999)</f>
        <v>16.818181818181817</v>
      </c>
      <c r="H38" s="137"/>
      <c r="I38" s="135">
        <f>'Scouting Output'!A16</f>
        <v>1305</v>
      </c>
      <c r="J38" t="str">
        <f>'Scouting Output'!B16</f>
        <v>Ice Cubed</v>
      </c>
      <c r="K38">
        <f>VLOOKUP($I38,'Scouting Output'!$A$3:$AN$42,40,FALSE)</f>
        <v>11.522222222222222</v>
      </c>
      <c r="L38">
        <f>VLOOKUP($I38,'Scouting Output'!$A$3:$AM$42,38,FALSE)</f>
        <v>3.5000000000000004</v>
      </c>
      <c r="M38">
        <f>VLOOKUP($I38,'Scouting Output'!$A$3:$AM$42,39,FALSE)</f>
        <v>2.6111111111111112</v>
      </c>
      <c r="N38">
        <f>VLOOKUP($I38,'Scouting Output'!$A$3:$AM$42,30,FALSE)</f>
        <v>3</v>
      </c>
      <c r="O38">
        <f>VLOOKUP($I38, 'Scouting Output'!$A$3:$AM$42, 3, FALSE)</f>
        <v>29</v>
      </c>
    </row>
    <row r="39" spans="1:15">
      <c r="A39">
        <v>4525</v>
      </c>
      <c r="B39" t="s">
        <v>210</v>
      </c>
      <c r="C39">
        <f>IFERROR(VLOOKUP($A39,'Scouting Output'!$A$3:$AM$250,37,FALSE), -999)</f>
        <v>-1.23</v>
      </c>
      <c r="D39">
        <f>IFERROR(VLOOKUP($A39,'Scouting Output'!$A$3:$AM$250,38,FALSE), -999)</f>
        <v>-1.3125</v>
      </c>
      <c r="E39">
        <f>IFERROR(VLOOKUP($A39,'Scouting Output'!$A$3:$AM$250,39,FALSE), -999)</f>
        <v>-0.49375000000000002</v>
      </c>
      <c r="F39">
        <f>IFERROR(VLOOKUP($A39, 'Scouting Output'!$A$3:$AM$250, 30, FALSE), -999)</f>
        <v>0.75</v>
      </c>
      <c r="G39">
        <f>IFERROR(VLOOKUP($A39, 'Scouting Output'!$A$3:$AM$250, 3, FALSE), -999)</f>
        <v>7</v>
      </c>
      <c r="H39" s="137"/>
      <c r="I39" s="135">
        <f>'Scouting Output'!A39</f>
        <v>4618</v>
      </c>
      <c r="J39" t="str">
        <f>'Scouting Output'!B39</f>
        <v>Newman Robotics</v>
      </c>
      <c r="K39">
        <f>VLOOKUP($I39,'Scouting Output'!$A$3:$AN$42,40,FALSE)</f>
        <v>-21</v>
      </c>
      <c r="L39">
        <f>VLOOKUP($I39,'Scouting Output'!$A$3:$AM$42,38,FALSE)</f>
        <v>-1.5</v>
      </c>
      <c r="M39">
        <f>VLOOKUP($I39,'Scouting Output'!$A$3:$AM$42,39,FALSE)</f>
        <v>-1</v>
      </c>
      <c r="N39">
        <f>VLOOKUP($I39,'Scouting Output'!$A$3:$AM$42,30,FALSE)</f>
        <v>0</v>
      </c>
      <c r="O39">
        <f>VLOOKUP($I39, 'Scouting Output'!$A$3:$AM$42, 3, FALSE)</f>
        <v>0</v>
      </c>
    </row>
    <row r="40" spans="1:15">
      <c r="A40">
        <v>5885</v>
      </c>
      <c r="B40" t="s">
        <v>220</v>
      </c>
      <c r="C40">
        <f>IFERROR(VLOOKUP($A40,'Scouting Output'!$A$3:$AM$250,37,FALSE), -999)</f>
        <v>10.277777777777777</v>
      </c>
      <c r="D40">
        <f>IFERROR(VLOOKUP($A40,'Scouting Output'!$A$3:$AM$250,38,FALSE), -999)</f>
        <v>2.5</v>
      </c>
      <c r="E40">
        <f>IFERROR(VLOOKUP($A40,'Scouting Output'!$A$3:$AM$250,39,FALSE), -999)</f>
        <v>-0.55000000000000004</v>
      </c>
      <c r="F40">
        <f>IFERROR(VLOOKUP($A40, 'Scouting Output'!$A$3:$AM$250, 30, FALSE), -999)</f>
        <v>3</v>
      </c>
      <c r="G40">
        <f>IFERROR(VLOOKUP($A40, 'Scouting Output'!$A$3:$AM$250, 3, FALSE), -999)</f>
        <v>23.666666666666664</v>
      </c>
      <c r="H40" s="137"/>
      <c r="I40" s="135">
        <f>'Scouting Output'!A34</f>
        <v>4308</v>
      </c>
      <c r="J40" t="str">
        <f>'Scouting Output'!B34</f>
        <v>ABSOLUTE ROBOTICS</v>
      </c>
      <c r="K40">
        <f>VLOOKUP($I40,'Scouting Output'!$A$3:$AN$42,40,FALSE)</f>
        <v>-21</v>
      </c>
      <c r="L40">
        <f>VLOOKUP($I40,'Scouting Output'!$A$3:$AM$42,38,FALSE)</f>
        <v>-1.5</v>
      </c>
      <c r="M40">
        <f>VLOOKUP($I40,'Scouting Output'!$A$3:$AM$42,39,FALSE)</f>
        <v>-1</v>
      </c>
      <c r="N40">
        <f>VLOOKUP($I40,'Scouting Output'!$A$3:$AM$42,30,FALSE)</f>
        <v>0</v>
      </c>
      <c r="O40">
        <f>VLOOKUP($I40, 'Scouting Output'!$A$3:$AM$42, 3, FALSE)</f>
        <v>0</v>
      </c>
    </row>
    <row r="41" spans="1:15">
      <c r="A41">
        <v>6987</v>
      </c>
      <c r="B41" t="s">
        <v>230</v>
      </c>
      <c r="C41">
        <f>IFERROR(VLOOKUP($A41,'Scouting Output'!$A$3:$AM$250,37,FALSE), -999)</f>
        <v>-0.61111111111111116</v>
      </c>
      <c r="D41">
        <f>IFERROR(VLOOKUP($A41,'Scouting Output'!$A$3:$AM$250,38,FALSE), -999)</f>
        <v>-0.61111111111111116</v>
      </c>
      <c r="E41">
        <f>IFERROR(VLOOKUP($A41,'Scouting Output'!$A$3:$AM$250,39,FALSE), -999)</f>
        <v>-0.55000000000000004</v>
      </c>
      <c r="F41">
        <f>IFERROR(VLOOKUP($A41, 'Scouting Output'!$A$3:$AM$250, 30, FALSE), -999)</f>
        <v>1</v>
      </c>
      <c r="G41">
        <f>IFERROR(VLOOKUP($A41, 'Scouting Output'!$A$3:$AM$250, 3, FALSE), -999)</f>
        <v>5.4444444444444446</v>
      </c>
      <c r="H41" s="137"/>
      <c r="I41" s="135">
        <f>'Scouting Output'!A7</f>
        <v>610</v>
      </c>
      <c r="J41" t="str">
        <f>'Scouting Output'!B7</f>
        <v>Crescent Coyotes</v>
      </c>
      <c r="K41">
        <f>VLOOKUP($I41,'Scouting Output'!$A$3:$AN$42,40,FALSE)</f>
        <v>8.4666666666666668</v>
      </c>
      <c r="L41">
        <f>VLOOKUP($I41,'Scouting Output'!$A$3:$AM$42,38,FALSE)</f>
        <v>2.8888888888888893</v>
      </c>
      <c r="M41">
        <f>VLOOKUP($I41,'Scouting Output'!$A$3:$AM$42,39,FALSE)</f>
        <v>2.3633333333333333</v>
      </c>
      <c r="N41">
        <f>VLOOKUP($I41,'Scouting Output'!$A$3:$AM$42,30,FALSE)</f>
        <v>2</v>
      </c>
      <c r="O41">
        <f>VLOOKUP($I41, 'Scouting Output'!$A$3:$AM$42, 3, FALSE)</f>
        <v>21.555555555555554</v>
      </c>
    </row>
    <row r="42" spans="1:15">
      <c r="A42">
        <v>4783</v>
      </c>
      <c r="B42" t="s">
        <v>212</v>
      </c>
      <c r="C42">
        <f>IFERROR(VLOOKUP($A42,'Scouting Output'!$A$3:$AM$250,37,FALSE), -999)</f>
        <v>-0.61111111111111105</v>
      </c>
      <c r="D42">
        <f>IFERROR(VLOOKUP($A42,'Scouting Output'!$A$3:$AM$250,38,FALSE), -999)</f>
        <v>-0.49999999999999989</v>
      </c>
      <c r="E42">
        <f>IFERROR(VLOOKUP($A42,'Scouting Output'!$A$3:$AM$250,39,FALSE), -999)</f>
        <v>-0.55222222222222217</v>
      </c>
      <c r="F42">
        <f>IFERROR(VLOOKUP($A42, 'Scouting Output'!$A$3:$AM$250, 30, FALSE), -999)</f>
        <v>0.88888888888888884</v>
      </c>
      <c r="G42">
        <f>IFERROR(VLOOKUP($A42, 'Scouting Output'!$A$3:$AM$250, 3, FALSE), -999)</f>
        <v>8.4444444444444446</v>
      </c>
      <c r="H42" s="137"/>
      <c r="I42" s="135">
        <f>'Scouting Output'!A41</f>
        <v>4704</v>
      </c>
      <c r="J42" t="str">
        <f>'Scouting Output'!B41</f>
        <v>Northern Lights Robotics</v>
      </c>
      <c r="K42">
        <f>VLOOKUP($I42,'Scouting Output'!$A$3:$AN$42,40,FALSE)</f>
        <v>-1.8380000000000001</v>
      </c>
      <c r="L42">
        <f>VLOOKUP($I42,'Scouting Output'!$A$3:$AM$42,38,FALSE)</f>
        <v>-2.7</v>
      </c>
      <c r="M42">
        <f>VLOOKUP($I42,'Scouting Output'!$A$3:$AM$42,39,FALSE)</f>
        <v>-0.58000000000000007</v>
      </c>
      <c r="N42">
        <f>VLOOKUP($I42,'Scouting Output'!$A$3:$AM$42,30,FALSE)</f>
        <v>0.9</v>
      </c>
      <c r="O42">
        <f>VLOOKUP($I42, 'Scouting Output'!$A$3:$AM$42, 3, FALSE)</f>
        <v>8.5</v>
      </c>
    </row>
    <row r="43" spans="1:15">
      <c r="A43">
        <v>4704</v>
      </c>
      <c r="B43" t="s">
        <v>211</v>
      </c>
      <c r="C43">
        <f>IFERROR(VLOOKUP($A43,'Scouting Output'!$A$3:$AM$250,37,FALSE), -999)</f>
        <v>-1.788</v>
      </c>
      <c r="D43">
        <f>IFERROR(VLOOKUP($A43,'Scouting Output'!$A$3:$AM$250,38,FALSE), -999)</f>
        <v>-2.7</v>
      </c>
      <c r="E43">
        <f>IFERROR(VLOOKUP($A43,'Scouting Output'!$A$3:$AM$250,39,FALSE), -999)</f>
        <v>-0.58000000000000007</v>
      </c>
      <c r="F43">
        <f>IFERROR(VLOOKUP($A43, 'Scouting Output'!$A$3:$AM$250, 30, FALSE), -999)</f>
        <v>0.9</v>
      </c>
      <c r="G43">
        <f>IFERROR(VLOOKUP($A43, 'Scouting Output'!$A$3:$AM$250, 3, FALSE), -999)</f>
        <v>8.5</v>
      </c>
    </row>
    <row r="44" spans="1:15">
      <c r="A44">
        <v>7690</v>
      </c>
      <c r="B44" t="s">
        <v>234</v>
      </c>
      <c r="C44">
        <f>IFERROR(VLOOKUP($A44,'Scouting Output'!$A$3:$AM$250,37,FALSE), -999)</f>
        <v>-2.6363636363636367</v>
      </c>
      <c r="D44">
        <f>IFERROR(VLOOKUP($A44,'Scouting Output'!$A$3:$AM$250,38,FALSE), -999)</f>
        <v>-2.5909090909090908</v>
      </c>
      <c r="E44">
        <f>IFERROR(VLOOKUP($A44,'Scouting Output'!$A$3:$AM$250,39,FALSE), -999)</f>
        <v>-0.72727272727272729</v>
      </c>
      <c r="F44">
        <f>IFERROR(VLOOKUP($A44, 'Scouting Output'!$A$3:$AM$250, 30, FALSE), -999)</f>
        <v>0.72727272727272729</v>
      </c>
      <c r="G44">
        <f>IFERROR(VLOOKUP($A44, 'Scouting Output'!$A$3:$AM$250, 3, FALSE), -999)</f>
        <v>7</v>
      </c>
    </row>
    <row r="45" spans="1:15">
      <c r="A45">
        <v>2708</v>
      </c>
      <c r="B45" t="s">
        <v>202</v>
      </c>
      <c r="C45">
        <f>IFERROR(VLOOKUP($A45,'Scouting Output'!$A$3:$AM$250,37,FALSE), -999)</f>
        <v>-22.4</v>
      </c>
      <c r="D45">
        <f>IFERROR(VLOOKUP($A45,'Scouting Output'!$A$3:$AM$250,38,FALSE), -999)</f>
        <v>-2.8125</v>
      </c>
      <c r="E45">
        <f>IFERROR(VLOOKUP($A45,'Scouting Output'!$A$3:$AM$250,39,FALSE), -999)</f>
        <v>-0.78</v>
      </c>
      <c r="F45">
        <f>IFERROR(VLOOKUP($A45, 'Scouting Output'!$A$3:$AM$250, 30, FALSE), -999)</f>
        <v>0.75</v>
      </c>
      <c r="G45">
        <f>IFERROR(VLOOKUP($A45, 'Scouting Output'!$A$3:$AM$250, 3, FALSE), -999)</f>
        <v>4.625</v>
      </c>
    </row>
    <row r="46" spans="1:15">
      <c r="A46">
        <v>216</v>
      </c>
      <c r="B46" t="s">
        <v>441</v>
      </c>
      <c r="C46">
        <f>IFERROR(VLOOKUP($A46,'Scouting Output'!$A$3:$AM$250,37,FALSE), -999)</f>
        <v>-21</v>
      </c>
      <c r="D46">
        <f>IFERROR(VLOOKUP($A46,'Scouting Output'!$A$3:$AM$250,38,FALSE), -999)</f>
        <v>-1.5</v>
      </c>
      <c r="E46">
        <f>IFERROR(VLOOKUP($A46,'Scouting Output'!$A$3:$AM$250,39,FALSE), -999)</f>
        <v>-1</v>
      </c>
      <c r="F46">
        <f>IFERROR(VLOOKUP($A46, 'Scouting Output'!$A$3:$AM$250, 30, FALSE), -999)</f>
        <v>0</v>
      </c>
      <c r="G46">
        <f>IFERROR(VLOOKUP($A46, 'Scouting Output'!$A$3:$AM$250, 3, FALSE), -999)</f>
        <v>0</v>
      </c>
    </row>
    <row r="47" spans="1:15">
      <c r="A47">
        <v>244</v>
      </c>
      <c r="B47" t="s">
        <v>442</v>
      </c>
      <c r="C47">
        <f>IFERROR(VLOOKUP($A47,'Scouting Output'!$A$3:$AM$250,37,FALSE), -999)</f>
        <v>-21</v>
      </c>
      <c r="D47">
        <f>IFERROR(VLOOKUP($A47,'Scouting Output'!$A$3:$AM$250,38,FALSE), -999)</f>
        <v>-1.5</v>
      </c>
      <c r="E47">
        <f>IFERROR(VLOOKUP($A47,'Scouting Output'!$A$3:$AM$250,39,FALSE), -999)</f>
        <v>-1</v>
      </c>
      <c r="F47">
        <f>IFERROR(VLOOKUP($A47, 'Scouting Output'!$A$3:$AM$250, 30, FALSE), -999)</f>
        <v>0</v>
      </c>
      <c r="G47">
        <f>IFERROR(VLOOKUP($A47, 'Scouting Output'!$A$3:$AM$250, 3, FALSE), -999)</f>
        <v>0</v>
      </c>
    </row>
    <row r="48" spans="1:15">
      <c r="A48">
        <v>288</v>
      </c>
      <c r="B48" t="s">
        <v>443</v>
      </c>
      <c r="C48">
        <f>IFERROR(VLOOKUP($A48,'Scouting Output'!$A$3:$AM$250,37,FALSE), -999)</f>
        <v>-21</v>
      </c>
      <c r="D48">
        <f>IFERROR(VLOOKUP($A48,'Scouting Output'!$A$3:$AM$250,38,FALSE), -999)</f>
        <v>-1.5</v>
      </c>
      <c r="E48">
        <f>IFERROR(VLOOKUP($A48,'Scouting Output'!$A$3:$AM$250,39,FALSE), -999)</f>
        <v>-1</v>
      </c>
      <c r="F48">
        <f>IFERROR(VLOOKUP($A48, 'Scouting Output'!$A$3:$AM$250, 30, FALSE), -999)</f>
        <v>0</v>
      </c>
      <c r="G48">
        <f>IFERROR(VLOOKUP($A48, 'Scouting Output'!$A$3:$AM$250, 3, FALSE), -999)</f>
        <v>0</v>
      </c>
    </row>
    <row r="49" spans="1:7">
      <c r="A49">
        <v>746</v>
      </c>
      <c r="B49" t="s">
        <v>416</v>
      </c>
      <c r="C49">
        <f>IFERROR(VLOOKUP($A49,'Scouting Output'!$A$3:$AM$250,37,FALSE), -999)</f>
        <v>-21</v>
      </c>
      <c r="D49">
        <f>IFERROR(VLOOKUP($A49,'Scouting Output'!$A$3:$AM$250,38,FALSE), -999)</f>
        <v>-1.5</v>
      </c>
      <c r="E49">
        <f>IFERROR(VLOOKUP($A49,'Scouting Output'!$A$3:$AM$250,39,FALSE), -999)</f>
        <v>-1</v>
      </c>
      <c r="F49">
        <f>IFERROR(VLOOKUP($A49, 'Scouting Output'!$A$3:$AM$250, 30, FALSE), -999)</f>
        <v>0</v>
      </c>
      <c r="G49">
        <f>IFERROR(VLOOKUP($A49, 'Scouting Output'!$A$3:$AM$250, 3, FALSE), -999)</f>
        <v>0</v>
      </c>
    </row>
    <row r="50" spans="1:7">
      <c r="A50">
        <v>781</v>
      </c>
      <c r="B50" t="s">
        <v>444</v>
      </c>
      <c r="C50">
        <f>IFERROR(VLOOKUP($A50,'Scouting Output'!$A$3:$AM$250,37,FALSE), -999)</f>
        <v>-21</v>
      </c>
      <c r="D50">
        <f>IFERROR(VLOOKUP($A50,'Scouting Output'!$A$3:$AM$250,38,FALSE), -999)</f>
        <v>-1.5</v>
      </c>
      <c r="E50">
        <f>IFERROR(VLOOKUP($A50,'Scouting Output'!$A$3:$AM$250,39,FALSE), -999)</f>
        <v>-1</v>
      </c>
      <c r="F50">
        <f>IFERROR(VLOOKUP($A50, 'Scouting Output'!$A$3:$AM$250, 30, FALSE), -999)</f>
        <v>0</v>
      </c>
      <c r="G50">
        <f>IFERROR(VLOOKUP($A50, 'Scouting Output'!$A$3:$AM$250, 3, FALSE), -999)</f>
        <v>0</v>
      </c>
    </row>
    <row r="51" spans="1:7">
      <c r="A51">
        <v>854</v>
      </c>
      <c r="B51" t="s">
        <v>478</v>
      </c>
      <c r="C51">
        <f>IFERROR(VLOOKUP($A51,'Scouting Output'!$A$3:$AM$250,37,FALSE), -999)</f>
        <v>-21</v>
      </c>
      <c r="D51">
        <f>IFERROR(VLOOKUP($A51,'Scouting Output'!$A$3:$AM$250,38,FALSE), -999)</f>
        <v>-1.5</v>
      </c>
      <c r="E51">
        <f>IFERROR(VLOOKUP($A51,'Scouting Output'!$A$3:$AM$250,39,FALSE), -999)</f>
        <v>-1</v>
      </c>
      <c r="F51">
        <f>IFERROR(VLOOKUP($A51, 'Scouting Output'!$A$3:$AM$250, 30, FALSE), -999)</f>
        <v>0</v>
      </c>
      <c r="G51">
        <f>IFERROR(VLOOKUP($A51, 'Scouting Output'!$A$3:$AM$250, 3, FALSE), -999)</f>
        <v>0</v>
      </c>
    </row>
    <row r="52" spans="1:7">
      <c r="A52">
        <v>907</v>
      </c>
      <c r="B52" t="s">
        <v>479</v>
      </c>
      <c r="C52">
        <f>IFERROR(VLOOKUP($A52,'Scouting Output'!$A$3:$AM$250,37,FALSE), -999)</f>
        <v>-21</v>
      </c>
      <c r="D52">
        <f>IFERROR(VLOOKUP($A52,'Scouting Output'!$A$3:$AM$250,38,FALSE), -999)</f>
        <v>-1.5</v>
      </c>
      <c r="E52">
        <f>IFERROR(VLOOKUP($A52,'Scouting Output'!$A$3:$AM$250,39,FALSE), -999)</f>
        <v>-1</v>
      </c>
      <c r="F52">
        <f>IFERROR(VLOOKUP($A52, 'Scouting Output'!$A$3:$AM$250, 30, FALSE), -999)</f>
        <v>0</v>
      </c>
      <c r="G52">
        <f>IFERROR(VLOOKUP($A52, 'Scouting Output'!$A$3:$AM$250, 3, FALSE), -999)</f>
        <v>0</v>
      </c>
    </row>
    <row r="53" spans="1:7">
      <c r="A53">
        <v>919</v>
      </c>
      <c r="B53" t="s">
        <v>417</v>
      </c>
      <c r="C53">
        <f>IFERROR(VLOOKUP($A53,'Scouting Output'!$A$3:$AM$250,37,FALSE), -999)</f>
        <v>-21</v>
      </c>
      <c r="D53">
        <f>IFERROR(VLOOKUP($A53,'Scouting Output'!$A$3:$AM$250,38,FALSE), -999)</f>
        <v>-1.5</v>
      </c>
      <c r="E53">
        <f>IFERROR(VLOOKUP($A53,'Scouting Output'!$A$3:$AM$250,39,FALSE), -999)</f>
        <v>-1</v>
      </c>
      <c r="F53">
        <f>IFERROR(VLOOKUP($A53, 'Scouting Output'!$A$3:$AM$250, 30, FALSE), -999)</f>
        <v>0</v>
      </c>
      <c r="G53">
        <f>IFERROR(VLOOKUP($A53, 'Scouting Output'!$A$3:$AM$250, 3, FALSE), -999)</f>
        <v>0</v>
      </c>
    </row>
    <row r="54" spans="1:7">
      <c r="A54">
        <v>1075</v>
      </c>
      <c r="B54" t="s">
        <v>480</v>
      </c>
      <c r="C54">
        <f>IFERROR(VLOOKUP($A54,'Scouting Output'!$A$3:$AM$250,37,FALSE), -999)</f>
        <v>-21</v>
      </c>
      <c r="D54">
        <f>IFERROR(VLOOKUP($A54,'Scouting Output'!$A$3:$AM$250,38,FALSE), -999)</f>
        <v>-1.5</v>
      </c>
      <c r="E54">
        <f>IFERROR(VLOOKUP($A54,'Scouting Output'!$A$3:$AM$250,39,FALSE), -999)</f>
        <v>-1</v>
      </c>
      <c r="F54">
        <f>IFERROR(VLOOKUP($A54, 'Scouting Output'!$A$3:$AM$250, 30, FALSE), -999)</f>
        <v>0</v>
      </c>
      <c r="G54">
        <f>IFERROR(VLOOKUP($A54, 'Scouting Output'!$A$3:$AM$250, 3, FALSE), -999)</f>
        <v>0</v>
      </c>
    </row>
    <row r="55" spans="1:7">
      <c r="A55">
        <v>1285</v>
      </c>
      <c r="B55" t="s">
        <v>419</v>
      </c>
      <c r="C55">
        <f>IFERROR(VLOOKUP($A55,'Scouting Output'!$A$3:$AM$250,37,FALSE), -999)</f>
        <v>-21</v>
      </c>
      <c r="D55">
        <f>IFERROR(VLOOKUP($A55,'Scouting Output'!$A$3:$AM$250,38,FALSE), -999)</f>
        <v>-1.5</v>
      </c>
      <c r="E55">
        <f>IFERROR(VLOOKUP($A55,'Scouting Output'!$A$3:$AM$250,39,FALSE), -999)</f>
        <v>-1</v>
      </c>
      <c r="F55">
        <f>IFERROR(VLOOKUP($A55, 'Scouting Output'!$A$3:$AM$250, 30, FALSE), -999)</f>
        <v>0</v>
      </c>
      <c r="G55">
        <f>IFERROR(VLOOKUP($A55, 'Scouting Output'!$A$3:$AM$250, 3, FALSE), -999)</f>
        <v>0</v>
      </c>
    </row>
    <row r="56" spans="1:7">
      <c r="A56">
        <v>1325</v>
      </c>
      <c r="B56" t="s">
        <v>446</v>
      </c>
      <c r="C56">
        <f>IFERROR(VLOOKUP($A56,'Scouting Output'!$A$3:$AM$250,37,FALSE), -999)</f>
        <v>-21</v>
      </c>
      <c r="D56">
        <f>IFERROR(VLOOKUP($A56,'Scouting Output'!$A$3:$AM$250,38,FALSE), -999)</f>
        <v>-1.5</v>
      </c>
      <c r="E56">
        <f>IFERROR(VLOOKUP($A56,'Scouting Output'!$A$3:$AM$250,39,FALSE), -999)</f>
        <v>-1</v>
      </c>
      <c r="F56">
        <f>IFERROR(VLOOKUP($A56, 'Scouting Output'!$A$3:$AM$250, 30, FALSE), -999)</f>
        <v>0</v>
      </c>
      <c r="G56">
        <f>IFERROR(VLOOKUP($A56, 'Scouting Output'!$A$3:$AM$250, 3, FALSE), -999)</f>
        <v>0</v>
      </c>
    </row>
    <row r="57" spans="1:7">
      <c r="A57">
        <v>1360</v>
      </c>
      <c r="B57" t="s">
        <v>481</v>
      </c>
      <c r="C57">
        <f>IFERROR(VLOOKUP($A57,'Scouting Output'!$A$3:$AM$250,37,FALSE), -999)</f>
        <v>-21</v>
      </c>
      <c r="D57">
        <f>IFERROR(VLOOKUP($A57,'Scouting Output'!$A$3:$AM$250,38,FALSE), -999)</f>
        <v>-1.5</v>
      </c>
      <c r="E57">
        <f>IFERROR(VLOOKUP($A57,'Scouting Output'!$A$3:$AM$250,39,FALSE), -999)</f>
        <v>-1</v>
      </c>
      <c r="F57">
        <f>IFERROR(VLOOKUP($A57, 'Scouting Output'!$A$3:$AM$250, 30, FALSE), -999)</f>
        <v>0</v>
      </c>
      <c r="G57">
        <f>IFERROR(VLOOKUP($A57, 'Scouting Output'!$A$3:$AM$250, 3, FALSE), -999)</f>
        <v>0</v>
      </c>
    </row>
    <row r="58" spans="1:7">
      <c r="A58">
        <v>2634</v>
      </c>
      <c r="B58" t="s">
        <v>448</v>
      </c>
      <c r="C58">
        <f>IFERROR(VLOOKUP($A58,'Scouting Output'!$A$3:$AM$250,37,FALSE), -999)</f>
        <v>-21</v>
      </c>
      <c r="D58">
        <f>IFERROR(VLOOKUP($A58,'Scouting Output'!$A$3:$AM$250,38,FALSE), -999)</f>
        <v>-1.5</v>
      </c>
      <c r="E58">
        <f>IFERROR(VLOOKUP($A58,'Scouting Output'!$A$3:$AM$250,39,FALSE), -999)</f>
        <v>-1</v>
      </c>
      <c r="F58">
        <f>IFERROR(VLOOKUP($A58, 'Scouting Output'!$A$3:$AM$250, 30, FALSE), -999)</f>
        <v>0</v>
      </c>
      <c r="G58">
        <f>IFERROR(VLOOKUP($A58, 'Scouting Output'!$A$3:$AM$250, 3, FALSE), -999)</f>
        <v>0</v>
      </c>
    </row>
    <row r="59" spans="1:7">
      <c r="A59">
        <v>2771</v>
      </c>
      <c r="B59" t="s">
        <v>449</v>
      </c>
      <c r="C59">
        <f>IFERROR(VLOOKUP($A59,'Scouting Output'!$A$3:$AM$250,37,FALSE), -999)</f>
        <v>-21</v>
      </c>
      <c r="D59">
        <f>IFERROR(VLOOKUP($A59,'Scouting Output'!$A$3:$AM$250,38,FALSE), -999)</f>
        <v>-1.5</v>
      </c>
      <c r="E59">
        <f>IFERROR(VLOOKUP($A59,'Scouting Output'!$A$3:$AM$250,39,FALSE), -999)</f>
        <v>-1</v>
      </c>
      <c r="F59">
        <f>IFERROR(VLOOKUP($A59, 'Scouting Output'!$A$3:$AM$250, 30, FALSE), -999)</f>
        <v>0</v>
      </c>
      <c r="G59">
        <f>IFERROR(VLOOKUP($A59, 'Scouting Output'!$A$3:$AM$250, 3, FALSE), -999)</f>
        <v>0</v>
      </c>
    </row>
    <row r="60" spans="1:7">
      <c r="A60">
        <v>3655</v>
      </c>
      <c r="B60" t="s">
        <v>450</v>
      </c>
      <c r="C60">
        <f>IFERROR(VLOOKUP($A60,'Scouting Output'!$A$3:$AM$250,37,FALSE), -999)</f>
        <v>-21</v>
      </c>
      <c r="D60">
        <f>IFERROR(VLOOKUP($A60,'Scouting Output'!$A$3:$AM$250,38,FALSE), -999)</f>
        <v>-1.5</v>
      </c>
      <c r="E60">
        <f>IFERROR(VLOOKUP($A60,'Scouting Output'!$A$3:$AM$250,39,FALSE), -999)</f>
        <v>-1</v>
      </c>
      <c r="F60">
        <f>IFERROR(VLOOKUP($A60, 'Scouting Output'!$A$3:$AM$250, 30, FALSE), -999)</f>
        <v>0</v>
      </c>
      <c r="G60">
        <f>IFERROR(VLOOKUP($A60, 'Scouting Output'!$A$3:$AM$250, 3, FALSE), -999)</f>
        <v>0</v>
      </c>
    </row>
    <row r="61" spans="1:7">
      <c r="A61">
        <v>4252</v>
      </c>
      <c r="B61" t="s">
        <v>422</v>
      </c>
      <c r="C61">
        <f>IFERROR(VLOOKUP($A61,'Scouting Output'!$A$3:$AM$250,37,FALSE), -999)</f>
        <v>-21</v>
      </c>
      <c r="D61">
        <f>IFERROR(VLOOKUP($A61,'Scouting Output'!$A$3:$AM$250,38,FALSE), -999)</f>
        <v>-1.5</v>
      </c>
      <c r="E61">
        <f>IFERROR(VLOOKUP($A61,'Scouting Output'!$A$3:$AM$250,39,FALSE), -999)</f>
        <v>-1</v>
      </c>
      <c r="F61">
        <f>IFERROR(VLOOKUP($A61, 'Scouting Output'!$A$3:$AM$250, 30, FALSE), -999)</f>
        <v>0</v>
      </c>
      <c r="G61">
        <f>IFERROR(VLOOKUP($A61, 'Scouting Output'!$A$3:$AM$250, 3, FALSE), -999)</f>
        <v>0</v>
      </c>
    </row>
    <row r="62" spans="1:7">
      <c r="A62">
        <v>4308</v>
      </c>
      <c r="B62" t="s">
        <v>423</v>
      </c>
      <c r="C62">
        <f>IFERROR(VLOOKUP($A62,'Scouting Output'!$A$3:$AM$250,37,FALSE), -999)</f>
        <v>-21</v>
      </c>
      <c r="D62">
        <f>IFERROR(VLOOKUP($A62,'Scouting Output'!$A$3:$AM$250,38,FALSE), -999)</f>
        <v>-1.5</v>
      </c>
      <c r="E62">
        <f>IFERROR(VLOOKUP($A62,'Scouting Output'!$A$3:$AM$250,39,FALSE), -999)</f>
        <v>-1</v>
      </c>
      <c r="F62">
        <f>IFERROR(VLOOKUP($A62, 'Scouting Output'!$A$3:$AM$250, 30, FALSE), -999)</f>
        <v>0</v>
      </c>
      <c r="G62">
        <f>IFERROR(VLOOKUP($A62, 'Scouting Output'!$A$3:$AM$250, 3, FALSE), -999)</f>
        <v>0</v>
      </c>
    </row>
    <row r="63" spans="1:7">
      <c r="A63">
        <v>4343</v>
      </c>
      <c r="B63" t="s">
        <v>482</v>
      </c>
      <c r="C63">
        <f>IFERROR(VLOOKUP($A63,'Scouting Output'!$A$3:$AM$250,37,FALSE), -999)</f>
        <v>-21</v>
      </c>
      <c r="D63">
        <f>IFERROR(VLOOKUP($A63,'Scouting Output'!$A$3:$AM$250,38,FALSE), -999)</f>
        <v>-1.5</v>
      </c>
      <c r="E63">
        <f>IFERROR(VLOOKUP($A63,'Scouting Output'!$A$3:$AM$250,39,FALSE), -999)</f>
        <v>-1</v>
      </c>
      <c r="F63">
        <f>IFERROR(VLOOKUP($A63, 'Scouting Output'!$A$3:$AM$250, 30, FALSE), -999)</f>
        <v>0</v>
      </c>
      <c r="G63">
        <f>IFERROR(VLOOKUP($A63, 'Scouting Output'!$A$3:$AM$250, 3, FALSE), -999)</f>
        <v>0</v>
      </c>
    </row>
    <row r="64" spans="1:7">
      <c r="A64">
        <v>4618</v>
      </c>
      <c r="B64" t="s">
        <v>483</v>
      </c>
      <c r="C64">
        <f>IFERROR(VLOOKUP($A64,'Scouting Output'!$A$3:$AM$250,37,FALSE), -999)</f>
        <v>-21</v>
      </c>
      <c r="D64">
        <f>IFERROR(VLOOKUP($A64,'Scouting Output'!$A$3:$AM$250,38,FALSE), -999)</f>
        <v>-1.5</v>
      </c>
      <c r="E64">
        <f>IFERROR(VLOOKUP($A64,'Scouting Output'!$A$3:$AM$250,39,FALSE), -999)</f>
        <v>-1</v>
      </c>
      <c r="F64">
        <f>IFERROR(VLOOKUP($A64, 'Scouting Output'!$A$3:$AM$250, 30, FALSE), -999)</f>
        <v>0</v>
      </c>
      <c r="G64">
        <f>IFERROR(VLOOKUP($A64, 'Scouting Output'!$A$3:$AM$250, 3, FALSE), -999)</f>
        <v>0</v>
      </c>
    </row>
    <row r="65" spans="1:7">
      <c r="A65">
        <v>4688</v>
      </c>
      <c r="B65" t="s">
        <v>451</v>
      </c>
      <c r="C65">
        <f>IFERROR(VLOOKUP($A65,'Scouting Output'!$A$3:$AM$250,37,FALSE), -999)</f>
        <v>-21</v>
      </c>
      <c r="D65">
        <f>IFERROR(VLOOKUP($A65,'Scouting Output'!$A$3:$AM$250,38,FALSE), -999)</f>
        <v>-1.5</v>
      </c>
      <c r="E65">
        <f>IFERROR(VLOOKUP($A65,'Scouting Output'!$A$3:$AM$250,39,FALSE), -999)</f>
        <v>-1</v>
      </c>
      <c r="F65">
        <f>IFERROR(VLOOKUP($A65, 'Scouting Output'!$A$3:$AM$250, 30, FALSE), -999)</f>
        <v>0</v>
      </c>
      <c r="G65">
        <f>IFERROR(VLOOKUP($A65, 'Scouting Output'!$A$3:$AM$250, 3, FALSE), -999)</f>
        <v>0</v>
      </c>
    </row>
    <row r="66" spans="1:7">
      <c r="A66">
        <v>4777</v>
      </c>
      <c r="B66" t="s">
        <v>484</v>
      </c>
      <c r="C66">
        <f>IFERROR(VLOOKUP($A66,'Scouting Output'!$A$3:$AM$250,37,FALSE), -999)</f>
        <v>-21</v>
      </c>
      <c r="D66">
        <f>IFERROR(VLOOKUP($A66,'Scouting Output'!$A$3:$AM$250,38,FALSE), -999)</f>
        <v>-1.5</v>
      </c>
      <c r="E66">
        <f>IFERROR(VLOOKUP($A66,'Scouting Output'!$A$3:$AM$250,39,FALSE), -999)</f>
        <v>-1</v>
      </c>
      <c r="F66">
        <f>IFERROR(VLOOKUP($A66, 'Scouting Output'!$A$3:$AM$250, 30, FALSE), -999)</f>
        <v>0</v>
      </c>
      <c r="G66">
        <f>IFERROR(VLOOKUP($A66, 'Scouting Output'!$A$3:$AM$250, 3, FALSE), -999)</f>
        <v>0</v>
      </c>
    </row>
    <row r="67" spans="1:7">
      <c r="A67">
        <v>4903</v>
      </c>
      <c r="B67" t="s">
        <v>452</v>
      </c>
      <c r="C67">
        <f>IFERROR(VLOOKUP($A67,'Scouting Output'!$A$3:$AM$250,37,FALSE), -999)</f>
        <v>-21</v>
      </c>
      <c r="D67">
        <f>IFERROR(VLOOKUP($A67,'Scouting Output'!$A$3:$AM$250,38,FALSE), -999)</f>
        <v>-1.5</v>
      </c>
      <c r="E67">
        <f>IFERROR(VLOOKUP($A67,'Scouting Output'!$A$3:$AM$250,39,FALSE), -999)</f>
        <v>-1</v>
      </c>
      <c r="F67">
        <f>IFERROR(VLOOKUP($A67, 'Scouting Output'!$A$3:$AM$250, 30, FALSE), -999)</f>
        <v>0</v>
      </c>
      <c r="G67">
        <f>IFERROR(VLOOKUP($A67, 'Scouting Output'!$A$3:$AM$250, 3, FALSE), -999)</f>
        <v>0</v>
      </c>
    </row>
    <row r="68" spans="1:7">
      <c r="A68">
        <v>4914</v>
      </c>
      <c r="B68" t="s">
        <v>485</v>
      </c>
      <c r="C68">
        <f>IFERROR(VLOOKUP($A68,'Scouting Output'!$A$3:$AM$250,37,FALSE), -999)</f>
        <v>-21</v>
      </c>
      <c r="D68">
        <f>IFERROR(VLOOKUP($A68,'Scouting Output'!$A$3:$AM$250,38,FALSE), -999)</f>
        <v>-1.5</v>
      </c>
      <c r="E68">
        <f>IFERROR(VLOOKUP($A68,'Scouting Output'!$A$3:$AM$250,39,FALSE), -999)</f>
        <v>-1</v>
      </c>
      <c r="F68">
        <f>IFERROR(VLOOKUP($A68, 'Scouting Output'!$A$3:$AM$250, 30, FALSE), -999)</f>
        <v>0</v>
      </c>
      <c r="G68">
        <f>IFERROR(VLOOKUP($A68, 'Scouting Output'!$A$3:$AM$250, 3, FALSE), -999)</f>
        <v>0</v>
      </c>
    </row>
    <row r="69" spans="1:7">
      <c r="A69">
        <v>4932</v>
      </c>
      <c r="B69" t="s">
        <v>453</v>
      </c>
      <c r="C69">
        <f>IFERROR(VLOOKUP($A69,'Scouting Output'!$A$3:$AM$250,37,FALSE), -999)</f>
        <v>-21</v>
      </c>
      <c r="D69">
        <f>IFERROR(VLOOKUP($A69,'Scouting Output'!$A$3:$AM$250,38,FALSE), -999)</f>
        <v>-1.5</v>
      </c>
      <c r="E69">
        <f>IFERROR(VLOOKUP($A69,'Scouting Output'!$A$3:$AM$250,39,FALSE), -999)</f>
        <v>-1</v>
      </c>
      <c r="F69">
        <f>IFERROR(VLOOKUP($A69, 'Scouting Output'!$A$3:$AM$250, 30, FALSE), -999)</f>
        <v>0</v>
      </c>
      <c r="G69">
        <f>IFERROR(VLOOKUP($A69, 'Scouting Output'!$A$3:$AM$250, 3, FALSE), -999)</f>
        <v>0</v>
      </c>
    </row>
    <row r="70" spans="1:7">
      <c r="A70">
        <v>4938</v>
      </c>
      <c r="B70" t="s">
        <v>454</v>
      </c>
      <c r="C70">
        <f>IFERROR(VLOOKUP($A70,'Scouting Output'!$A$3:$AM$250,37,FALSE), -999)</f>
        <v>-21</v>
      </c>
      <c r="D70">
        <f>IFERROR(VLOOKUP($A70,'Scouting Output'!$A$3:$AM$250,38,FALSE), -999)</f>
        <v>-1.5</v>
      </c>
      <c r="E70">
        <f>IFERROR(VLOOKUP($A70,'Scouting Output'!$A$3:$AM$250,39,FALSE), -999)</f>
        <v>-1</v>
      </c>
      <c r="F70">
        <f>IFERROR(VLOOKUP($A70, 'Scouting Output'!$A$3:$AM$250, 30, FALSE), -999)</f>
        <v>0</v>
      </c>
      <c r="G70">
        <f>IFERROR(VLOOKUP($A70, 'Scouting Output'!$A$3:$AM$250, 3, FALSE), -999)</f>
        <v>0</v>
      </c>
    </row>
    <row r="71" spans="1:7">
      <c r="A71">
        <v>4939</v>
      </c>
      <c r="B71" t="s">
        <v>424</v>
      </c>
      <c r="C71">
        <f>IFERROR(VLOOKUP($A71,'Scouting Output'!$A$3:$AM$250,37,FALSE), -999)</f>
        <v>-21</v>
      </c>
      <c r="D71">
        <f>IFERROR(VLOOKUP($A71,'Scouting Output'!$A$3:$AM$250,38,FALSE), -999)</f>
        <v>-1.5</v>
      </c>
      <c r="E71">
        <f>IFERROR(VLOOKUP($A71,'Scouting Output'!$A$3:$AM$250,39,FALSE), -999)</f>
        <v>-1</v>
      </c>
      <c r="F71">
        <f>IFERROR(VLOOKUP($A71, 'Scouting Output'!$A$3:$AM$250, 30, FALSE), -999)</f>
        <v>0</v>
      </c>
      <c r="G71">
        <f>IFERROR(VLOOKUP($A71, 'Scouting Output'!$A$3:$AM$250, 3, FALSE), -999)</f>
        <v>0</v>
      </c>
    </row>
    <row r="72" spans="1:7">
      <c r="A72">
        <v>5024</v>
      </c>
      <c r="B72" t="s">
        <v>425</v>
      </c>
      <c r="C72">
        <f>IFERROR(VLOOKUP($A72,'Scouting Output'!$A$3:$AM$250,37,FALSE), -999)</f>
        <v>-21</v>
      </c>
      <c r="D72">
        <f>IFERROR(VLOOKUP($A72,'Scouting Output'!$A$3:$AM$250,38,FALSE), -999)</f>
        <v>-1.5</v>
      </c>
      <c r="E72">
        <f>IFERROR(VLOOKUP($A72,'Scouting Output'!$A$3:$AM$250,39,FALSE), -999)</f>
        <v>-1</v>
      </c>
      <c r="F72">
        <f>IFERROR(VLOOKUP($A72, 'Scouting Output'!$A$3:$AM$250, 30, FALSE), -999)</f>
        <v>0</v>
      </c>
      <c r="G72">
        <f>IFERROR(VLOOKUP($A72, 'Scouting Output'!$A$3:$AM$250, 3, FALSE), -999)</f>
        <v>0</v>
      </c>
    </row>
    <row r="73" spans="1:7">
      <c r="A73">
        <v>5031</v>
      </c>
      <c r="B73" t="s">
        <v>426</v>
      </c>
      <c r="C73">
        <f>IFERROR(VLOOKUP($A73,'Scouting Output'!$A$3:$AM$250,37,FALSE), -999)</f>
        <v>-21</v>
      </c>
      <c r="D73">
        <f>IFERROR(VLOOKUP($A73,'Scouting Output'!$A$3:$AM$250,38,FALSE), -999)</f>
        <v>-1.5</v>
      </c>
      <c r="E73">
        <f>IFERROR(VLOOKUP($A73,'Scouting Output'!$A$3:$AM$250,39,FALSE), -999)</f>
        <v>-1</v>
      </c>
      <c r="F73">
        <f>IFERROR(VLOOKUP($A73, 'Scouting Output'!$A$3:$AM$250, 30, FALSE), -999)</f>
        <v>0</v>
      </c>
      <c r="G73">
        <f>IFERROR(VLOOKUP($A73, 'Scouting Output'!$A$3:$AM$250, 3, FALSE), -999)</f>
        <v>0</v>
      </c>
    </row>
    <row r="74" spans="1:7">
      <c r="A74">
        <v>5039</v>
      </c>
      <c r="B74" t="s">
        <v>427</v>
      </c>
      <c r="C74">
        <f>IFERROR(VLOOKUP($A74,'Scouting Output'!$A$3:$AM$250,37,FALSE), -999)</f>
        <v>-21</v>
      </c>
      <c r="D74">
        <f>IFERROR(VLOOKUP($A74,'Scouting Output'!$A$3:$AM$250,38,FALSE), -999)</f>
        <v>-1.5</v>
      </c>
      <c r="E74">
        <f>IFERROR(VLOOKUP($A74,'Scouting Output'!$A$3:$AM$250,39,FALSE), -999)</f>
        <v>-1</v>
      </c>
      <c r="F74">
        <f>IFERROR(VLOOKUP($A74, 'Scouting Output'!$A$3:$AM$250, 30, FALSE), -999)</f>
        <v>0</v>
      </c>
      <c r="G74">
        <f>IFERROR(VLOOKUP($A74, 'Scouting Output'!$A$3:$AM$250, 3, FALSE), -999)</f>
        <v>0</v>
      </c>
    </row>
    <row r="75" spans="1:7">
      <c r="A75">
        <v>5076</v>
      </c>
      <c r="B75" t="s">
        <v>428</v>
      </c>
      <c r="C75">
        <f>IFERROR(VLOOKUP($A75,'Scouting Output'!$A$3:$AM$250,37,FALSE), -999)</f>
        <v>-21</v>
      </c>
      <c r="D75">
        <f>IFERROR(VLOOKUP($A75,'Scouting Output'!$A$3:$AM$250,38,FALSE), -999)</f>
        <v>-1.5</v>
      </c>
      <c r="E75">
        <f>IFERROR(VLOOKUP($A75,'Scouting Output'!$A$3:$AM$250,39,FALSE), -999)</f>
        <v>-1</v>
      </c>
      <c r="F75">
        <f>IFERROR(VLOOKUP($A75, 'Scouting Output'!$A$3:$AM$250, 30, FALSE), -999)</f>
        <v>0</v>
      </c>
      <c r="G75">
        <f>IFERROR(VLOOKUP($A75, 'Scouting Output'!$A$3:$AM$250, 3, FALSE), -999)</f>
        <v>0</v>
      </c>
    </row>
    <row r="76" spans="1:7">
      <c r="A76">
        <v>5288</v>
      </c>
      <c r="B76" t="s">
        <v>486</v>
      </c>
      <c r="C76">
        <f>IFERROR(VLOOKUP($A76,'Scouting Output'!$A$3:$AM$250,37,FALSE), -999)</f>
        <v>-21</v>
      </c>
      <c r="D76">
        <f>IFERROR(VLOOKUP($A76,'Scouting Output'!$A$3:$AM$250,38,FALSE), -999)</f>
        <v>-1.5</v>
      </c>
      <c r="E76">
        <f>IFERROR(VLOOKUP($A76,'Scouting Output'!$A$3:$AM$250,39,FALSE), -999)</f>
        <v>-1</v>
      </c>
      <c r="F76">
        <f>IFERROR(VLOOKUP($A76, 'Scouting Output'!$A$3:$AM$250, 30, FALSE), -999)</f>
        <v>0</v>
      </c>
      <c r="G76">
        <f>IFERROR(VLOOKUP($A76, 'Scouting Output'!$A$3:$AM$250, 3, FALSE), -999)</f>
        <v>0</v>
      </c>
    </row>
    <row r="77" spans="1:7">
      <c r="A77">
        <v>5596</v>
      </c>
      <c r="B77" t="s">
        <v>487</v>
      </c>
      <c r="C77">
        <f>IFERROR(VLOOKUP($A77,'Scouting Output'!$A$3:$AM$250,37,FALSE), -999)</f>
        <v>-21</v>
      </c>
      <c r="D77">
        <f>IFERROR(VLOOKUP($A77,'Scouting Output'!$A$3:$AM$250,38,FALSE), -999)</f>
        <v>-1.5</v>
      </c>
      <c r="E77">
        <f>IFERROR(VLOOKUP($A77,'Scouting Output'!$A$3:$AM$250,39,FALSE), -999)</f>
        <v>-1</v>
      </c>
      <c r="F77">
        <f>IFERROR(VLOOKUP($A77, 'Scouting Output'!$A$3:$AM$250, 30, FALSE), -999)</f>
        <v>0</v>
      </c>
      <c r="G77">
        <f>IFERROR(VLOOKUP($A77, 'Scouting Output'!$A$3:$AM$250, 3, FALSE), -999)</f>
        <v>0</v>
      </c>
    </row>
    <row r="78" spans="1:7">
      <c r="A78">
        <v>5699</v>
      </c>
      <c r="B78" t="s">
        <v>488</v>
      </c>
      <c r="C78">
        <f>IFERROR(VLOOKUP($A78,'Scouting Output'!$A$3:$AM$250,37,FALSE), -999)</f>
        <v>-21</v>
      </c>
      <c r="D78">
        <f>IFERROR(VLOOKUP($A78,'Scouting Output'!$A$3:$AM$250,38,FALSE), -999)</f>
        <v>-1.5</v>
      </c>
      <c r="E78">
        <f>IFERROR(VLOOKUP($A78,'Scouting Output'!$A$3:$AM$250,39,FALSE), -999)</f>
        <v>-1</v>
      </c>
      <c r="F78">
        <f>IFERROR(VLOOKUP($A78, 'Scouting Output'!$A$3:$AM$250, 30, FALSE), -999)</f>
        <v>0</v>
      </c>
      <c r="G78">
        <f>IFERROR(VLOOKUP($A78, 'Scouting Output'!$A$3:$AM$250, 3, FALSE), -999)</f>
        <v>0</v>
      </c>
    </row>
    <row r="79" spans="1:7">
      <c r="A79">
        <v>5719</v>
      </c>
      <c r="B79" t="s">
        <v>430</v>
      </c>
      <c r="C79">
        <f>IFERROR(VLOOKUP($A79,'Scouting Output'!$A$3:$AM$250,37,FALSE), -999)</f>
        <v>-21</v>
      </c>
      <c r="D79">
        <f>IFERROR(VLOOKUP($A79,'Scouting Output'!$A$3:$AM$250,38,FALSE), -999)</f>
        <v>-1.5</v>
      </c>
      <c r="E79">
        <f>IFERROR(VLOOKUP($A79,'Scouting Output'!$A$3:$AM$250,39,FALSE), -999)</f>
        <v>-1</v>
      </c>
      <c r="F79">
        <f>IFERROR(VLOOKUP($A79, 'Scouting Output'!$A$3:$AM$250, 30, FALSE), -999)</f>
        <v>0</v>
      </c>
      <c r="G79">
        <f>IFERROR(VLOOKUP($A79, 'Scouting Output'!$A$3:$AM$250, 3, FALSE), -999)</f>
        <v>0</v>
      </c>
    </row>
    <row r="80" spans="1:7">
      <c r="A80">
        <v>5911</v>
      </c>
      <c r="B80" t="s">
        <v>431</v>
      </c>
      <c r="C80">
        <f>IFERROR(VLOOKUP($A80,'Scouting Output'!$A$3:$AM$250,37,FALSE), -999)</f>
        <v>-21</v>
      </c>
      <c r="D80">
        <f>IFERROR(VLOOKUP($A80,'Scouting Output'!$A$3:$AM$250,38,FALSE), -999)</f>
        <v>-1.5</v>
      </c>
      <c r="E80">
        <f>IFERROR(VLOOKUP($A80,'Scouting Output'!$A$3:$AM$250,39,FALSE), -999)</f>
        <v>-1</v>
      </c>
      <c r="F80">
        <f>IFERROR(VLOOKUP($A80, 'Scouting Output'!$A$3:$AM$250, 30, FALSE), -999)</f>
        <v>0</v>
      </c>
      <c r="G80">
        <f>IFERROR(VLOOKUP($A80, 'Scouting Output'!$A$3:$AM$250, 3, FALSE), -999)</f>
        <v>0</v>
      </c>
    </row>
    <row r="81" spans="1:7">
      <c r="A81">
        <v>5921</v>
      </c>
      <c r="B81" t="s">
        <v>489</v>
      </c>
      <c r="C81">
        <f>IFERROR(VLOOKUP($A81,'Scouting Output'!$A$3:$AM$250,37,FALSE), -999)</f>
        <v>-21</v>
      </c>
      <c r="D81">
        <f>IFERROR(VLOOKUP($A81,'Scouting Output'!$A$3:$AM$250,38,FALSE), -999)</f>
        <v>-1.5</v>
      </c>
      <c r="E81">
        <f>IFERROR(VLOOKUP($A81,'Scouting Output'!$A$3:$AM$250,39,FALSE), -999)</f>
        <v>-1</v>
      </c>
      <c r="F81">
        <f>IFERROR(VLOOKUP($A81, 'Scouting Output'!$A$3:$AM$250, 30, FALSE), -999)</f>
        <v>0</v>
      </c>
      <c r="G81">
        <f>IFERROR(VLOOKUP($A81, 'Scouting Output'!$A$3:$AM$250, 3, FALSE), -999)</f>
        <v>0</v>
      </c>
    </row>
    <row r="82" spans="1:7">
      <c r="A82">
        <v>6130</v>
      </c>
      <c r="B82" t="s">
        <v>490</v>
      </c>
      <c r="C82">
        <f>IFERROR(VLOOKUP($A82,'Scouting Output'!$A$3:$AM$250,37,FALSE), -999)</f>
        <v>-21</v>
      </c>
      <c r="D82">
        <f>IFERROR(VLOOKUP($A82,'Scouting Output'!$A$3:$AM$250,38,FALSE), -999)</f>
        <v>-1.5</v>
      </c>
      <c r="E82">
        <f>IFERROR(VLOOKUP($A82,'Scouting Output'!$A$3:$AM$250,39,FALSE), -999)</f>
        <v>-1</v>
      </c>
      <c r="F82">
        <f>IFERROR(VLOOKUP($A82, 'Scouting Output'!$A$3:$AM$250, 30, FALSE), -999)</f>
        <v>0</v>
      </c>
      <c r="G82">
        <f>IFERROR(VLOOKUP($A82, 'Scouting Output'!$A$3:$AM$250, 3, FALSE), -999)</f>
        <v>0</v>
      </c>
    </row>
    <row r="83" spans="1:7">
      <c r="A83">
        <v>6140</v>
      </c>
      <c r="B83" t="s">
        <v>491</v>
      </c>
      <c r="C83">
        <f>IFERROR(VLOOKUP($A83,'Scouting Output'!$A$3:$AM$250,37,FALSE), -999)</f>
        <v>-21</v>
      </c>
      <c r="D83">
        <f>IFERROR(VLOOKUP($A83,'Scouting Output'!$A$3:$AM$250,38,FALSE), -999)</f>
        <v>-1.5</v>
      </c>
      <c r="E83">
        <f>IFERROR(VLOOKUP($A83,'Scouting Output'!$A$3:$AM$250,39,FALSE), -999)</f>
        <v>-1</v>
      </c>
      <c r="F83">
        <f>IFERROR(VLOOKUP($A83, 'Scouting Output'!$A$3:$AM$250, 30, FALSE), -999)</f>
        <v>0</v>
      </c>
      <c r="G83">
        <f>IFERROR(VLOOKUP($A83, 'Scouting Output'!$A$3:$AM$250, 3, FALSE), -999)</f>
        <v>0</v>
      </c>
    </row>
    <row r="84" spans="1:7">
      <c r="A84">
        <v>6141</v>
      </c>
      <c r="B84" t="s">
        <v>492</v>
      </c>
      <c r="C84">
        <f>IFERROR(VLOOKUP($A84,'Scouting Output'!$A$3:$AM$250,37,FALSE), -999)</f>
        <v>-21</v>
      </c>
      <c r="D84">
        <f>IFERROR(VLOOKUP($A84,'Scouting Output'!$A$3:$AM$250,38,FALSE), -999)</f>
        <v>-1.5</v>
      </c>
      <c r="E84">
        <f>IFERROR(VLOOKUP($A84,'Scouting Output'!$A$3:$AM$250,39,FALSE), -999)</f>
        <v>-1</v>
      </c>
      <c r="F84">
        <f>IFERROR(VLOOKUP($A84, 'Scouting Output'!$A$3:$AM$250, 30, FALSE), -999)</f>
        <v>0</v>
      </c>
      <c r="G84">
        <f>IFERROR(VLOOKUP($A84, 'Scouting Output'!$A$3:$AM$250, 3, FALSE), -999)</f>
        <v>0</v>
      </c>
    </row>
    <row r="85" spans="1:7">
      <c r="A85">
        <v>6162</v>
      </c>
      <c r="B85" t="s">
        <v>432</v>
      </c>
      <c r="C85">
        <f>IFERROR(VLOOKUP($A85,'Scouting Output'!$A$3:$AM$250,37,FALSE), -999)</f>
        <v>-21</v>
      </c>
      <c r="D85">
        <f>IFERROR(VLOOKUP($A85,'Scouting Output'!$A$3:$AM$250,38,FALSE), -999)</f>
        <v>-1.5</v>
      </c>
      <c r="E85">
        <f>IFERROR(VLOOKUP($A85,'Scouting Output'!$A$3:$AM$250,39,FALSE), -999)</f>
        <v>-1</v>
      </c>
      <c r="F85">
        <f>IFERROR(VLOOKUP($A85, 'Scouting Output'!$A$3:$AM$250, 30, FALSE), -999)</f>
        <v>0</v>
      </c>
      <c r="G85">
        <f>IFERROR(VLOOKUP($A85, 'Scouting Output'!$A$3:$AM$250, 3, FALSE), -999)</f>
        <v>0</v>
      </c>
    </row>
    <row r="86" spans="1:7">
      <c r="A86">
        <v>6323</v>
      </c>
      <c r="B86" t="s">
        <v>493</v>
      </c>
      <c r="C86">
        <f>IFERROR(VLOOKUP($A86,'Scouting Output'!$A$3:$AM$250,37,FALSE), -999)</f>
        <v>-21</v>
      </c>
      <c r="D86">
        <f>IFERROR(VLOOKUP($A86,'Scouting Output'!$A$3:$AM$250,38,FALSE), -999)</f>
        <v>-1.5</v>
      </c>
      <c r="E86">
        <f>IFERROR(VLOOKUP($A86,'Scouting Output'!$A$3:$AM$250,39,FALSE), -999)</f>
        <v>-1</v>
      </c>
      <c r="F86">
        <f>IFERROR(VLOOKUP($A86, 'Scouting Output'!$A$3:$AM$250, 30, FALSE), -999)</f>
        <v>0</v>
      </c>
      <c r="G86">
        <f>IFERROR(VLOOKUP($A86, 'Scouting Output'!$A$3:$AM$250, 3, FALSE), -999)</f>
        <v>0</v>
      </c>
    </row>
    <row r="87" spans="1:7">
      <c r="A87">
        <v>6331</v>
      </c>
      <c r="B87" t="s">
        <v>455</v>
      </c>
      <c r="C87">
        <f>IFERROR(VLOOKUP($A87,'Scouting Output'!$A$3:$AM$250,37,FALSE), -999)</f>
        <v>-21</v>
      </c>
      <c r="D87">
        <f>IFERROR(VLOOKUP($A87,'Scouting Output'!$A$3:$AM$250,38,FALSE), -999)</f>
        <v>-1.5</v>
      </c>
      <c r="E87">
        <f>IFERROR(VLOOKUP($A87,'Scouting Output'!$A$3:$AM$250,39,FALSE), -999)</f>
        <v>-1</v>
      </c>
      <c r="F87">
        <f>IFERROR(VLOOKUP($A87, 'Scouting Output'!$A$3:$AM$250, 30, FALSE), -999)</f>
        <v>0</v>
      </c>
      <c r="G87">
        <f>IFERROR(VLOOKUP($A87, 'Scouting Output'!$A$3:$AM$250, 3, FALSE), -999)</f>
        <v>0</v>
      </c>
    </row>
    <row r="88" spans="1:7">
      <c r="A88">
        <v>6342</v>
      </c>
      <c r="B88" t="s">
        <v>433</v>
      </c>
      <c r="C88">
        <f>IFERROR(VLOOKUP($A88,'Scouting Output'!$A$3:$AM$250,37,FALSE), -999)</f>
        <v>-21</v>
      </c>
      <c r="D88">
        <f>IFERROR(VLOOKUP($A88,'Scouting Output'!$A$3:$AM$250,38,FALSE), -999)</f>
        <v>-1.5</v>
      </c>
      <c r="E88">
        <f>IFERROR(VLOOKUP($A88,'Scouting Output'!$A$3:$AM$250,39,FALSE), -999)</f>
        <v>-1</v>
      </c>
      <c r="F88">
        <f>IFERROR(VLOOKUP($A88, 'Scouting Output'!$A$3:$AM$250, 30, FALSE), -999)</f>
        <v>0</v>
      </c>
      <c r="G88">
        <f>IFERROR(VLOOKUP($A88, 'Scouting Output'!$A$3:$AM$250, 3, FALSE), -999)</f>
        <v>0</v>
      </c>
    </row>
    <row r="89" spans="1:7">
      <c r="A89">
        <v>6378</v>
      </c>
      <c r="B89" t="s">
        <v>494</v>
      </c>
      <c r="C89">
        <f>IFERROR(VLOOKUP($A89,'Scouting Output'!$A$3:$AM$250,37,FALSE), -999)</f>
        <v>-21</v>
      </c>
      <c r="D89">
        <f>IFERROR(VLOOKUP($A89,'Scouting Output'!$A$3:$AM$250,38,FALSE), -999)</f>
        <v>-1.5</v>
      </c>
      <c r="E89">
        <f>IFERROR(VLOOKUP($A89,'Scouting Output'!$A$3:$AM$250,39,FALSE), -999)</f>
        <v>-1</v>
      </c>
      <c r="F89">
        <f>IFERROR(VLOOKUP($A89, 'Scouting Output'!$A$3:$AM$250, 30, FALSE), -999)</f>
        <v>0</v>
      </c>
      <c r="G89">
        <f>IFERROR(VLOOKUP($A89, 'Scouting Output'!$A$3:$AM$250, 3, FALSE), -999)</f>
        <v>0</v>
      </c>
    </row>
    <row r="90" spans="1:7">
      <c r="A90">
        <v>6397</v>
      </c>
      <c r="B90" t="s">
        <v>434</v>
      </c>
      <c r="C90">
        <f>IFERROR(VLOOKUP($A90,'Scouting Output'!$A$3:$AM$250,37,FALSE), -999)</f>
        <v>-21</v>
      </c>
      <c r="D90">
        <f>IFERROR(VLOOKUP($A90,'Scouting Output'!$A$3:$AM$250,38,FALSE), -999)</f>
        <v>-1.5</v>
      </c>
      <c r="E90">
        <f>IFERROR(VLOOKUP($A90,'Scouting Output'!$A$3:$AM$250,39,FALSE), -999)</f>
        <v>-1</v>
      </c>
      <c r="F90">
        <f>IFERROR(VLOOKUP($A90, 'Scouting Output'!$A$3:$AM$250, 30, FALSE), -999)</f>
        <v>0</v>
      </c>
      <c r="G90">
        <f>IFERROR(VLOOKUP($A90, 'Scouting Output'!$A$3:$AM$250, 3, FALSE), -999)</f>
        <v>0</v>
      </c>
    </row>
    <row r="91" spans="1:7">
      <c r="A91">
        <v>6481</v>
      </c>
      <c r="B91" t="s">
        <v>458</v>
      </c>
      <c r="C91">
        <f>IFERROR(VLOOKUP($A91,'Scouting Output'!$A$3:$AM$250,37,FALSE), -999)</f>
        <v>-21</v>
      </c>
      <c r="D91">
        <f>IFERROR(VLOOKUP($A91,'Scouting Output'!$A$3:$AM$250,38,FALSE), -999)</f>
        <v>-1.5</v>
      </c>
      <c r="E91">
        <f>IFERROR(VLOOKUP($A91,'Scouting Output'!$A$3:$AM$250,39,FALSE), -999)</f>
        <v>-1</v>
      </c>
      <c r="F91">
        <f>IFERROR(VLOOKUP($A91, 'Scouting Output'!$A$3:$AM$250, 30, FALSE), -999)</f>
        <v>0</v>
      </c>
      <c r="G91">
        <f>IFERROR(VLOOKUP($A91, 'Scouting Output'!$A$3:$AM$250, 3, FALSE), -999)</f>
        <v>0</v>
      </c>
    </row>
    <row r="92" spans="1:7">
      <c r="A92">
        <v>6544</v>
      </c>
      <c r="B92" t="s">
        <v>459</v>
      </c>
      <c r="C92">
        <f>IFERROR(VLOOKUP($A92,'Scouting Output'!$A$3:$AM$250,37,FALSE), -999)</f>
        <v>-21</v>
      </c>
      <c r="D92">
        <f>IFERROR(VLOOKUP($A92,'Scouting Output'!$A$3:$AM$250,38,FALSE), -999)</f>
        <v>-1.5</v>
      </c>
      <c r="E92">
        <f>IFERROR(VLOOKUP($A92,'Scouting Output'!$A$3:$AM$250,39,FALSE), -999)</f>
        <v>-1</v>
      </c>
      <c r="F92">
        <f>IFERROR(VLOOKUP($A92, 'Scouting Output'!$A$3:$AM$250, 30, FALSE), -999)</f>
        <v>0</v>
      </c>
      <c r="G92">
        <f>IFERROR(VLOOKUP($A92, 'Scouting Output'!$A$3:$AM$250, 3, FALSE), -999)</f>
        <v>0</v>
      </c>
    </row>
    <row r="93" spans="1:7">
      <c r="A93">
        <v>6632</v>
      </c>
      <c r="B93" t="s">
        <v>495</v>
      </c>
      <c r="C93">
        <f>IFERROR(VLOOKUP($A93,'Scouting Output'!$A$3:$AM$250,37,FALSE), -999)</f>
        <v>-21</v>
      </c>
      <c r="D93">
        <f>IFERROR(VLOOKUP($A93,'Scouting Output'!$A$3:$AM$250,38,FALSE), -999)</f>
        <v>-1.5</v>
      </c>
      <c r="E93">
        <f>IFERROR(VLOOKUP($A93,'Scouting Output'!$A$3:$AM$250,39,FALSE), -999)</f>
        <v>-1</v>
      </c>
      <c r="F93">
        <f>IFERROR(VLOOKUP($A93, 'Scouting Output'!$A$3:$AM$250, 30, FALSE), -999)</f>
        <v>0</v>
      </c>
      <c r="G93">
        <f>IFERROR(VLOOKUP($A93, 'Scouting Output'!$A$3:$AM$250, 3, FALSE), -999)</f>
        <v>0</v>
      </c>
    </row>
    <row r="94" spans="1:7">
      <c r="A94">
        <v>6878</v>
      </c>
      <c r="B94" t="s">
        <v>435</v>
      </c>
      <c r="C94">
        <f>IFERROR(VLOOKUP($A94,'Scouting Output'!$A$3:$AM$250,37,FALSE), -999)</f>
        <v>-21</v>
      </c>
      <c r="D94">
        <f>IFERROR(VLOOKUP($A94,'Scouting Output'!$A$3:$AM$250,38,FALSE), -999)</f>
        <v>-1.5</v>
      </c>
      <c r="E94">
        <f>IFERROR(VLOOKUP($A94,'Scouting Output'!$A$3:$AM$250,39,FALSE), -999)</f>
        <v>-1</v>
      </c>
      <c r="F94">
        <f>IFERROR(VLOOKUP($A94, 'Scouting Output'!$A$3:$AM$250, 30, FALSE), -999)</f>
        <v>0</v>
      </c>
      <c r="G94">
        <f>IFERROR(VLOOKUP($A94, 'Scouting Output'!$A$3:$AM$250, 3, FALSE), -999)</f>
        <v>0</v>
      </c>
    </row>
    <row r="95" spans="1:7">
      <c r="A95">
        <v>6917</v>
      </c>
      <c r="B95" t="s">
        <v>496</v>
      </c>
      <c r="C95">
        <f>IFERROR(VLOOKUP($A95,'Scouting Output'!$A$3:$AM$250,37,FALSE), -999)</f>
        <v>-21</v>
      </c>
      <c r="D95">
        <f>IFERROR(VLOOKUP($A95,'Scouting Output'!$A$3:$AM$250,38,FALSE), -999)</f>
        <v>-1.5</v>
      </c>
      <c r="E95">
        <f>IFERROR(VLOOKUP($A95,'Scouting Output'!$A$3:$AM$250,39,FALSE), -999)</f>
        <v>-1</v>
      </c>
      <c r="F95">
        <f>IFERROR(VLOOKUP($A95, 'Scouting Output'!$A$3:$AM$250, 30, FALSE), -999)</f>
        <v>0</v>
      </c>
      <c r="G95">
        <f>IFERROR(VLOOKUP($A95, 'Scouting Output'!$A$3:$AM$250, 3, FALSE), -999)</f>
        <v>0</v>
      </c>
    </row>
    <row r="96" spans="1:7">
      <c r="A96">
        <v>6977</v>
      </c>
      <c r="B96" t="s">
        <v>497</v>
      </c>
      <c r="C96">
        <f>IFERROR(VLOOKUP($A96,'Scouting Output'!$A$3:$AM$250,37,FALSE), -999)</f>
        <v>-21</v>
      </c>
      <c r="D96">
        <f>IFERROR(VLOOKUP($A96,'Scouting Output'!$A$3:$AM$250,38,FALSE), -999)</f>
        <v>-1.5</v>
      </c>
      <c r="E96">
        <f>IFERROR(VLOOKUP($A96,'Scouting Output'!$A$3:$AM$250,39,FALSE), -999)</f>
        <v>-1</v>
      </c>
      <c r="F96">
        <f>IFERROR(VLOOKUP($A96, 'Scouting Output'!$A$3:$AM$250, 30, FALSE), -999)</f>
        <v>0</v>
      </c>
      <c r="G96">
        <f>IFERROR(VLOOKUP($A96, 'Scouting Output'!$A$3:$AM$250, 3, FALSE), -999)</f>
        <v>0</v>
      </c>
    </row>
    <row r="97" spans="1:7">
      <c r="A97">
        <v>7013</v>
      </c>
      <c r="B97" t="s">
        <v>498</v>
      </c>
      <c r="C97">
        <f>IFERROR(VLOOKUP($A97,'Scouting Output'!$A$3:$AM$250,37,FALSE), -999)</f>
        <v>-21</v>
      </c>
      <c r="D97">
        <f>IFERROR(VLOOKUP($A97,'Scouting Output'!$A$3:$AM$250,38,FALSE), -999)</f>
        <v>-1.5</v>
      </c>
      <c r="E97">
        <f>IFERROR(VLOOKUP($A97,'Scouting Output'!$A$3:$AM$250,39,FALSE), -999)</f>
        <v>-1</v>
      </c>
      <c r="F97">
        <f>IFERROR(VLOOKUP($A97, 'Scouting Output'!$A$3:$AM$250, 30, FALSE), -999)</f>
        <v>0</v>
      </c>
      <c r="G97">
        <f>IFERROR(VLOOKUP($A97, 'Scouting Output'!$A$3:$AM$250, 3, FALSE), -999)</f>
        <v>0</v>
      </c>
    </row>
    <row r="98" spans="1:7">
      <c r="A98">
        <v>7136</v>
      </c>
      <c r="B98" t="s">
        <v>436</v>
      </c>
      <c r="C98">
        <f>IFERROR(VLOOKUP($A98,'Scouting Output'!$A$3:$AM$250,37,FALSE), -999)</f>
        <v>-21</v>
      </c>
      <c r="D98">
        <f>IFERROR(VLOOKUP($A98,'Scouting Output'!$A$3:$AM$250,38,FALSE), -999)</f>
        <v>-1.5</v>
      </c>
      <c r="E98">
        <f>IFERROR(VLOOKUP($A98,'Scouting Output'!$A$3:$AM$250,39,FALSE), -999)</f>
        <v>-1</v>
      </c>
      <c r="F98">
        <f>IFERROR(VLOOKUP($A98, 'Scouting Output'!$A$3:$AM$250, 30, FALSE), -999)</f>
        <v>0</v>
      </c>
      <c r="G98">
        <f>IFERROR(VLOOKUP($A98, 'Scouting Output'!$A$3:$AM$250, 3, FALSE), -999)</f>
        <v>0</v>
      </c>
    </row>
    <row r="99" spans="1:7">
      <c r="A99">
        <v>7200</v>
      </c>
      <c r="B99" t="s">
        <v>460</v>
      </c>
      <c r="C99">
        <f>IFERROR(VLOOKUP($A99,'Scouting Output'!$A$3:$AM$250,37,FALSE), -999)</f>
        <v>-21</v>
      </c>
      <c r="D99">
        <f>IFERROR(VLOOKUP($A99,'Scouting Output'!$A$3:$AM$250,38,FALSE), -999)</f>
        <v>-1.5</v>
      </c>
      <c r="E99">
        <f>IFERROR(VLOOKUP($A99,'Scouting Output'!$A$3:$AM$250,39,FALSE), -999)</f>
        <v>-1</v>
      </c>
      <c r="F99">
        <f>IFERROR(VLOOKUP($A99, 'Scouting Output'!$A$3:$AM$250, 30, FALSE), -999)</f>
        <v>0</v>
      </c>
      <c r="G99">
        <f>IFERROR(VLOOKUP($A99, 'Scouting Output'!$A$3:$AM$250, 3, FALSE), -999)</f>
        <v>0</v>
      </c>
    </row>
    <row r="100" spans="1:7">
      <c r="A100">
        <v>7456</v>
      </c>
      <c r="B100" t="s">
        <v>437</v>
      </c>
      <c r="C100">
        <f>IFERROR(VLOOKUP($A100,'Scouting Output'!$A$3:$AM$250,37,FALSE), -999)</f>
        <v>-21</v>
      </c>
      <c r="D100">
        <f>IFERROR(VLOOKUP($A100,'Scouting Output'!$A$3:$AM$250,38,FALSE), -999)</f>
        <v>-1.5</v>
      </c>
      <c r="E100">
        <f>IFERROR(VLOOKUP($A100,'Scouting Output'!$A$3:$AM$250,39,FALSE), -999)</f>
        <v>-1</v>
      </c>
      <c r="F100">
        <f>IFERROR(VLOOKUP($A100, 'Scouting Output'!$A$3:$AM$250, 30, FALSE), -999)</f>
        <v>0</v>
      </c>
      <c r="G100">
        <f>IFERROR(VLOOKUP($A100, 'Scouting Output'!$A$3:$AM$250, 3, FALSE), -999)</f>
        <v>0</v>
      </c>
    </row>
    <row r="101" spans="1:7">
      <c r="A101">
        <v>7520</v>
      </c>
      <c r="B101" t="s">
        <v>439</v>
      </c>
      <c r="C101">
        <f>IFERROR(VLOOKUP($A101,'Scouting Output'!$A$3:$AM$250,37,FALSE), -999)</f>
        <v>-21</v>
      </c>
      <c r="D101">
        <f>IFERROR(VLOOKUP($A101,'Scouting Output'!$A$3:$AM$250,38,FALSE), -999)</f>
        <v>-1.5</v>
      </c>
      <c r="E101">
        <f>IFERROR(VLOOKUP($A101,'Scouting Output'!$A$3:$AM$250,39,FALSE), -999)</f>
        <v>-1</v>
      </c>
      <c r="F101">
        <f>IFERROR(VLOOKUP($A101, 'Scouting Output'!$A$3:$AM$250, 30, FALSE), -999)</f>
        <v>0</v>
      </c>
      <c r="G101">
        <f>IFERROR(VLOOKUP($A101, 'Scouting Output'!$A$3:$AM$250, 3, FALSE), -999)</f>
        <v>0</v>
      </c>
    </row>
    <row r="102" spans="1:7">
      <c r="A102">
        <v>7558</v>
      </c>
      <c r="B102" t="s">
        <v>499</v>
      </c>
      <c r="C102">
        <f>IFERROR(VLOOKUP($A102,'Scouting Output'!$A$3:$AM$250,37,FALSE), -999)</f>
        <v>-21</v>
      </c>
      <c r="D102">
        <f>IFERROR(VLOOKUP($A102,'Scouting Output'!$A$3:$AM$250,38,FALSE), -999)</f>
        <v>-1.5</v>
      </c>
      <c r="E102">
        <f>IFERROR(VLOOKUP($A102,'Scouting Output'!$A$3:$AM$250,39,FALSE), -999)</f>
        <v>-1</v>
      </c>
      <c r="F102">
        <f>IFERROR(VLOOKUP($A102, 'Scouting Output'!$A$3:$AM$250, 30, FALSE), -999)</f>
        <v>0</v>
      </c>
      <c r="G102">
        <f>IFERROR(VLOOKUP($A102, 'Scouting Output'!$A$3:$AM$250, 3, FALSE), -999)</f>
        <v>0</v>
      </c>
    </row>
    <row r="103" spans="1:7">
      <c r="A103">
        <v>7603</v>
      </c>
      <c r="B103" t="s">
        <v>500</v>
      </c>
      <c r="C103">
        <f>IFERROR(VLOOKUP($A103,'Scouting Output'!$A$3:$AM$250,37,FALSE), -999)</f>
        <v>-21</v>
      </c>
      <c r="D103">
        <f>IFERROR(VLOOKUP($A103,'Scouting Output'!$A$3:$AM$250,38,FALSE), -999)</f>
        <v>-1.5</v>
      </c>
      <c r="E103">
        <f>IFERROR(VLOOKUP($A103,'Scouting Output'!$A$3:$AM$250,39,FALSE), -999)</f>
        <v>-1</v>
      </c>
      <c r="F103">
        <f>IFERROR(VLOOKUP($A103, 'Scouting Output'!$A$3:$AM$250, 30, FALSE), -999)</f>
        <v>0</v>
      </c>
      <c r="G103">
        <f>IFERROR(VLOOKUP($A103, 'Scouting Output'!$A$3:$AM$250, 3, FALSE), -999)</f>
        <v>0</v>
      </c>
    </row>
    <row r="104" spans="1:7">
      <c r="A104">
        <v>7659</v>
      </c>
      <c r="B104" t="s">
        <v>501</v>
      </c>
      <c r="C104">
        <f>IFERROR(VLOOKUP($A104,'Scouting Output'!$A$3:$AM$250,37,FALSE), -999)</f>
        <v>-21</v>
      </c>
      <c r="D104">
        <f>IFERROR(VLOOKUP($A104,'Scouting Output'!$A$3:$AM$250,38,FALSE), -999)</f>
        <v>-1.5</v>
      </c>
      <c r="E104">
        <f>IFERROR(VLOOKUP($A104,'Scouting Output'!$A$3:$AM$250,39,FALSE), -999)</f>
        <v>-1</v>
      </c>
      <c r="F104">
        <f>IFERROR(VLOOKUP($A104, 'Scouting Output'!$A$3:$AM$250, 30, FALSE), -999)</f>
        <v>0</v>
      </c>
      <c r="G104">
        <f>IFERROR(VLOOKUP($A104, 'Scouting Output'!$A$3:$AM$250, 3, FALSE), -999)</f>
        <v>0</v>
      </c>
    </row>
    <row r="105" spans="1:7">
      <c r="A105">
        <v>7664</v>
      </c>
      <c r="B105" t="s">
        <v>461</v>
      </c>
      <c r="C105">
        <f>IFERROR(VLOOKUP($A105,'Scouting Output'!$A$3:$AM$250,37,FALSE), -999)</f>
        <v>-21</v>
      </c>
      <c r="D105">
        <f>IFERROR(VLOOKUP($A105,'Scouting Output'!$A$3:$AM$250,38,FALSE), -999)</f>
        <v>-1.5</v>
      </c>
      <c r="E105">
        <f>IFERROR(VLOOKUP($A105,'Scouting Output'!$A$3:$AM$250,39,FALSE), -999)</f>
        <v>-1</v>
      </c>
      <c r="F105">
        <f>IFERROR(VLOOKUP($A105, 'Scouting Output'!$A$3:$AM$250, 30, FALSE), -999)</f>
        <v>0</v>
      </c>
      <c r="G105">
        <f>IFERROR(VLOOKUP($A105, 'Scouting Output'!$A$3:$AM$250, 3, FALSE), -999)</f>
        <v>0</v>
      </c>
    </row>
    <row r="106" spans="1:7">
      <c r="A106">
        <v>7721</v>
      </c>
      <c r="B106" t="s">
        <v>502</v>
      </c>
      <c r="C106">
        <f>IFERROR(VLOOKUP($A106,'Scouting Output'!$A$3:$AM$250,37,FALSE), -999)</f>
        <v>-21</v>
      </c>
      <c r="D106">
        <f>IFERROR(VLOOKUP($A106,'Scouting Output'!$A$3:$AM$250,38,FALSE), -999)</f>
        <v>-1.5</v>
      </c>
      <c r="E106">
        <f>IFERROR(VLOOKUP($A106,'Scouting Output'!$A$3:$AM$250,39,FALSE), -999)</f>
        <v>-1</v>
      </c>
      <c r="F106">
        <f>IFERROR(VLOOKUP($A106, 'Scouting Output'!$A$3:$AM$250, 30, FALSE), -999)</f>
        <v>0</v>
      </c>
      <c r="G106">
        <f>IFERROR(VLOOKUP($A106, 'Scouting Output'!$A$3:$AM$250, 3, FALSE), -999)</f>
        <v>0</v>
      </c>
    </row>
    <row r="107" spans="1:7">
      <c r="A107">
        <v>7757</v>
      </c>
      <c r="B107" t="s">
        <v>462</v>
      </c>
      <c r="C107">
        <f>IFERROR(VLOOKUP($A107,'Scouting Output'!$A$3:$AM$250,37,FALSE), -999)</f>
        <v>-21</v>
      </c>
      <c r="D107">
        <f>IFERROR(VLOOKUP($A107,'Scouting Output'!$A$3:$AM$250,38,FALSE), -999)</f>
        <v>-1.5</v>
      </c>
      <c r="E107">
        <f>IFERROR(VLOOKUP($A107,'Scouting Output'!$A$3:$AM$250,39,FALSE), -999)</f>
        <v>-1</v>
      </c>
      <c r="F107">
        <f>IFERROR(VLOOKUP($A107, 'Scouting Output'!$A$3:$AM$250, 30, FALSE), -999)</f>
        <v>0</v>
      </c>
      <c r="G107">
        <f>IFERROR(VLOOKUP($A107, 'Scouting Output'!$A$3:$AM$250, 3, FALSE), -999)</f>
        <v>0</v>
      </c>
    </row>
    <row r="108" spans="1:7">
      <c r="A108">
        <v>7806</v>
      </c>
      <c r="B108" t="s">
        <v>463</v>
      </c>
      <c r="C108">
        <f>IFERROR(VLOOKUP($A108,'Scouting Output'!$A$3:$AM$250,37,FALSE), -999)</f>
        <v>-21</v>
      </c>
      <c r="D108">
        <f>IFERROR(VLOOKUP($A108,'Scouting Output'!$A$3:$AM$250,38,FALSE), -999)</f>
        <v>-1.5</v>
      </c>
      <c r="E108">
        <f>IFERROR(VLOOKUP($A108,'Scouting Output'!$A$3:$AM$250,39,FALSE), -999)</f>
        <v>-1</v>
      </c>
      <c r="F108">
        <f>IFERROR(VLOOKUP($A108, 'Scouting Output'!$A$3:$AM$250, 30, FALSE), -999)</f>
        <v>0</v>
      </c>
      <c r="G108">
        <f>IFERROR(VLOOKUP($A108, 'Scouting Output'!$A$3:$AM$250, 3, FALSE), -999)</f>
        <v>0</v>
      </c>
    </row>
    <row r="109" spans="1:7">
      <c r="A109">
        <v>7902</v>
      </c>
      <c r="B109" t="s">
        <v>464</v>
      </c>
      <c r="C109">
        <f>IFERROR(VLOOKUP($A109,'Scouting Output'!$A$3:$AM$250,37,FALSE), -999)</f>
        <v>-21</v>
      </c>
      <c r="D109">
        <f>IFERROR(VLOOKUP($A109,'Scouting Output'!$A$3:$AM$250,38,FALSE), -999)</f>
        <v>-1.5</v>
      </c>
      <c r="E109">
        <f>IFERROR(VLOOKUP($A109,'Scouting Output'!$A$3:$AM$250,39,FALSE), -999)</f>
        <v>-1</v>
      </c>
      <c r="F109">
        <f>IFERROR(VLOOKUP($A109, 'Scouting Output'!$A$3:$AM$250, 30, FALSE), -999)</f>
        <v>0</v>
      </c>
      <c r="G109">
        <f>IFERROR(VLOOKUP($A109, 'Scouting Output'!$A$3:$AM$250, 3, FALSE), -999)</f>
        <v>0</v>
      </c>
    </row>
    <row r="110" spans="1:7">
      <c r="A110">
        <v>6070</v>
      </c>
      <c r="B110" t="s">
        <v>221</v>
      </c>
      <c r="C110">
        <f>IFERROR(VLOOKUP($A110,'Scouting Output'!$A$3:$AM$250,37,FALSE), -999)</f>
        <v>-0.68181818181818243</v>
      </c>
      <c r="D110">
        <f>IFERROR(VLOOKUP($A110,'Scouting Output'!$A$3:$AM$250,38,FALSE), -999)</f>
        <v>-0.54545454545454619</v>
      </c>
      <c r="E110">
        <f>IFERROR(VLOOKUP($A110,'Scouting Output'!$A$3:$AM$250,39,FALSE), -999)</f>
        <v>-1.1136363636363638</v>
      </c>
      <c r="F110">
        <f>IFERROR(VLOOKUP($A110, 'Scouting Output'!$A$3:$AM$250, 30, FALSE), -999)</f>
        <v>0.72727272727272729</v>
      </c>
      <c r="G110">
        <f>IFERROR(VLOOKUP($A110, 'Scouting Output'!$A$3:$AM$250, 3, FALSE), -999)</f>
        <v>8.7272727272727266</v>
      </c>
    </row>
    <row r="111" spans="1:7">
      <c r="A111">
        <v>3571</v>
      </c>
      <c r="B111" t="s">
        <v>205</v>
      </c>
      <c r="C111">
        <f>IFERROR(VLOOKUP($A111,'Scouting Output'!$A$3:$AM$250,37,FALSE), -999)</f>
        <v>-1.1875</v>
      </c>
      <c r="D111">
        <f>IFERROR(VLOOKUP($A111,'Scouting Output'!$A$3:$AM$250,38,FALSE), -999)</f>
        <v>-1.1875</v>
      </c>
      <c r="E111">
        <f>IFERROR(VLOOKUP($A111,'Scouting Output'!$A$3:$AM$250,39,FALSE), -999)</f>
        <v>-1.12375</v>
      </c>
      <c r="F111">
        <f>IFERROR(VLOOKUP($A111, 'Scouting Output'!$A$3:$AM$250, 30, FALSE), -999)</f>
        <v>0.5</v>
      </c>
      <c r="G111">
        <f>IFERROR(VLOOKUP($A111, 'Scouting Output'!$A$3:$AM$250, 3, FALSE), -999)</f>
        <v>5.25</v>
      </c>
    </row>
    <row r="112" spans="1:7">
      <c r="A112">
        <v>2852</v>
      </c>
      <c r="B112" t="s">
        <v>203</v>
      </c>
      <c r="C112">
        <f>IFERROR(VLOOKUP($A112,'Scouting Output'!$A$3:$AM$250,37,FALSE), -999)</f>
        <v>0.95142857142857151</v>
      </c>
      <c r="D112">
        <f>IFERROR(VLOOKUP($A112,'Scouting Output'!$A$3:$AM$250,38,FALSE), -999)</f>
        <v>-7.1428571428571175E-2</v>
      </c>
      <c r="E112">
        <f>IFERROR(VLOOKUP($A112,'Scouting Output'!$A$3:$AM$250,39,FALSE), -999)</f>
        <v>-1.1771428571428573</v>
      </c>
      <c r="F112">
        <f>IFERROR(VLOOKUP($A112, 'Scouting Output'!$A$3:$AM$250, 30, FALSE), -999)</f>
        <v>0.7142857142857143</v>
      </c>
      <c r="G112">
        <f>IFERROR(VLOOKUP($A112, 'Scouting Output'!$A$3:$AM$250, 3, FALSE), -999)</f>
        <v>9.2857142857142847</v>
      </c>
    </row>
    <row r="113" spans="1:7">
      <c r="A113">
        <v>2013</v>
      </c>
      <c r="B113" t="s">
        <v>447</v>
      </c>
      <c r="C113">
        <f>IFERROR(VLOOKUP($A113,'Scouting Output'!$A$3:$AM$250,37,FALSE), -999)</f>
        <v>-22.897500000000001</v>
      </c>
      <c r="D113">
        <f>IFERROR(VLOOKUP($A113,'Scouting Output'!$A$3:$AM$250,38,FALSE), -999)</f>
        <v>-3.0625</v>
      </c>
      <c r="E113">
        <f>IFERROR(VLOOKUP($A113,'Scouting Output'!$A$3:$AM$250,39,FALSE), -999)</f>
        <v>-1.8562500000000002</v>
      </c>
      <c r="F113">
        <f>IFERROR(VLOOKUP($A113, 'Scouting Output'!$A$3:$AM$250, 30, FALSE), -999)</f>
        <v>0.75</v>
      </c>
      <c r="G113">
        <f>IFERROR(VLOOKUP($A113, 'Scouting Output'!$A$3:$AM$250, 3, FALSE), -999)</f>
        <v>0.75</v>
      </c>
    </row>
    <row r="114" spans="1:7">
      <c r="A114">
        <v>6975</v>
      </c>
      <c r="B114" t="s">
        <v>229</v>
      </c>
      <c r="C114">
        <f>IFERROR(VLOOKUP($A114,'Scouting Output'!$A$3:$AM$250,37,FALSE), -999)</f>
        <v>-22</v>
      </c>
      <c r="D114">
        <f>IFERROR(VLOOKUP($A114,'Scouting Output'!$A$3:$AM$250,38,FALSE), -999)</f>
        <v>-2.4444444444444446</v>
      </c>
      <c r="E114">
        <f>IFERROR(VLOOKUP($A114,'Scouting Output'!$A$3:$AM$250,39,FALSE), -999)</f>
        <v>-1.8844444444444444</v>
      </c>
      <c r="F114">
        <f>IFERROR(VLOOKUP($A114, 'Scouting Output'!$A$3:$AM$250, 30, FALSE), -999)</f>
        <v>0.44444444444444442</v>
      </c>
      <c r="G114">
        <f>IFERROR(VLOOKUP($A114, 'Scouting Output'!$A$3:$AM$250, 3, FALSE), -999)</f>
        <v>2.8888888888888893</v>
      </c>
    </row>
    <row r="115" spans="1:7">
      <c r="A115">
        <v>7712</v>
      </c>
      <c r="B115" t="s">
        <v>236</v>
      </c>
      <c r="C115">
        <f>IFERROR(VLOOKUP($A115,'Scouting Output'!$A$3:$AM$250,37,FALSE), -999)</f>
        <v>-22.585000000000001</v>
      </c>
      <c r="D115">
        <f>IFERROR(VLOOKUP($A115,'Scouting Output'!$A$3:$AM$250,38,FALSE), -999)</f>
        <v>-3.25</v>
      </c>
      <c r="E115">
        <f>IFERROR(VLOOKUP($A115,'Scouting Output'!$A$3:$AM$250,39,FALSE), -999)</f>
        <v>-1.9975000000000001</v>
      </c>
      <c r="F115">
        <f>IFERROR(VLOOKUP($A115, 'Scouting Output'!$A$3:$AM$250, 30, FALSE), -999)</f>
        <v>0.625</v>
      </c>
      <c r="G115">
        <f>IFERROR(VLOOKUP($A115, 'Scouting Output'!$A$3:$AM$250, 3, FALSE), -999)</f>
        <v>4.75</v>
      </c>
    </row>
  </sheetData>
  <sortState xmlns:xlrd2="http://schemas.microsoft.com/office/spreadsheetml/2017/richdata2" ref="A2:G115">
    <sortCondition descending="1" ref="E2"/>
  </sortState>
  <mergeCells count="2">
    <mergeCell ref="A1:G1"/>
    <mergeCell ref="I1:O1"/>
  </mergeCells>
  <conditionalFormatting sqref="C2:E1048576">
    <cfRule type="cellIs" dxfId="19" priority="2" operator="lessThanOrEqual">
      <formula>-20</formula>
    </cfRule>
    <cfRule type="cellIs" dxfId="18" priority="8" operator="lessThan">
      <formula>0</formula>
    </cfRule>
  </conditionalFormatting>
  <conditionalFormatting sqref="K2:M42">
    <cfRule type="cellIs" dxfId="17" priority="1" operator="lessThanOrEqual">
      <formula>-20</formula>
    </cfRule>
    <cfRule type="cellIs" dxfId="16" priority="5" operator="lessThan">
      <formula>0</formula>
    </cfRule>
  </conditionalFormatting>
  <conditionalFormatting sqref="I2:J42">
    <cfRule type="expression" dxfId="15" priority="9" stopIfTrue="1">
      <formula>IF($I2=$R$3,TRUE,FALSE)</formula>
    </cfRule>
  </conditionalFormatting>
  <conditionalFormatting sqref="A1 A2:B42">
    <cfRule type="expression" dxfId="14" priority="10">
      <formula>IF($A1=$R$3,TRUE,FALSE)</formula>
    </cfRule>
  </conditionalFormatting>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Sheet5.ArgSortPickList(&quot;0&quot;)'">
                <anchor moveWithCells="1">
                  <from>
                    <xdr:col>7</xdr:col>
                    <xdr:colOff>38100</xdr:colOff>
                    <xdr:row>6</xdr:row>
                    <xdr:rowOff>123825</xdr:rowOff>
                  </from>
                  <to>
                    <xdr:col>7</xdr:col>
                    <xdr:colOff>304800</xdr:colOff>
                    <xdr:row>7</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Sheet5.ArgSortPickList(&quot;1&quot;)'">
                <anchor moveWithCells="1">
                  <from>
                    <xdr:col>7</xdr:col>
                    <xdr:colOff>38100</xdr:colOff>
                    <xdr:row>8</xdr:row>
                    <xdr:rowOff>123825</xdr:rowOff>
                  </from>
                  <to>
                    <xdr:col>7</xdr:col>
                    <xdr:colOff>304800</xdr:colOff>
                    <xdr:row>9</xdr:row>
                    <xdr:rowOff>171450</xdr:rowOff>
                  </to>
                </anchor>
              </controlPr>
            </control>
          </mc:Choice>
        </mc:AlternateContent>
        <mc:AlternateContent xmlns:mc="http://schemas.openxmlformats.org/markup-compatibility/2006">
          <mc:Choice Requires="x14">
            <control shapeId="1027" r:id="rId6" name="Button 3">
              <controlPr defaultSize="0" print="0" autoFill="0" autoPict="0" macro="'Sheet5.ArgSortPickList(&quot;2&quot;)'">
                <anchor moveWithCells="1">
                  <from>
                    <xdr:col>7</xdr:col>
                    <xdr:colOff>38100</xdr:colOff>
                    <xdr:row>10</xdr:row>
                    <xdr:rowOff>123825</xdr:rowOff>
                  </from>
                  <to>
                    <xdr:col>7</xdr:col>
                    <xdr:colOff>304800</xdr:colOff>
                    <xdr:row>11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E3D4D320-19BD-F14E-B60F-43F6C88FA232}">
            <xm:f>IF(MAX(IF('Raw Data'!$A$3:$A$927=$I3, 'Raw Data'!$AC$3:$AC$927)) &gt; 2, TRUE, FALSE)</xm:f>
            <x14:dxf>
              <font>
                <color rgb="FF006100"/>
              </font>
              <fill>
                <patternFill>
                  <bgColor rgb="FFC6EFCE"/>
                </patternFill>
              </fill>
            </x14:dxf>
          </x14:cfRule>
          <x14:cfRule type="expression" priority="4" id="{80992169-92E5-6B48-A4B2-AE9B30ABF062}">
            <xm:f>IF(MAX(IF('Raw Data'!$A$3:$A$927=$I3, 'Raw Data'!$AC$3:$AC$927)) &gt; 1, TRUE, FALSE)</xm:f>
            <x14:dxf>
              <font>
                <color rgb="FF9C5700"/>
              </font>
              <fill>
                <patternFill>
                  <bgColor rgb="FFFFEB9C"/>
                </patternFill>
              </fill>
            </x14:dxf>
          </x14:cfRule>
          <xm:sqref>N3:N42</xm:sqref>
        </x14:conditionalFormatting>
        <x14:conditionalFormatting xmlns:xm="http://schemas.microsoft.com/office/excel/2006/main">
          <x14:cfRule type="expression" priority="6" id="{E75C9306-86B2-4E46-8F41-06F62DBC1614}">
            <xm:f>IF(MAX(IF('Raw Data'!$A$3:$A$927=$A3, 'Raw Data'!$AC$3:$AC$927)) &gt; 2, TRUE, FALSE)</xm:f>
            <x14:dxf>
              <font>
                <color rgb="FF006100"/>
              </font>
              <fill>
                <patternFill>
                  <bgColor rgb="FFC6EFCE"/>
                </patternFill>
              </fill>
            </x14:dxf>
          </x14:cfRule>
          <x14:cfRule type="expression" priority="7" id="{034E09D8-DFC3-BC45-892A-15C6A94E723B}">
            <xm:f>IF(MAX(IF('Raw Data'!$A$3:$A$927=$A3, 'Raw Data'!$AC$3:$AC$927)) &gt; 1, TRUE, FALSE)</xm:f>
            <x14:dxf>
              <font>
                <color rgb="FF9C5700"/>
              </font>
              <fill>
                <patternFill>
                  <bgColor rgb="FFFFEB9C"/>
                </patternFill>
              </fill>
            </x14:dxf>
          </x14:cfRule>
          <xm:sqref>F3:F42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83"/>
  <sheetViews>
    <sheetView zoomScale="81" zoomScaleNormal="70" workbookViewId="0">
      <selection activeCell="O36" sqref="L36:O38"/>
    </sheetView>
  </sheetViews>
  <sheetFormatPr defaultColWidth="11" defaultRowHeight="15"/>
  <cols>
    <col min="3" max="4" width="16.42578125" customWidth="1"/>
    <col min="5" max="5" width="12.42578125" customWidth="1"/>
    <col min="8" max="8" width="24" customWidth="1"/>
    <col min="13" max="13" width="11.7109375" customWidth="1"/>
    <col min="27" max="27" width="21.7109375" customWidth="1"/>
    <col min="28" max="28" width="12.140625" customWidth="1"/>
    <col min="29" max="29" width="19.28515625" customWidth="1"/>
    <col min="30" max="30" width="25.85546875" customWidth="1"/>
    <col min="31" max="31" width="12.42578125" customWidth="1"/>
    <col min="32" max="32" width="12.85546875" customWidth="1"/>
    <col min="33" max="33" width="12.7109375" customWidth="1"/>
    <col min="34" max="34" width="17" customWidth="1"/>
    <col min="35" max="38" width="10.85546875" customWidth="1"/>
  </cols>
  <sheetData>
    <row r="1" spans="1:37">
      <c r="A1" s="176" t="s">
        <v>191</v>
      </c>
      <c r="B1" s="176"/>
      <c r="C1" s="113">
        <v>2708</v>
      </c>
      <c r="E1" t="s">
        <v>179</v>
      </c>
    </row>
    <row r="2" spans="1:37">
      <c r="C2" s="195" t="s">
        <v>9</v>
      </c>
      <c r="D2" s="195"/>
      <c r="E2" s="195"/>
      <c r="F2" s="195"/>
      <c r="G2" s="195"/>
      <c r="H2" s="195"/>
      <c r="I2" s="195"/>
      <c r="J2" s="195"/>
      <c r="K2" s="195"/>
      <c r="L2" s="195" t="s">
        <v>1</v>
      </c>
      <c r="M2" s="195"/>
      <c r="N2" s="195"/>
      <c r="O2" s="195"/>
      <c r="P2" s="195"/>
      <c r="Q2" s="195"/>
      <c r="R2" s="195"/>
      <c r="S2" s="195"/>
      <c r="T2" s="195"/>
      <c r="U2" s="195"/>
      <c r="V2" s="195"/>
      <c r="W2" s="195"/>
      <c r="X2" s="195"/>
      <c r="Y2" s="195"/>
      <c r="Z2" s="195"/>
      <c r="AA2" s="195"/>
      <c r="AB2" s="195"/>
      <c r="AC2" s="195"/>
      <c r="AD2" s="195"/>
      <c r="AE2" s="195"/>
      <c r="AF2" s="195"/>
      <c r="AG2" s="195"/>
      <c r="AH2" s="30"/>
    </row>
    <row r="3" spans="1:37" ht="15.75" thickBot="1">
      <c r="B3" s="121" t="s">
        <v>292</v>
      </c>
      <c r="C3" s="121" t="s">
        <v>242</v>
      </c>
      <c r="D3" s="105" t="s">
        <v>114</v>
      </c>
      <c r="E3" s="2" t="s">
        <v>135</v>
      </c>
      <c r="F3" s="3" t="s">
        <v>136</v>
      </c>
      <c r="G3" s="2" t="s">
        <v>131</v>
      </c>
      <c r="H3" s="2" t="s">
        <v>130</v>
      </c>
      <c r="I3" s="2" t="s">
        <v>11</v>
      </c>
      <c r="J3" s="2" t="s">
        <v>12</v>
      </c>
      <c r="K3" s="2" t="s">
        <v>137</v>
      </c>
      <c r="L3" s="2" t="s">
        <v>13</v>
      </c>
      <c r="M3" s="2" t="s">
        <v>14</v>
      </c>
      <c r="N3" s="2" t="s">
        <v>15</v>
      </c>
      <c r="O3" s="78" t="s">
        <v>16</v>
      </c>
      <c r="P3" s="2" t="s">
        <v>135</v>
      </c>
      <c r="Q3" s="2" t="s">
        <v>136</v>
      </c>
      <c r="R3" s="2" t="s">
        <v>131</v>
      </c>
      <c r="S3" s="2" t="s">
        <v>130</v>
      </c>
      <c r="T3" s="2" t="s">
        <v>11</v>
      </c>
      <c r="U3" s="2" t="s">
        <v>12</v>
      </c>
      <c r="V3" s="2" t="s">
        <v>137</v>
      </c>
      <c r="W3" s="2" t="s">
        <v>13</v>
      </c>
      <c r="X3" s="2" t="s">
        <v>14</v>
      </c>
      <c r="Y3" s="2" t="s">
        <v>15</v>
      </c>
      <c r="Z3" s="2" t="s">
        <v>16</v>
      </c>
      <c r="AA3" s="2" t="s">
        <v>17</v>
      </c>
      <c r="AB3" s="2" t="s">
        <v>129</v>
      </c>
      <c r="AC3" s="2" t="s">
        <v>23</v>
      </c>
      <c r="AD3" s="2" t="s">
        <v>6</v>
      </c>
      <c r="AG3" s="2" t="s">
        <v>5</v>
      </c>
      <c r="AH3" s="2" t="s">
        <v>119</v>
      </c>
      <c r="AI3" s="2" t="s">
        <v>7</v>
      </c>
      <c r="AJ3" s="78" t="s">
        <v>143</v>
      </c>
      <c r="AK3" s="3" t="s">
        <v>8</v>
      </c>
    </row>
    <row r="4" spans="1:37" ht="15.75" thickTop="1">
      <c r="A4">
        <f>VLOOKUP($C$1,'Raw Data'!$A$3:$AB$1008,1,FALSE)</f>
        <v>2708</v>
      </c>
      <c r="B4">
        <f>VLOOKUP($C$1, 'Scouting Output'!$A$3:$AJ$997, COLUMN() + 1, FALSE)</f>
        <v>4.625</v>
      </c>
      <c r="C4">
        <f>VLOOKUP($C$1, 'Scouting Output'!$A$3:$AJ$997, COLUMN() + 1, FALSE)</f>
        <v>1.875</v>
      </c>
      <c r="D4">
        <f>VLOOKUP($C$1, 'Scouting Output'!$A$3:$AJ$997, COLUMN() + 1, FALSE)</f>
        <v>1.25</v>
      </c>
      <c r="E4">
        <f>VLOOKUP($C$1, 'Scouting Output'!$A$3:$AJ$997, COLUMN() + 1, FALSE)</f>
        <v>0</v>
      </c>
      <c r="F4">
        <f>VLOOKUP($C$1, 'Scouting Output'!$A$3:$AJ$997, COLUMN() + 1, FALSE)</f>
        <v>0</v>
      </c>
      <c r="G4">
        <f>VLOOKUP($C$1, 'Scouting Output'!$A$3:$AJ$997, COLUMN() + 1, FALSE)</f>
        <v>0</v>
      </c>
      <c r="H4">
        <f>VLOOKUP($C$1, 'Scouting Output'!$A$3:$AJ$997, COLUMN() + 1, FALSE)</f>
        <v>0</v>
      </c>
      <c r="I4">
        <f>VLOOKUP($C$1, 'Scouting Output'!$A$3:$AJ$997, COLUMN() + 1, FALSE)</f>
        <v>0</v>
      </c>
      <c r="J4">
        <f>VLOOKUP($C$1, 'Scouting Output'!$A$3:$AJ$997, COLUMN() + 1, FALSE)</f>
        <v>0</v>
      </c>
      <c r="K4">
        <f>VLOOKUP($C$1, 'Scouting Output'!$A$3:$AJ$997, COLUMN() + 1, FALSE)</f>
        <v>0</v>
      </c>
      <c r="L4">
        <f>VLOOKUP($C$1, 'Scouting Output'!$A$3:$AJ$997, COLUMN() + 1, FALSE)</f>
        <v>0</v>
      </c>
      <c r="M4">
        <f>VLOOKUP($C$1, 'Scouting Output'!$A$3:$AJ$997, COLUMN() + 1, FALSE)</f>
        <v>0</v>
      </c>
      <c r="N4">
        <f>VLOOKUP($C$1, 'Scouting Output'!$A$3:$AJ$997, COLUMN() + 1, FALSE)</f>
        <v>0</v>
      </c>
      <c r="O4">
        <f>VLOOKUP($C$1, 'Scouting Output'!$A$3:$AJ$997, COLUMN() + 1, FALSE)</f>
        <v>0</v>
      </c>
      <c r="P4">
        <f>VLOOKUP($C$1, 'Scouting Output'!$A$3:$AJ$997, COLUMN() + 1, FALSE)</f>
        <v>2</v>
      </c>
      <c r="Q4">
        <f>VLOOKUP($C$1, 'Scouting Output'!$A$3:$AJ$997, COLUMN() + 1, FALSE)</f>
        <v>1</v>
      </c>
      <c r="R4">
        <f>VLOOKUP($C$1, 'Scouting Output'!$A$3:$AJ$997, COLUMN() + 1, FALSE)</f>
        <v>0</v>
      </c>
      <c r="S4">
        <f>VLOOKUP($C$1, 'Scouting Output'!$A$3:$AJ$997, COLUMN() + 1, FALSE)</f>
        <v>0</v>
      </c>
      <c r="T4">
        <f>VLOOKUP($C$1, 'Scouting Output'!$A$3:$AJ$997, COLUMN() + 1, FALSE)</f>
        <v>0</v>
      </c>
      <c r="U4">
        <f>VLOOKUP($C$1, 'Scouting Output'!$A$3:$AJ$997, COLUMN() + 1, FALSE)</f>
        <v>0.125</v>
      </c>
      <c r="V4">
        <f>VLOOKUP($C$1, 'Scouting Output'!$A$3:$AJ$997, COLUMN() + 1, FALSE)</f>
        <v>2</v>
      </c>
      <c r="W4">
        <f>VLOOKUP($C$1, 'Scouting Output'!$A$3:$AJ$997, COLUMN() + 1, FALSE)</f>
        <v>0.5</v>
      </c>
      <c r="X4">
        <f>VLOOKUP($C$1, 'Scouting Output'!$A$3:$AJ$997, COLUMN() + 1, FALSE)</f>
        <v>0.125</v>
      </c>
      <c r="Y4">
        <f>VLOOKUP($C$1, 'Scouting Output'!$A$3:$AJ$997, COLUMN() + 1, FALSE)</f>
        <v>0</v>
      </c>
      <c r="Z4">
        <f>VLOOKUP($C$1, 'Scouting Output'!$A$3:$AJ$997, COLUMN() + 1, FALSE)</f>
        <v>0</v>
      </c>
      <c r="AA4">
        <f>VLOOKUP($C$1, 'Scouting Output'!$A$3:$AJ$997, COLUMN() + 1, FALSE)</f>
        <v>15</v>
      </c>
      <c r="AB4">
        <f>VLOOKUP($C$1, 'Scouting Output'!$A$3:$AJ$997, COLUMN() + 1, FALSE)</f>
        <v>0</v>
      </c>
      <c r="AC4">
        <f>VLOOKUP($C$1, 'Scouting Output'!$A$3:$AJ$997, COLUMN() + 1, FALSE)</f>
        <v>0.75</v>
      </c>
      <c r="AD4">
        <f>VLOOKUP($C$1, 'Scouting Output'!$A$3:$AJ$997, COLUMN() + 1, FALSE)</f>
        <v>0</v>
      </c>
      <c r="AE4">
        <f>VLOOKUP($C$1, 'Scouting Output'!$A$3:$AJ$997, COLUMN() - 2, FALSE)</f>
        <v>0</v>
      </c>
      <c r="AF4">
        <f>VLOOKUP($C$1, 'Scouting Output'!$A$3:$AJ$997, COLUMN() - 1, FALSE)</f>
        <v>0</v>
      </c>
      <c r="AG4">
        <f>VLOOKUP($C$1, 'Scouting Output'!$A$3:$AJ$997, COLUMN() - 1, FALSE)</f>
        <v>0.125</v>
      </c>
      <c r="AH4">
        <f>VLOOKUP($C$1, 'Scouting Output'!$A$3:$AJ$997, COLUMN() - 1, FALSE)</f>
        <v>0</v>
      </c>
      <c r="AI4">
        <f>VLOOKUP($C$1, 'Scouting Output'!$A$3:$AJ$997, COLUMN() - 1, FALSE)</f>
        <v>3.5</v>
      </c>
    </row>
    <row r="6" spans="1:37">
      <c r="C6" s="195" t="s">
        <v>9</v>
      </c>
      <c r="D6" s="195"/>
      <c r="E6" s="195"/>
      <c r="F6" s="195"/>
      <c r="G6" s="195"/>
      <c r="H6" s="195"/>
      <c r="I6" s="195"/>
      <c r="J6" s="195"/>
      <c r="K6" s="195"/>
      <c r="L6" s="195" t="s">
        <v>116</v>
      </c>
      <c r="M6" s="195"/>
      <c r="N6" s="195"/>
      <c r="O6" s="195"/>
      <c r="P6" s="195"/>
      <c r="Q6" s="195"/>
      <c r="R6" s="195"/>
      <c r="S6" s="195"/>
      <c r="T6" s="195"/>
      <c r="U6" s="195"/>
      <c r="V6" s="195"/>
      <c r="W6" s="195"/>
      <c r="X6" s="195"/>
      <c r="Y6" s="195"/>
      <c r="Z6" s="195"/>
      <c r="AA6" s="195"/>
      <c r="AB6" s="195"/>
      <c r="AC6" s="195"/>
      <c r="AD6" s="195"/>
    </row>
    <row r="7" spans="1:37" ht="15.75" thickBot="1">
      <c r="B7" s="106" t="s">
        <v>114</v>
      </c>
      <c r="C7" s="34" t="s">
        <v>131</v>
      </c>
      <c r="D7" s="34" t="s">
        <v>130</v>
      </c>
      <c r="E7" s="34" t="s">
        <v>11</v>
      </c>
      <c r="F7" s="34" t="s">
        <v>12</v>
      </c>
      <c r="G7" s="34" t="s">
        <v>13</v>
      </c>
      <c r="H7" s="34" t="s">
        <v>14</v>
      </c>
      <c r="I7" s="34" t="s">
        <v>15</v>
      </c>
      <c r="J7" s="32" t="s">
        <v>16</v>
      </c>
      <c r="K7" s="33" t="s">
        <v>131</v>
      </c>
      <c r="L7" s="34" t="s">
        <v>130</v>
      </c>
      <c r="M7" s="34" t="s">
        <v>11</v>
      </c>
      <c r="N7" s="34" t="s">
        <v>12</v>
      </c>
      <c r="O7" s="34" t="s">
        <v>13</v>
      </c>
      <c r="P7" s="34" t="s">
        <v>14</v>
      </c>
      <c r="Q7" s="34" t="s">
        <v>15</v>
      </c>
      <c r="R7" s="34" t="s">
        <v>16</v>
      </c>
      <c r="S7" s="34" t="s">
        <v>17</v>
      </c>
      <c r="T7" s="34" t="s">
        <v>129</v>
      </c>
      <c r="U7" s="32" t="s">
        <v>23</v>
      </c>
      <c r="V7" s="33" t="s">
        <v>5</v>
      </c>
      <c r="W7" s="34" t="s">
        <v>6</v>
      </c>
      <c r="X7" s="34" t="s">
        <v>119</v>
      </c>
      <c r="Y7" s="32" t="s">
        <v>7</v>
      </c>
      <c r="Z7" s="1" t="s">
        <v>143</v>
      </c>
      <c r="AA7" s="1" t="s">
        <v>144</v>
      </c>
      <c r="AB7" s="1" t="s">
        <v>132</v>
      </c>
    </row>
    <row r="8" spans="1:37" ht="15.75" thickTop="1">
      <c r="A8">
        <f>VLOOKUP($C$1,'Raw Data'!$A$3:$AB$1008,1,FALSE)</f>
        <v>2708</v>
      </c>
      <c r="B8">
        <f>VLOOKUP($C1, 'Raw Data'!$A$3:$AJ$1008,COLUMN() + 2,FALSE)</f>
        <v>0</v>
      </c>
      <c r="C8">
        <f>VLOOKUP($C1, 'Raw Data'!$A$3:$AJ$1008,COLUMN() + 2,FALSE)</f>
        <v>0</v>
      </c>
      <c r="D8">
        <f>VLOOKUP($C1, 'Raw Data'!$A$3:$AJ$1008,COLUMN() + 2,FALSE)</f>
        <v>0</v>
      </c>
      <c r="E8">
        <f>VLOOKUP($C1, 'Raw Data'!$A$3:$AJ$1008,COLUMN() + 2,FALSE)</f>
        <v>0</v>
      </c>
      <c r="F8">
        <f>VLOOKUP($C1, 'Raw Data'!$A$3:$AJ$1008,COLUMN() + 2,FALSE)</f>
        <v>0</v>
      </c>
      <c r="G8">
        <f>VLOOKUP($C1, 'Raw Data'!$A$3:$AJ$1008,COLUMN() + 3,FALSE)</f>
        <v>0</v>
      </c>
      <c r="H8">
        <f>VLOOKUP($C1, 'Raw Data'!$A$3:$AJ$1008,COLUMN() + 3,FALSE)</f>
        <v>0</v>
      </c>
      <c r="I8">
        <f>VLOOKUP($C1, 'Raw Data'!$A$3:$AJ$1008,COLUMN() + 3,FALSE)</f>
        <v>0</v>
      </c>
      <c r="J8">
        <f>VLOOKUP($C1, 'Raw Data'!$A$3:$AJ$1008,COLUMN() + 3,FALSE)</f>
        <v>0</v>
      </c>
      <c r="K8">
        <f>VLOOKUP($C1, 'Raw Data'!$A$3:$AJ$1008,COLUMN() + 5,FALSE)</f>
        <v>0</v>
      </c>
      <c r="L8">
        <f>VLOOKUP($C1, 'Raw Data'!$A$3:$AJ$1008,COLUMN() + 5,FALSE)</f>
        <v>0</v>
      </c>
      <c r="M8">
        <f>VLOOKUP($C1, 'Raw Data'!$A$3:$AJ$1008,COLUMN() + 5,FALSE)</f>
        <v>0</v>
      </c>
      <c r="N8">
        <f>VLOOKUP($C1, 'Raw Data'!$A$3:$AJ$1008,COLUMN() + 5,FALSE)</f>
        <v>0</v>
      </c>
      <c r="O8">
        <f>VLOOKUP($C1, 'Raw Data'!$A$3:$AJ$1008,COLUMN() + 6,FALSE)</f>
        <v>0</v>
      </c>
      <c r="P8">
        <f>VLOOKUP($C1, 'Raw Data'!$A$3:$AJ$1008,COLUMN() + 6,FALSE)</f>
        <v>0</v>
      </c>
      <c r="Q8">
        <f>VLOOKUP($C1, 'Raw Data'!$A$3:$AJ$1008,COLUMN() + 6,FALSE)</f>
        <v>0</v>
      </c>
      <c r="R8">
        <f>VLOOKUP($C1, 'Raw Data'!$A$3:$AJ$1008,COLUMN() + 6,FALSE)</f>
        <v>0</v>
      </c>
      <c r="S8">
        <f>VLOOKUP($C1, 'Raw Data'!$A$3:$AJ$1008, COLUMN() + 8,FALSE)</f>
        <v>0</v>
      </c>
      <c r="T8">
        <f>VLOOKUP($C1, 'Raw Data'!$A$3:$AJ$1008, COLUMN() + 8,FALSE)</f>
        <v>0</v>
      </c>
      <c r="U8">
        <f>VLOOKUP($C1, 'Raw Data'!$A$3:$AJ$1008, COLUMN() + 8,FALSE)</f>
        <v>0</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25</v>
      </c>
      <c r="AC8" t="str">
        <f>CONCATENATE("'Raw Data'!$A", SUM($AB8, 1), ":$AK$1081")</f>
        <v>'Raw Data'!$A26:$AK$1081</v>
      </c>
      <c r="AD8" t="str">
        <f>CONCATENATE("'Raw Data'!$A", SUM($AB8, 1), ":$A$1081")</f>
        <v>'Raw Data'!$A26:$A$1081</v>
      </c>
    </row>
    <row r="9" spans="1:37">
      <c r="A9">
        <f>VLOOKUP($C$1,'Raw Data'!$A$3:$AB$1008,1,FALSE)</f>
        <v>2708</v>
      </c>
      <c r="B9">
        <f ca="1">IFERROR(VLOOKUP($C$1, INDIRECT($AC8), COLUMN() + 2, FALSE), "")</f>
        <v>0</v>
      </c>
      <c r="C9">
        <f t="shared" ref="C9:C43" ca="1" si="0">IFERROR(VLOOKUP($C$1, INDIRECT($AC8), COLUMN() + 2, FALSE), "")</f>
        <v>0</v>
      </c>
      <c r="D9">
        <f t="shared" ref="D9:D43" ca="1" si="1">IFERROR(VLOOKUP($C$1, INDIRECT($AC8), COLUMN() + 2, FALSE), "")</f>
        <v>0</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0</v>
      </c>
      <c r="M9">
        <f t="shared" ref="M9:M43" ca="1" si="10">IFERROR(VLOOKUP($C$1, INDIRECT($AC8),COLUMN() + 5, FALSE), "")</f>
        <v>0</v>
      </c>
      <c r="N9">
        <f t="shared" ref="N9:N43" ca="1" si="11">IFERROR(VLOOKUP($C$1, INDIRECT($AC8),COLUMN() + 5, FALSE), "")</f>
        <v>0</v>
      </c>
      <c r="O9">
        <f t="shared" ref="O9:O43" ca="1" si="12">IFERROR(VLOOKUP($C$1, INDIRECT($AC8), COLUMN() + 6, FALSE), "")</f>
        <v>0</v>
      </c>
      <c r="P9">
        <f t="shared" ref="P9:P43" ca="1" si="13">IFERROR(VLOOKUP($C$1, INDIRECT($AC8), COLUMN() + 6, FALSE), "")</f>
        <v>0</v>
      </c>
      <c r="Q9">
        <f t="shared" ref="Q9:Q43" ca="1" si="14">IFERROR(VLOOKUP($C$1, INDIRECT($AC8), COLUMN() + 6, FALSE), "")</f>
        <v>0</v>
      </c>
      <c r="R9">
        <f t="shared" ref="R9:R43" ca="1" si="15">IFERROR(VLOOKUP($C$1, INDIRECT($AC8), COLUMN() + 6, FALSE), "")</f>
        <v>0</v>
      </c>
      <c r="S9">
        <f t="shared" ref="S9:S43" ca="1" si="16">IFERROR(VLOOKUP($C$1, INDIRECT($AC8), COLUMN() + 8, FALSE), "")</f>
        <v>75</v>
      </c>
      <c r="T9">
        <f t="shared" ref="T9:T43" ca="1" si="17">IFERROR(VLOOKUP($C$1, INDIRECT($AC8), COLUMN() + 8, FALSE), "")</f>
        <v>0</v>
      </c>
      <c r="U9">
        <f t="shared" ref="U9:U43" ca="1" si="18">IFERROR(VLOOKUP($C$1, INDIRECT($AC8), COLUMN() + 8, FALSE), "")</f>
        <v>0</v>
      </c>
      <c r="V9">
        <f t="shared" ref="V9:V43" ca="1" si="19">IFERROR(VLOOKUP($C$1, INDIRECT($AC8), COLUMN() + 8, FALSE), "")</f>
        <v>0</v>
      </c>
      <c r="W9">
        <f t="shared" ref="W9:W43" ca="1" si="20">IFERROR(VLOOKUP($C$1, INDIRECT($AC8), COLUMN() + 8, FALSE), "")</f>
        <v>1</v>
      </c>
      <c r="X9">
        <f t="shared" ref="X9:X43" ca="1" si="21">IFERROR(VLOOKUP($C$1, INDIRECT($AC8), COLUMN() + 8, FALSE), "")</f>
        <v>0</v>
      </c>
      <c r="Y9">
        <f t="shared" ref="Y9:Y43" ca="1" si="22">IFERROR(VLOOKUP($C$1, INDIRECT($AC8), COLUMN() + 8, FALSE), "")</f>
        <v>3</v>
      </c>
      <c r="Z9">
        <f t="shared" ref="Z9:Z24" ca="1" si="23">IFERROR(VLOOKUP($C$1, INDIRECT($AC8), COLUMN() + 8, FALSE), "")</f>
        <v>0</v>
      </c>
      <c r="AA9" t="str">
        <f ca="1">IFERROR(IF(VLOOKUP($C$1, INDIRECT($AC8), COLUMN() + 8, FALSE) = 0, "", VLOOKUP($C$1, INDIRECT($AC8), COLUMN() + 8, FALSE)), "")</f>
        <v/>
      </c>
      <c r="AB9">
        <f t="shared" ref="AB9:AB43" ca="1" si="24">SUM(MATCH($C$1,INDIRECT($AD8), 0), $AB8)</f>
        <v>95</v>
      </c>
      <c r="AC9" t="str">
        <f t="shared" ref="AC9:AC43" ca="1" si="25">CONCATENATE("'Raw Data'!$A", SUM($AB9, 1), ":$AK$1081")</f>
        <v>'Raw Data'!$A96:$AK$1081</v>
      </c>
      <c r="AD9" t="str">
        <f t="shared" ref="AD9:AD43" ca="1" si="26">CONCATENATE("'Raw Data'!$A", SUM($AB9, 1), ":$A$1081")</f>
        <v>'Raw Data'!$A96:$A$1081</v>
      </c>
    </row>
    <row r="10" spans="1:37">
      <c r="A10">
        <f>VLOOKUP($C$1,'Raw Data'!$A$3:$AB$1008,1,FALSE)</f>
        <v>2708</v>
      </c>
      <c r="B10">
        <f t="shared" ref="B10:B43" ca="1" si="27">IFERROR(VLOOKUP($C$1, INDIRECT($AC9), COLUMN() + 2, FALSE), "")</f>
        <v>2</v>
      </c>
      <c r="C10">
        <f t="shared" ca="1" si="0"/>
        <v>0</v>
      </c>
      <c r="D10">
        <f t="shared" ca="1" si="1"/>
        <v>0</v>
      </c>
      <c r="E10">
        <f t="shared" ca="1" si="2"/>
        <v>0</v>
      </c>
      <c r="F10">
        <f t="shared" ca="1" si="3"/>
        <v>0</v>
      </c>
      <c r="G10">
        <f t="shared" ca="1" si="4"/>
        <v>0</v>
      </c>
      <c r="H10">
        <f t="shared" ca="1" si="5"/>
        <v>0</v>
      </c>
      <c r="I10">
        <f t="shared" ca="1" si="6"/>
        <v>0</v>
      </c>
      <c r="J10">
        <f t="shared" ca="1" si="7"/>
        <v>0</v>
      </c>
      <c r="K10">
        <f t="shared" ca="1" si="8"/>
        <v>0</v>
      </c>
      <c r="L10">
        <f t="shared" ca="1" si="9"/>
        <v>0</v>
      </c>
      <c r="M10">
        <f t="shared" ca="1" si="10"/>
        <v>0</v>
      </c>
      <c r="N10">
        <f t="shared" ca="1" si="11"/>
        <v>0</v>
      </c>
      <c r="O10">
        <f t="shared" ca="1" si="12"/>
        <v>1</v>
      </c>
      <c r="P10">
        <f t="shared" ca="1" si="13"/>
        <v>0</v>
      </c>
      <c r="Q10">
        <f t="shared" ca="1" si="14"/>
        <v>0</v>
      </c>
      <c r="R10">
        <f t="shared" ca="1" si="15"/>
        <v>0</v>
      </c>
      <c r="S10">
        <f t="shared" ca="1" si="16"/>
        <v>0</v>
      </c>
      <c r="T10">
        <f t="shared" ca="1" si="17"/>
        <v>0</v>
      </c>
      <c r="U10">
        <f t="shared" ca="1" si="18"/>
        <v>1</v>
      </c>
      <c r="V10">
        <f t="shared" ca="1" si="19"/>
        <v>0</v>
      </c>
      <c r="W10">
        <f t="shared" ca="1" si="20"/>
        <v>0</v>
      </c>
      <c r="X10">
        <f t="shared" ca="1" si="21"/>
        <v>0</v>
      </c>
      <c r="Y10">
        <f t="shared" ca="1" si="22"/>
        <v>10</v>
      </c>
      <c r="Z10">
        <f t="shared" ca="1" si="23"/>
        <v>0</v>
      </c>
      <c r="AA10" t="str">
        <f t="shared" ref="AA10:AA43" ca="1" si="28">IFERROR(IF(VLOOKUP($C$1, INDIRECT($AC9), COLUMN() + 8, FALSE) = 0, "", VLOOKUP($C$1, INDIRECT($AC9), COLUMN() + 8, FALSE)), "")</f>
        <v/>
      </c>
      <c r="AB10">
        <f t="shared" ca="1" si="24"/>
        <v>108</v>
      </c>
      <c r="AC10" t="str">
        <f t="shared" ca="1" si="25"/>
        <v>'Raw Data'!$A109:$AK$1081</v>
      </c>
      <c r="AD10" t="str">
        <f t="shared" ca="1" si="26"/>
        <v>'Raw Data'!$A109:$A$1081</v>
      </c>
    </row>
    <row r="11" spans="1:37">
      <c r="A11">
        <f>VLOOKUP($C$1,'Raw Data'!$A$3:$AB$1008,1,FALSE)</f>
        <v>2708</v>
      </c>
      <c r="B11">
        <f t="shared" ca="1" si="27"/>
        <v>1</v>
      </c>
      <c r="C11">
        <f t="shared" ca="1" si="0"/>
        <v>0</v>
      </c>
      <c r="D11">
        <f t="shared" ca="1" si="1"/>
        <v>0</v>
      </c>
      <c r="E11">
        <f t="shared" ca="1" si="2"/>
        <v>0</v>
      </c>
      <c r="F11">
        <f t="shared" ca="1" si="3"/>
        <v>0</v>
      </c>
      <c r="G11">
        <f t="shared" ca="1" si="4"/>
        <v>0</v>
      </c>
      <c r="H11">
        <f t="shared" ca="1" si="5"/>
        <v>0</v>
      </c>
      <c r="I11">
        <f t="shared" ca="1" si="6"/>
        <v>0</v>
      </c>
      <c r="J11">
        <f t="shared" ca="1" si="7"/>
        <v>0</v>
      </c>
      <c r="K11">
        <f t="shared" ca="1" si="8"/>
        <v>0</v>
      </c>
      <c r="L11">
        <f t="shared" ca="1" si="9"/>
        <v>0</v>
      </c>
      <c r="M11">
        <f t="shared" ca="1" si="10"/>
        <v>0</v>
      </c>
      <c r="N11">
        <f t="shared" ca="1" si="11"/>
        <v>1</v>
      </c>
      <c r="O11">
        <f t="shared" ca="1" si="12"/>
        <v>0</v>
      </c>
      <c r="P11">
        <f t="shared" ca="1" si="13"/>
        <v>0</v>
      </c>
      <c r="Q11">
        <f t="shared" ca="1" si="14"/>
        <v>0</v>
      </c>
      <c r="R11">
        <f t="shared" ca="1" si="15"/>
        <v>0</v>
      </c>
      <c r="S11">
        <f t="shared" ca="1" si="16"/>
        <v>0</v>
      </c>
      <c r="T11">
        <f t="shared" ca="1" si="17"/>
        <v>0</v>
      </c>
      <c r="U11">
        <f t="shared" ca="1" si="18"/>
        <v>1</v>
      </c>
      <c r="V11">
        <f t="shared" ca="1" si="19"/>
        <v>0</v>
      </c>
      <c r="W11">
        <f t="shared" ca="1" si="20"/>
        <v>0</v>
      </c>
      <c r="X11">
        <f t="shared" ca="1" si="21"/>
        <v>0</v>
      </c>
      <c r="Y11">
        <f t="shared" ca="1" si="22"/>
        <v>9</v>
      </c>
      <c r="Z11">
        <f t="shared" ca="1" si="23"/>
        <v>3</v>
      </c>
      <c r="AA11" t="str">
        <f t="shared" ca="1" si="28"/>
        <v/>
      </c>
      <c r="AB11">
        <f t="shared" ca="1" si="24"/>
        <v>178</v>
      </c>
      <c r="AC11" t="str">
        <f t="shared" ca="1" si="25"/>
        <v>'Raw Data'!$A179:$AK$1081</v>
      </c>
      <c r="AD11" t="str">
        <f t="shared" ca="1" si="26"/>
        <v>'Raw Data'!$A179:$A$1081</v>
      </c>
    </row>
    <row r="12" spans="1:37">
      <c r="A12">
        <f>VLOOKUP($C$1,'Raw Data'!$A$3:$AB$1008,1,FALSE)</f>
        <v>2708</v>
      </c>
      <c r="B12">
        <f t="shared" ca="1" si="27"/>
        <v>1</v>
      </c>
      <c r="C12">
        <f t="shared" ca="1" si="0"/>
        <v>0</v>
      </c>
      <c r="D12">
        <f t="shared" ca="1" si="1"/>
        <v>0</v>
      </c>
      <c r="E12">
        <f t="shared" ca="1" si="2"/>
        <v>0</v>
      </c>
      <c r="F12">
        <f t="shared" ca="1" si="3"/>
        <v>0</v>
      </c>
      <c r="G12">
        <f t="shared" ca="1" si="4"/>
        <v>0</v>
      </c>
      <c r="H12">
        <f t="shared" ca="1" si="5"/>
        <v>0</v>
      </c>
      <c r="I12">
        <f t="shared" ca="1" si="6"/>
        <v>0</v>
      </c>
      <c r="J12">
        <f t="shared" ca="1" si="7"/>
        <v>0</v>
      </c>
      <c r="K12">
        <f t="shared" ca="1" si="8"/>
        <v>0</v>
      </c>
      <c r="L12">
        <f t="shared" ca="1" si="9"/>
        <v>0</v>
      </c>
      <c r="M12">
        <f t="shared" ca="1" si="10"/>
        <v>0</v>
      </c>
      <c r="N12">
        <f t="shared" ca="1" si="11"/>
        <v>0</v>
      </c>
      <c r="O12">
        <f t="shared" ca="1" si="12"/>
        <v>0</v>
      </c>
      <c r="P12">
        <f t="shared" ca="1" si="13"/>
        <v>1</v>
      </c>
      <c r="Q12">
        <f t="shared" ca="1" si="14"/>
        <v>0</v>
      </c>
      <c r="R12">
        <f t="shared" ca="1" si="15"/>
        <v>0</v>
      </c>
      <c r="S12">
        <f t="shared" ca="1" si="16"/>
        <v>0</v>
      </c>
      <c r="T12">
        <f t="shared" ca="1" si="17"/>
        <v>0</v>
      </c>
      <c r="U12">
        <f t="shared" ca="1" si="18"/>
        <v>1</v>
      </c>
      <c r="V12">
        <f t="shared" ca="1" si="19"/>
        <v>0</v>
      </c>
      <c r="W12">
        <f t="shared" ca="1" si="20"/>
        <v>0</v>
      </c>
      <c r="X12">
        <f t="shared" ca="1" si="21"/>
        <v>0</v>
      </c>
      <c r="Y12">
        <f t="shared" ca="1" si="22"/>
        <v>6</v>
      </c>
      <c r="Z12">
        <f t="shared" ca="1" si="23"/>
        <v>0</v>
      </c>
      <c r="AA12" t="str">
        <f t="shared" ca="1" si="28"/>
        <v>LOOKED BROKEN</v>
      </c>
      <c r="AB12">
        <f t="shared" ca="1" si="24"/>
        <v>181</v>
      </c>
      <c r="AC12" t="str">
        <f t="shared" ca="1" si="25"/>
        <v>'Raw Data'!$A182:$AK$1081</v>
      </c>
      <c r="AD12" t="str">
        <f t="shared" ca="1" si="26"/>
        <v>'Raw Data'!$A182:$A$1081</v>
      </c>
    </row>
    <row r="13" spans="1:37">
      <c r="A13">
        <f>VLOOKUP($C$1,'Raw Data'!$A$3:$AB$1008,1,FALSE)</f>
        <v>2708</v>
      </c>
      <c r="B13">
        <f t="shared" ca="1" si="27"/>
        <v>2</v>
      </c>
      <c r="C13">
        <f t="shared" ca="1" si="0"/>
        <v>0</v>
      </c>
      <c r="D13">
        <f t="shared" ca="1" si="1"/>
        <v>0</v>
      </c>
      <c r="E13">
        <f t="shared" ca="1" si="2"/>
        <v>0</v>
      </c>
      <c r="F13">
        <f t="shared" ca="1" si="3"/>
        <v>0</v>
      </c>
      <c r="G13">
        <f t="shared" ca="1" si="4"/>
        <v>0</v>
      </c>
      <c r="H13">
        <f t="shared" ca="1" si="5"/>
        <v>0</v>
      </c>
      <c r="I13">
        <f t="shared" ca="1" si="6"/>
        <v>0</v>
      </c>
      <c r="J13">
        <f t="shared" ca="1" si="7"/>
        <v>0</v>
      </c>
      <c r="K13">
        <f t="shared" ca="1" si="8"/>
        <v>0</v>
      </c>
      <c r="L13">
        <f t="shared" ca="1" si="9"/>
        <v>0</v>
      </c>
      <c r="M13">
        <f t="shared" ca="1" si="10"/>
        <v>0</v>
      </c>
      <c r="N13">
        <f t="shared" ca="1" si="11"/>
        <v>0</v>
      </c>
      <c r="O13">
        <f t="shared" ca="1" si="12"/>
        <v>0</v>
      </c>
      <c r="P13">
        <f t="shared" ca="1" si="13"/>
        <v>0</v>
      </c>
      <c r="Q13">
        <f t="shared" ca="1" si="14"/>
        <v>0</v>
      </c>
      <c r="R13">
        <f t="shared" ca="1" si="15"/>
        <v>0</v>
      </c>
      <c r="S13">
        <f t="shared" ca="1" si="16"/>
        <v>0</v>
      </c>
      <c r="T13">
        <f t="shared" ca="1" si="17"/>
        <v>0</v>
      </c>
      <c r="U13">
        <f t="shared" ca="1" si="18"/>
        <v>1</v>
      </c>
      <c r="V13">
        <f t="shared" ca="1" si="19"/>
        <v>0</v>
      </c>
      <c r="W13">
        <f t="shared" ca="1" si="20"/>
        <v>0</v>
      </c>
      <c r="X13">
        <f t="shared" ca="1" si="21"/>
        <v>0</v>
      </c>
      <c r="Y13">
        <f t="shared" ca="1" si="22"/>
        <v>0</v>
      </c>
      <c r="Z13">
        <f t="shared" ca="1" si="23"/>
        <v>0</v>
      </c>
      <c r="AA13" t="str">
        <f t="shared" ca="1" si="28"/>
        <v>VERY BAD OUTTAKE, DROPPED CARGO OFTEN</v>
      </c>
      <c r="AB13">
        <f t="shared" ca="1" si="24"/>
        <v>266</v>
      </c>
      <c r="AC13" t="str">
        <f t="shared" ca="1" si="25"/>
        <v>'Raw Data'!$A267:$AK$1081</v>
      </c>
      <c r="AD13" t="str">
        <f t="shared" ca="1" si="26"/>
        <v>'Raw Data'!$A267:$A$1081</v>
      </c>
    </row>
    <row r="14" spans="1:37">
      <c r="A14">
        <f>VLOOKUP($C$1,'Raw Data'!$A$3:$AB$1008,1,FALSE)</f>
        <v>2708</v>
      </c>
      <c r="B14">
        <f t="shared" ca="1" si="27"/>
        <v>2</v>
      </c>
      <c r="C14">
        <f t="shared" ca="1" si="0"/>
        <v>0</v>
      </c>
      <c r="D14">
        <f t="shared" ca="1" si="1"/>
        <v>0</v>
      </c>
      <c r="E14">
        <f t="shared" ca="1" si="2"/>
        <v>0</v>
      </c>
      <c r="F14">
        <f t="shared" ca="1" si="3"/>
        <v>0</v>
      </c>
      <c r="G14">
        <f t="shared" ca="1" si="4"/>
        <v>0</v>
      </c>
      <c r="H14">
        <f t="shared" ca="1" si="5"/>
        <v>0</v>
      </c>
      <c r="I14">
        <f t="shared" ca="1" si="6"/>
        <v>0</v>
      </c>
      <c r="J14">
        <f t="shared" ca="1" si="7"/>
        <v>0</v>
      </c>
      <c r="K14">
        <f t="shared" ca="1" si="8"/>
        <v>0</v>
      </c>
      <c r="L14">
        <f t="shared" ca="1" si="9"/>
        <v>0</v>
      </c>
      <c r="M14">
        <f t="shared" ca="1" si="10"/>
        <v>0</v>
      </c>
      <c r="N14">
        <f t="shared" ca="1" si="11"/>
        <v>0</v>
      </c>
      <c r="O14">
        <f t="shared" ca="1" si="12"/>
        <v>1</v>
      </c>
      <c r="P14">
        <f t="shared" ca="1" si="13"/>
        <v>0</v>
      </c>
      <c r="Q14">
        <f t="shared" ca="1" si="14"/>
        <v>0</v>
      </c>
      <c r="R14">
        <f t="shared" ca="1" si="15"/>
        <v>0</v>
      </c>
      <c r="S14">
        <f t="shared" ca="1" si="16"/>
        <v>45</v>
      </c>
      <c r="T14">
        <f t="shared" ca="1" si="17"/>
        <v>0</v>
      </c>
      <c r="U14">
        <f t="shared" ca="1" si="18"/>
        <v>1</v>
      </c>
      <c r="V14">
        <f t="shared" ca="1" si="19"/>
        <v>0</v>
      </c>
      <c r="W14">
        <f t="shared" ca="1" si="20"/>
        <v>0</v>
      </c>
      <c r="X14">
        <f t="shared" ca="1" si="21"/>
        <v>0</v>
      </c>
      <c r="Y14">
        <f t="shared" ca="1" si="22"/>
        <v>0</v>
      </c>
      <c r="Z14">
        <f t="shared" ca="1" si="23"/>
        <v>0</v>
      </c>
      <c r="AA14" t="str">
        <f t="shared" ca="1" si="28"/>
        <v/>
      </c>
      <c r="AB14">
        <f t="shared" ca="1" si="24"/>
        <v>313</v>
      </c>
      <c r="AC14" t="str">
        <f t="shared" ca="1" si="25"/>
        <v>'Raw Data'!$A314:$AK$1081</v>
      </c>
      <c r="AD14" t="str">
        <f t="shared" ca="1" si="26"/>
        <v>'Raw Data'!$A314:$A$1081</v>
      </c>
    </row>
    <row r="15" spans="1:37">
      <c r="A15">
        <f>VLOOKUP($C$1,'Raw Data'!$A$3:$AB$1008,1,FALSE)</f>
        <v>2708</v>
      </c>
      <c r="B15">
        <f t="shared" ca="1" si="27"/>
        <v>2</v>
      </c>
      <c r="C15">
        <f t="shared" ca="1" si="0"/>
        <v>0</v>
      </c>
      <c r="D15">
        <f t="shared" ca="1" si="1"/>
        <v>0</v>
      </c>
      <c r="E15">
        <f t="shared" ca="1" si="2"/>
        <v>0</v>
      </c>
      <c r="F15">
        <f t="shared" ca="1" si="3"/>
        <v>0</v>
      </c>
      <c r="G15">
        <f t="shared" ca="1" si="4"/>
        <v>0</v>
      </c>
      <c r="H15">
        <f t="shared" ca="1" si="5"/>
        <v>0</v>
      </c>
      <c r="I15">
        <f t="shared" ca="1" si="6"/>
        <v>0</v>
      </c>
      <c r="J15">
        <f t="shared" ca="1" si="7"/>
        <v>0</v>
      </c>
      <c r="K15">
        <f t="shared" ca="1" si="8"/>
        <v>0</v>
      </c>
      <c r="L15">
        <f t="shared" ca="1" si="9"/>
        <v>0</v>
      </c>
      <c r="M15">
        <f t="shared" ca="1" si="10"/>
        <v>0</v>
      </c>
      <c r="N15">
        <f t="shared" ca="1" si="11"/>
        <v>0</v>
      </c>
      <c r="O15">
        <f t="shared" ca="1" si="12"/>
        <v>2</v>
      </c>
      <c r="P15">
        <f t="shared" ca="1" si="13"/>
        <v>0</v>
      </c>
      <c r="Q15">
        <f t="shared" ca="1" si="14"/>
        <v>0</v>
      </c>
      <c r="R15">
        <f t="shared" ca="1" si="15"/>
        <v>0</v>
      </c>
      <c r="S15">
        <f t="shared" ca="1" si="16"/>
        <v>0</v>
      </c>
      <c r="T15">
        <f t="shared" ca="1" si="17"/>
        <v>0</v>
      </c>
      <c r="U15">
        <f t="shared" ca="1" si="18"/>
        <v>1</v>
      </c>
      <c r="V15">
        <f t="shared" ca="1" si="19"/>
        <v>0</v>
      </c>
      <c r="W15">
        <f t="shared" ca="1" si="20"/>
        <v>0</v>
      </c>
      <c r="X15">
        <f t="shared" ca="1" si="21"/>
        <v>0</v>
      </c>
      <c r="Y15">
        <f t="shared" ca="1" si="22"/>
        <v>0</v>
      </c>
      <c r="Z15">
        <f t="shared" ca="1" si="23"/>
        <v>1</v>
      </c>
      <c r="AA15" t="str">
        <f t="shared" ca="1" si="28"/>
        <v/>
      </c>
      <c r="AB15">
        <f t="shared" ca="1" si="24"/>
        <v>360</v>
      </c>
      <c r="AC15" t="str">
        <f t="shared" ca="1" si="25"/>
        <v>'Raw Data'!$A361:$AK$1081</v>
      </c>
      <c r="AD15" t="str">
        <f t="shared" ca="1" si="26"/>
        <v>'Raw Data'!$A361:$A$1081</v>
      </c>
    </row>
    <row r="16" spans="1:37">
      <c r="A16">
        <f>VLOOKUP($C$1,'Raw Data'!$A$3:$AB$1008,1,FALSE)</f>
        <v>2708</v>
      </c>
      <c r="B16" t="str">
        <f t="shared" ca="1" si="27"/>
        <v/>
      </c>
      <c r="C16" t="str">
        <f t="shared" ca="1" si="0"/>
        <v/>
      </c>
      <c r="D16" t="str">
        <f t="shared" ca="1" si="1"/>
        <v/>
      </c>
      <c r="E16" t="str">
        <f t="shared" ca="1" si="2"/>
        <v/>
      </c>
      <c r="F16" t="str">
        <f t="shared" ca="1" si="3"/>
        <v/>
      </c>
      <c r="G16" t="str">
        <f t="shared" ca="1" si="4"/>
        <v/>
      </c>
      <c r="H16" t="str">
        <f t="shared" ca="1" si="5"/>
        <v/>
      </c>
      <c r="I16" t="str">
        <f t="shared" ca="1" si="6"/>
        <v/>
      </c>
      <c r="J16" t="str">
        <f t="shared" ca="1" si="7"/>
        <v/>
      </c>
      <c r="K16" t="str">
        <f t="shared" ca="1" si="8"/>
        <v/>
      </c>
      <c r="L16" t="str">
        <f t="shared" ca="1" si="9"/>
        <v/>
      </c>
      <c r="M16" t="str">
        <f t="shared" ca="1" si="10"/>
        <v/>
      </c>
      <c r="N16" t="str">
        <f t="shared" ca="1" si="11"/>
        <v/>
      </c>
      <c r="O16" t="str">
        <f t="shared" ca="1" si="12"/>
        <v/>
      </c>
      <c r="P16" t="str">
        <f t="shared" ca="1" si="13"/>
        <v/>
      </c>
      <c r="Q16" t="str">
        <f t="shared" ca="1" si="14"/>
        <v/>
      </c>
      <c r="R16" t="str">
        <f t="shared" ca="1" si="15"/>
        <v/>
      </c>
      <c r="S16" t="str">
        <f t="shared" ca="1" si="16"/>
        <v/>
      </c>
      <c r="T16" t="str">
        <f t="shared" ca="1" si="17"/>
        <v/>
      </c>
      <c r="U16" t="str">
        <f t="shared" ca="1" si="18"/>
        <v/>
      </c>
      <c r="V16" t="str">
        <f t="shared" ca="1" si="19"/>
        <v/>
      </c>
      <c r="W16" t="str">
        <f t="shared" ca="1" si="20"/>
        <v/>
      </c>
      <c r="X16" t="str">
        <f t="shared" ca="1" si="21"/>
        <v/>
      </c>
      <c r="Y16" t="str">
        <f t="shared" ca="1" si="22"/>
        <v/>
      </c>
      <c r="Z16" t="str">
        <f t="shared" ca="1" si="23"/>
        <v/>
      </c>
      <c r="AA16" t="str">
        <f t="shared" ca="1" si="28"/>
        <v/>
      </c>
      <c r="AB16" t="e">
        <f t="shared" ca="1" si="24"/>
        <v>#N/A</v>
      </c>
      <c r="AC16" t="e">
        <f t="shared" ca="1" si="25"/>
        <v>#N/A</v>
      </c>
      <c r="AD16" t="e">
        <f t="shared" ca="1" si="26"/>
        <v>#N/A</v>
      </c>
    </row>
    <row r="17" spans="1:30">
      <c r="A17">
        <f>VLOOKUP($C$1,'Raw Data'!$A$3:$AB$1008,1,FALSE)</f>
        <v>2708</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2708</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2708</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2708</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2708</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2708</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2708</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2708</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2708</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2708</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2708</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2708</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2708</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2708</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2708</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2708</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2708</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2708</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2708</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2708</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2708</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2708</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2708</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2708</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2708</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2708</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2708</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row r="45" spans="1:30">
      <c r="A45" t="s">
        <v>402</v>
      </c>
      <c r="B45" s="176" t="s">
        <v>403</v>
      </c>
      <c r="C45" s="176"/>
      <c r="D45" s="176" t="s">
        <v>17</v>
      </c>
      <c r="E45" s="176"/>
    </row>
    <row r="46" spans="1:30">
      <c r="B46" t="s">
        <v>393</v>
      </c>
      <c r="C46" t="s">
        <v>394</v>
      </c>
      <c r="D46" s="77" t="s">
        <v>393</v>
      </c>
      <c r="E46" t="s">
        <v>394</v>
      </c>
      <c r="F46" t="s">
        <v>395</v>
      </c>
      <c r="G46" t="s">
        <v>404</v>
      </c>
    </row>
    <row r="47" spans="1:30">
      <c r="A47">
        <f>$C$1</f>
        <v>2708</v>
      </c>
      <c r="B47" t="e">
        <f>VLOOKUP($C$1, 'Penalty Data'!$A$3:$H$999, 4, FALSE)</f>
        <v>#N/A</v>
      </c>
      <c r="C47" t="e">
        <f>VLOOKUP($C$1, 'Penalty Data'!$A$3:$H$999, 5, FALSE)</f>
        <v>#N/A</v>
      </c>
      <c r="D47" t="e">
        <f>VLOOKUP($C$1, 'Penalty Data'!$A$3:$H$999, 6, FALSE)</f>
        <v>#N/A</v>
      </c>
      <c r="E47" t="e">
        <f>VLOOKUP($C$1, 'Penalty Data'!$A$3:$H$999, 7, FALSE)</f>
        <v>#N/A</v>
      </c>
      <c r="F47" t="e">
        <f>VLOOKUP($C$1, 'Penalty Data'!$A$3:$H$999, 8, FALSE)</f>
        <v>#N/A</v>
      </c>
      <c r="G47" t="e">
        <f>SUM(MATCH($C1,'Penalty Data'!$A$1:$A$1008,0), 0)</f>
        <v>#N/A</v>
      </c>
      <c r="H47" t="e">
        <f>CONCATENATE("'Penalty Data'!$A", SUM($G47, 1), ":$AH$1081")</f>
        <v>#N/A</v>
      </c>
      <c r="I47" t="e">
        <f>CONCATENATE("'Penalty Data'!$A", SUM($G47, 1), ":$A$1081")</f>
        <v>#N/A</v>
      </c>
    </row>
    <row r="48" spans="1:30">
      <c r="A48">
        <f t="shared" ref="A48:A83" si="30">$C$1</f>
        <v>2708</v>
      </c>
      <c r="B48" t="str">
        <f ca="1">IFERROR(VLOOKUP($C$1, INDIRECT($H47), 4, FALSE), "")</f>
        <v/>
      </c>
      <c r="C48" t="str">
        <f ca="1">IFERROR(VLOOKUP($C$1, INDIRECT($H47), 5, FALSE), "")</f>
        <v/>
      </c>
      <c r="D48" t="str">
        <f ca="1">IFERROR(VLOOKUP($C$1, INDIRECT($H47), 6, FALSE), "")</f>
        <v/>
      </c>
      <c r="E48" t="str">
        <f ca="1">IFERROR(VLOOKUP($C$1, INDIRECT($H47), 7, FALSE), "")</f>
        <v/>
      </c>
      <c r="F48" t="str">
        <f ca="1">IFERROR(IF(VLOOKUP($C$1, INDIRECT($H47), 8, FALSE) = 0, "", VLOOKUP($C$1, INDIRECT($H47),  8, FALSE)), "")</f>
        <v/>
      </c>
      <c r="G48" t="e">
        <f ca="1">SUM(MATCH($C$1,INDIRECT($I47), 0), $G47)</f>
        <v>#N/A</v>
      </c>
      <c r="H48" t="e">
        <f t="shared" ref="H48:H83" ca="1" si="31">CONCATENATE("'Penalty Data'!$A", SUM($G48, 1), ":$AH$1081")</f>
        <v>#N/A</v>
      </c>
      <c r="I48" t="e">
        <f t="shared" ref="I48:I83" ca="1" si="32">CONCATENATE("'Penalty Data'!$A", SUM($G48, 1), ":$A$1081")</f>
        <v>#N/A</v>
      </c>
    </row>
    <row r="49" spans="1:9">
      <c r="A49">
        <f t="shared" si="30"/>
        <v>2708</v>
      </c>
      <c r="B49" t="str">
        <f t="shared" ref="B49:B83" ca="1" si="33">IFERROR(VLOOKUP($C$1, INDIRECT($H48), 4, FALSE), "")</f>
        <v/>
      </c>
      <c r="C49" t="str">
        <f t="shared" ref="C49:C83" ca="1" si="34">IFERROR(VLOOKUP($C$1, INDIRECT($H48), 5, FALSE), "")</f>
        <v/>
      </c>
      <c r="D49" t="str">
        <f t="shared" ref="D49:D83" ca="1" si="35">IFERROR(VLOOKUP($C$1, INDIRECT($H48), 6, FALSE), "")</f>
        <v/>
      </c>
      <c r="E49" t="str">
        <f t="shared" ref="E49:E83" ca="1" si="36">IFERROR(VLOOKUP($C$1, INDIRECT($H48), 7, FALSE), "")</f>
        <v/>
      </c>
      <c r="F49" t="str">
        <f t="shared" ref="F49:F83" ca="1" si="37">IFERROR(IF(VLOOKUP($C$1, INDIRECT($H48), 8, FALSE) = 0, "", VLOOKUP($C$1, INDIRECT($H48),  8, FALSE)), "")</f>
        <v/>
      </c>
      <c r="G49" t="e">
        <f t="shared" ref="G49:G83" ca="1" si="38">SUM(MATCH($C$1,INDIRECT($I48), 0), $G48)</f>
        <v>#N/A</v>
      </c>
      <c r="H49" t="e">
        <f t="shared" ca="1" si="31"/>
        <v>#N/A</v>
      </c>
      <c r="I49" t="e">
        <f t="shared" ca="1" si="32"/>
        <v>#N/A</v>
      </c>
    </row>
    <row r="50" spans="1:9">
      <c r="A50">
        <f t="shared" si="30"/>
        <v>2708</v>
      </c>
      <c r="B50" t="str">
        <f t="shared" ca="1" si="33"/>
        <v/>
      </c>
      <c r="C50" t="str">
        <f t="shared" ca="1" si="34"/>
        <v/>
      </c>
      <c r="D50" t="str">
        <f t="shared" ca="1" si="35"/>
        <v/>
      </c>
      <c r="E50" t="str">
        <f t="shared" ca="1" si="36"/>
        <v/>
      </c>
      <c r="F50" t="str">
        <f t="shared" ca="1" si="37"/>
        <v/>
      </c>
      <c r="G50" t="e">
        <f t="shared" ca="1" si="38"/>
        <v>#N/A</v>
      </c>
      <c r="H50" t="e">
        <f t="shared" ca="1" si="31"/>
        <v>#N/A</v>
      </c>
      <c r="I50" t="e">
        <f t="shared" ca="1" si="32"/>
        <v>#N/A</v>
      </c>
    </row>
    <row r="51" spans="1:9">
      <c r="A51">
        <f t="shared" si="30"/>
        <v>2708</v>
      </c>
      <c r="B51" t="str">
        <f t="shared" ca="1" si="33"/>
        <v/>
      </c>
      <c r="C51" t="str">
        <f t="shared" ca="1" si="34"/>
        <v/>
      </c>
      <c r="D51" t="str">
        <f t="shared" ca="1" si="35"/>
        <v/>
      </c>
      <c r="E51" t="str">
        <f t="shared" ca="1" si="36"/>
        <v/>
      </c>
      <c r="F51" t="str">
        <f t="shared" ca="1" si="37"/>
        <v/>
      </c>
      <c r="G51" t="e">
        <f t="shared" ca="1" si="38"/>
        <v>#N/A</v>
      </c>
      <c r="H51" t="e">
        <f t="shared" ca="1" si="31"/>
        <v>#N/A</v>
      </c>
      <c r="I51" t="e">
        <f t="shared" ca="1" si="32"/>
        <v>#N/A</v>
      </c>
    </row>
    <row r="52" spans="1:9">
      <c r="A52">
        <f t="shared" si="30"/>
        <v>2708</v>
      </c>
      <c r="B52" t="str">
        <f t="shared" ca="1" si="33"/>
        <v/>
      </c>
      <c r="C52" t="str">
        <f t="shared" ca="1" si="34"/>
        <v/>
      </c>
      <c r="D52" t="str">
        <f t="shared" ca="1" si="35"/>
        <v/>
      </c>
      <c r="E52" t="str">
        <f t="shared" ca="1" si="36"/>
        <v/>
      </c>
      <c r="F52" t="str">
        <f t="shared" ca="1" si="37"/>
        <v/>
      </c>
      <c r="G52" t="e">
        <f t="shared" ca="1" si="38"/>
        <v>#N/A</v>
      </c>
      <c r="H52" t="e">
        <f t="shared" ca="1" si="31"/>
        <v>#N/A</v>
      </c>
      <c r="I52" t="e">
        <f t="shared" ca="1" si="32"/>
        <v>#N/A</v>
      </c>
    </row>
    <row r="53" spans="1:9">
      <c r="A53">
        <f t="shared" si="30"/>
        <v>2708</v>
      </c>
      <c r="B53" t="str">
        <f t="shared" ca="1" si="33"/>
        <v/>
      </c>
      <c r="C53" t="str">
        <f t="shared" ca="1" si="34"/>
        <v/>
      </c>
      <c r="D53" t="str">
        <f t="shared" ca="1" si="35"/>
        <v/>
      </c>
      <c r="E53" t="str">
        <f t="shared" ca="1" si="36"/>
        <v/>
      </c>
      <c r="F53" t="str">
        <f t="shared" ca="1" si="37"/>
        <v/>
      </c>
      <c r="G53" t="e">
        <f t="shared" ca="1" si="38"/>
        <v>#N/A</v>
      </c>
      <c r="H53" t="e">
        <f t="shared" ca="1" si="31"/>
        <v>#N/A</v>
      </c>
      <c r="I53" t="e">
        <f t="shared" ca="1" si="32"/>
        <v>#N/A</v>
      </c>
    </row>
    <row r="54" spans="1:9">
      <c r="A54">
        <f t="shared" si="30"/>
        <v>2708</v>
      </c>
      <c r="B54" t="str">
        <f t="shared" ca="1" si="33"/>
        <v/>
      </c>
      <c r="C54" t="str">
        <f t="shared" ca="1" si="34"/>
        <v/>
      </c>
      <c r="D54" t="str">
        <f t="shared" ca="1" si="35"/>
        <v/>
      </c>
      <c r="E54" t="str">
        <f t="shared" ca="1" si="36"/>
        <v/>
      </c>
      <c r="F54" t="str">
        <f t="shared" ca="1" si="37"/>
        <v/>
      </c>
      <c r="G54" t="e">
        <f t="shared" ca="1" si="38"/>
        <v>#N/A</v>
      </c>
      <c r="H54" t="e">
        <f t="shared" ca="1" si="31"/>
        <v>#N/A</v>
      </c>
      <c r="I54" t="e">
        <f t="shared" ca="1" si="32"/>
        <v>#N/A</v>
      </c>
    </row>
    <row r="55" spans="1:9">
      <c r="A55">
        <f t="shared" si="30"/>
        <v>2708</v>
      </c>
      <c r="B55" t="str">
        <f t="shared" ca="1" si="33"/>
        <v/>
      </c>
      <c r="C55" t="str">
        <f t="shared" ca="1" si="34"/>
        <v/>
      </c>
      <c r="D55" t="str">
        <f t="shared" ca="1" si="35"/>
        <v/>
      </c>
      <c r="E55" t="str">
        <f t="shared" ca="1" si="36"/>
        <v/>
      </c>
      <c r="F55" t="str">
        <f t="shared" ca="1" si="37"/>
        <v/>
      </c>
      <c r="G55" t="e">
        <f t="shared" ca="1" si="38"/>
        <v>#N/A</v>
      </c>
      <c r="H55" t="e">
        <f t="shared" ca="1" si="31"/>
        <v>#N/A</v>
      </c>
      <c r="I55" t="e">
        <f t="shared" ca="1" si="32"/>
        <v>#N/A</v>
      </c>
    </row>
    <row r="56" spans="1:9">
      <c r="A56">
        <f t="shared" si="30"/>
        <v>2708</v>
      </c>
      <c r="B56" t="str">
        <f t="shared" ca="1" si="33"/>
        <v/>
      </c>
      <c r="C56" t="str">
        <f t="shared" ca="1" si="34"/>
        <v/>
      </c>
      <c r="D56" t="str">
        <f t="shared" ca="1" si="35"/>
        <v/>
      </c>
      <c r="E56" t="str">
        <f t="shared" ca="1" si="36"/>
        <v/>
      </c>
      <c r="F56" t="str">
        <f t="shared" ca="1" si="37"/>
        <v/>
      </c>
      <c r="G56" t="e">
        <f t="shared" ca="1" si="38"/>
        <v>#N/A</v>
      </c>
      <c r="H56" t="e">
        <f t="shared" ca="1" si="31"/>
        <v>#N/A</v>
      </c>
      <c r="I56" t="e">
        <f t="shared" ca="1" si="32"/>
        <v>#N/A</v>
      </c>
    </row>
    <row r="57" spans="1:9">
      <c r="A57">
        <f t="shared" si="30"/>
        <v>2708</v>
      </c>
      <c r="B57" t="str">
        <f t="shared" ca="1" si="33"/>
        <v/>
      </c>
      <c r="C57" t="str">
        <f t="shared" ca="1" si="34"/>
        <v/>
      </c>
      <c r="D57" t="str">
        <f t="shared" ca="1" si="35"/>
        <v/>
      </c>
      <c r="E57" t="str">
        <f t="shared" ca="1" si="36"/>
        <v/>
      </c>
      <c r="F57" t="str">
        <f t="shared" ca="1" si="37"/>
        <v/>
      </c>
      <c r="G57" t="e">
        <f t="shared" ca="1" si="38"/>
        <v>#N/A</v>
      </c>
      <c r="H57" t="e">
        <f t="shared" ca="1" si="31"/>
        <v>#N/A</v>
      </c>
      <c r="I57" t="e">
        <f t="shared" ca="1" si="32"/>
        <v>#N/A</v>
      </c>
    </row>
    <row r="58" spans="1:9">
      <c r="A58">
        <f t="shared" si="30"/>
        <v>2708</v>
      </c>
      <c r="B58" t="str">
        <f t="shared" ca="1" si="33"/>
        <v/>
      </c>
      <c r="C58" t="str">
        <f t="shared" ca="1" si="34"/>
        <v/>
      </c>
      <c r="D58" t="str">
        <f t="shared" ca="1" si="35"/>
        <v/>
      </c>
      <c r="E58" t="str">
        <f t="shared" ca="1" si="36"/>
        <v/>
      </c>
      <c r="F58" t="str">
        <f t="shared" ca="1" si="37"/>
        <v/>
      </c>
      <c r="G58" t="e">
        <f t="shared" ca="1" si="38"/>
        <v>#N/A</v>
      </c>
      <c r="H58" t="e">
        <f t="shared" ca="1" si="31"/>
        <v>#N/A</v>
      </c>
      <c r="I58" t="e">
        <f t="shared" ca="1" si="32"/>
        <v>#N/A</v>
      </c>
    </row>
    <row r="59" spans="1:9">
      <c r="A59">
        <f t="shared" si="30"/>
        <v>2708</v>
      </c>
      <c r="B59" t="str">
        <f t="shared" ca="1" si="33"/>
        <v/>
      </c>
      <c r="C59" t="str">
        <f t="shared" ca="1" si="34"/>
        <v/>
      </c>
      <c r="D59" t="str">
        <f t="shared" ca="1" si="35"/>
        <v/>
      </c>
      <c r="E59" t="str">
        <f t="shared" ca="1" si="36"/>
        <v/>
      </c>
      <c r="F59" t="str">
        <f t="shared" ca="1" si="37"/>
        <v/>
      </c>
      <c r="G59" t="e">
        <f t="shared" ca="1" si="38"/>
        <v>#N/A</v>
      </c>
      <c r="H59" t="e">
        <f t="shared" ca="1" si="31"/>
        <v>#N/A</v>
      </c>
      <c r="I59" t="e">
        <f t="shared" ca="1" si="32"/>
        <v>#N/A</v>
      </c>
    </row>
    <row r="60" spans="1:9">
      <c r="A60">
        <f t="shared" si="30"/>
        <v>2708</v>
      </c>
      <c r="B60" t="str">
        <f t="shared" ca="1" si="33"/>
        <v/>
      </c>
      <c r="C60" t="str">
        <f t="shared" ca="1" si="34"/>
        <v/>
      </c>
      <c r="D60" t="str">
        <f t="shared" ca="1" si="35"/>
        <v/>
      </c>
      <c r="E60" t="str">
        <f t="shared" ca="1" si="36"/>
        <v/>
      </c>
      <c r="F60" t="str">
        <f t="shared" ca="1" si="37"/>
        <v/>
      </c>
      <c r="G60" t="e">
        <f t="shared" ca="1" si="38"/>
        <v>#N/A</v>
      </c>
      <c r="H60" t="e">
        <f t="shared" ca="1" si="31"/>
        <v>#N/A</v>
      </c>
      <c r="I60" t="e">
        <f t="shared" ca="1" si="32"/>
        <v>#N/A</v>
      </c>
    </row>
    <row r="61" spans="1:9">
      <c r="A61">
        <f t="shared" si="30"/>
        <v>2708</v>
      </c>
      <c r="B61" t="str">
        <f t="shared" ca="1" si="33"/>
        <v/>
      </c>
      <c r="C61" t="str">
        <f t="shared" ca="1" si="34"/>
        <v/>
      </c>
      <c r="D61" t="str">
        <f t="shared" ca="1" si="35"/>
        <v/>
      </c>
      <c r="E61" t="str">
        <f t="shared" ca="1" si="36"/>
        <v/>
      </c>
      <c r="F61" t="str">
        <f t="shared" ca="1" si="37"/>
        <v/>
      </c>
      <c r="G61" t="e">
        <f t="shared" ca="1" si="38"/>
        <v>#N/A</v>
      </c>
      <c r="H61" t="e">
        <f t="shared" ca="1" si="31"/>
        <v>#N/A</v>
      </c>
      <c r="I61" t="e">
        <f t="shared" ca="1" si="32"/>
        <v>#N/A</v>
      </c>
    </row>
    <row r="62" spans="1:9">
      <c r="A62">
        <f t="shared" si="30"/>
        <v>2708</v>
      </c>
      <c r="B62" t="str">
        <f t="shared" ca="1" si="33"/>
        <v/>
      </c>
      <c r="C62" t="str">
        <f t="shared" ca="1" si="34"/>
        <v/>
      </c>
      <c r="D62" t="str">
        <f t="shared" ca="1" si="35"/>
        <v/>
      </c>
      <c r="E62" t="str">
        <f t="shared" ca="1" si="36"/>
        <v/>
      </c>
      <c r="F62" t="str">
        <f t="shared" ca="1" si="37"/>
        <v/>
      </c>
      <c r="G62" t="e">
        <f t="shared" ca="1" si="38"/>
        <v>#N/A</v>
      </c>
      <c r="H62" t="e">
        <f t="shared" ca="1" si="31"/>
        <v>#N/A</v>
      </c>
      <c r="I62" t="e">
        <f t="shared" ca="1" si="32"/>
        <v>#N/A</v>
      </c>
    </row>
    <row r="63" spans="1:9">
      <c r="A63">
        <f t="shared" si="30"/>
        <v>2708</v>
      </c>
      <c r="B63" t="str">
        <f t="shared" ca="1" si="33"/>
        <v/>
      </c>
      <c r="C63" t="str">
        <f t="shared" ca="1" si="34"/>
        <v/>
      </c>
      <c r="D63" t="str">
        <f t="shared" ca="1" si="35"/>
        <v/>
      </c>
      <c r="E63" t="str">
        <f t="shared" ca="1" si="36"/>
        <v/>
      </c>
      <c r="F63" t="str">
        <f t="shared" ca="1" si="37"/>
        <v/>
      </c>
      <c r="G63" t="e">
        <f t="shared" ca="1" si="38"/>
        <v>#N/A</v>
      </c>
      <c r="H63" t="e">
        <f t="shared" ca="1" si="31"/>
        <v>#N/A</v>
      </c>
      <c r="I63" t="e">
        <f t="shared" ca="1" si="32"/>
        <v>#N/A</v>
      </c>
    </row>
    <row r="64" spans="1:9">
      <c r="A64">
        <f t="shared" si="30"/>
        <v>2708</v>
      </c>
      <c r="B64" t="str">
        <f t="shared" ca="1" si="33"/>
        <v/>
      </c>
      <c r="C64" t="str">
        <f t="shared" ca="1" si="34"/>
        <v/>
      </c>
      <c r="D64" t="str">
        <f t="shared" ca="1" si="35"/>
        <v/>
      </c>
      <c r="E64" t="str">
        <f t="shared" ca="1" si="36"/>
        <v/>
      </c>
      <c r="F64" t="str">
        <f t="shared" ca="1" si="37"/>
        <v/>
      </c>
      <c r="G64" t="e">
        <f t="shared" ca="1" si="38"/>
        <v>#N/A</v>
      </c>
      <c r="H64" t="e">
        <f t="shared" ca="1" si="31"/>
        <v>#N/A</v>
      </c>
      <c r="I64" t="e">
        <f t="shared" ca="1" si="32"/>
        <v>#N/A</v>
      </c>
    </row>
    <row r="65" spans="1:9">
      <c r="A65">
        <f t="shared" si="30"/>
        <v>2708</v>
      </c>
      <c r="B65" t="str">
        <f t="shared" ca="1" si="33"/>
        <v/>
      </c>
      <c r="C65" t="str">
        <f t="shared" ca="1" si="34"/>
        <v/>
      </c>
      <c r="D65" t="str">
        <f t="shared" ca="1" si="35"/>
        <v/>
      </c>
      <c r="E65" t="str">
        <f t="shared" ca="1" si="36"/>
        <v/>
      </c>
      <c r="F65" t="str">
        <f t="shared" ca="1" si="37"/>
        <v/>
      </c>
      <c r="G65" t="e">
        <f t="shared" ca="1" si="38"/>
        <v>#N/A</v>
      </c>
      <c r="H65" t="e">
        <f t="shared" ca="1" si="31"/>
        <v>#N/A</v>
      </c>
      <c r="I65" t="e">
        <f t="shared" ca="1" si="32"/>
        <v>#N/A</v>
      </c>
    </row>
    <row r="66" spans="1:9">
      <c r="A66">
        <f t="shared" si="30"/>
        <v>2708</v>
      </c>
      <c r="B66" t="str">
        <f t="shared" ca="1" si="33"/>
        <v/>
      </c>
      <c r="C66" t="str">
        <f t="shared" ca="1" si="34"/>
        <v/>
      </c>
      <c r="D66" t="str">
        <f t="shared" ca="1" si="35"/>
        <v/>
      </c>
      <c r="E66" t="str">
        <f t="shared" ca="1" si="36"/>
        <v/>
      </c>
      <c r="F66" t="str">
        <f t="shared" ca="1" si="37"/>
        <v/>
      </c>
      <c r="G66" t="e">
        <f t="shared" ca="1" si="38"/>
        <v>#N/A</v>
      </c>
      <c r="H66" t="e">
        <f t="shared" ca="1" si="31"/>
        <v>#N/A</v>
      </c>
      <c r="I66" t="e">
        <f t="shared" ca="1" si="32"/>
        <v>#N/A</v>
      </c>
    </row>
    <row r="67" spans="1:9">
      <c r="A67">
        <f t="shared" si="30"/>
        <v>2708</v>
      </c>
      <c r="B67" t="str">
        <f t="shared" ca="1" si="33"/>
        <v/>
      </c>
      <c r="C67" t="str">
        <f t="shared" ca="1" si="34"/>
        <v/>
      </c>
      <c r="D67" t="str">
        <f t="shared" ca="1" si="35"/>
        <v/>
      </c>
      <c r="E67" t="str">
        <f t="shared" ca="1" si="36"/>
        <v/>
      </c>
      <c r="F67" t="str">
        <f t="shared" ca="1" si="37"/>
        <v/>
      </c>
      <c r="G67" t="e">
        <f t="shared" ca="1" si="38"/>
        <v>#N/A</v>
      </c>
      <c r="H67" t="e">
        <f t="shared" ca="1" si="31"/>
        <v>#N/A</v>
      </c>
      <c r="I67" t="e">
        <f t="shared" ca="1" si="32"/>
        <v>#N/A</v>
      </c>
    </row>
    <row r="68" spans="1:9">
      <c r="A68">
        <f t="shared" si="30"/>
        <v>2708</v>
      </c>
      <c r="B68" t="str">
        <f t="shared" ca="1" si="33"/>
        <v/>
      </c>
      <c r="C68" t="str">
        <f t="shared" ca="1" si="34"/>
        <v/>
      </c>
      <c r="D68" t="str">
        <f t="shared" ca="1" si="35"/>
        <v/>
      </c>
      <c r="E68" t="str">
        <f t="shared" ca="1" si="36"/>
        <v/>
      </c>
      <c r="F68" t="str">
        <f t="shared" ca="1" si="37"/>
        <v/>
      </c>
      <c r="G68" t="e">
        <f t="shared" ca="1" si="38"/>
        <v>#N/A</v>
      </c>
      <c r="H68" t="e">
        <f t="shared" ca="1" si="31"/>
        <v>#N/A</v>
      </c>
      <c r="I68" t="e">
        <f t="shared" ca="1" si="32"/>
        <v>#N/A</v>
      </c>
    </row>
    <row r="69" spans="1:9">
      <c r="A69">
        <f t="shared" si="30"/>
        <v>2708</v>
      </c>
      <c r="B69" t="str">
        <f t="shared" ca="1" si="33"/>
        <v/>
      </c>
      <c r="C69" t="str">
        <f t="shared" ca="1" si="34"/>
        <v/>
      </c>
      <c r="D69" t="str">
        <f t="shared" ca="1" si="35"/>
        <v/>
      </c>
      <c r="E69" t="str">
        <f t="shared" ca="1" si="36"/>
        <v/>
      </c>
      <c r="F69" t="str">
        <f t="shared" ca="1" si="37"/>
        <v/>
      </c>
      <c r="G69" t="e">
        <f t="shared" ca="1" si="38"/>
        <v>#N/A</v>
      </c>
      <c r="H69" t="e">
        <f t="shared" ca="1" si="31"/>
        <v>#N/A</v>
      </c>
      <c r="I69" t="e">
        <f t="shared" ca="1" si="32"/>
        <v>#N/A</v>
      </c>
    </row>
    <row r="70" spans="1:9">
      <c r="A70">
        <f t="shared" si="30"/>
        <v>2708</v>
      </c>
      <c r="B70" t="str">
        <f t="shared" ca="1" si="33"/>
        <v/>
      </c>
      <c r="C70" t="str">
        <f t="shared" ca="1" si="34"/>
        <v/>
      </c>
      <c r="D70" t="str">
        <f t="shared" ca="1" si="35"/>
        <v/>
      </c>
      <c r="E70" t="str">
        <f t="shared" ca="1" si="36"/>
        <v/>
      </c>
      <c r="F70" t="str">
        <f t="shared" ca="1" si="37"/>
        <v/>
      </c>
      <c r="G70" t="e">
        <f t="shared" ca="1" si="38"/>
        <v>#N/A</v>
      </c>
      <c r="H70" t="e">
        <f t="shared" ca="1" si="31"/>
        <v>#N/A</v>
      </c>
      <c r="I70" t="e">
        <f t="shared" ca="1" si="32"/>
        <v>#N/A</v>
      </c>
    </row>
    <row r="71" spans="1:9">
      <c r="A71">
        <f t="shared" si="30"/>
        <v>2708</v>
      </c>
      <c r="B71" t="str">
        <f t="shared" ca="1" si="33"/>
        <v/>
      </c>
      <c r="C71" t="str">
        <f t="shared" ca="1" si="34"/>
        <v/>
      </c>
      <c r="D71" t="str">
        <f t="shared" ca="1" si="35"/>
        <v/>
      </c>
      <c r="E71" t="str">
        <f t="shared" ca="1" si="36"/>
        <v/>
      </c>
      <c r="F71" t="str">
        <f t="shared" ca="1" si="37"/>
        <v/>
      </c>
      <c r="G71" t="e">
        <f t="shared" ca="1" si="38"/>
        <v>#N/A</v>
      </c>
      <c r="H71" t="e">
        <f t="shared" ca="1" si="31"/>
        <v>#N/A</v>
      </c>
      <c r="I71" t="e">
        <f t="shared" ca="1" si="32"/>
        <v>#N/A</v>
      </c>
    </row>
    <row r="72" spans="1:9">
      <c r="A72">
        <f t="shared" si="30"/>
        <v>2708</v>
      </c>
      <c r="B72" t="str">
        <f t="shared" ca="1" si="33"/>
        <v/>
      </c>
      <c r="C72" t="str">
        <f t="shared" ca="1" si="34"/>
        <v/>
      </c>
      <c r="D72" t="str">
        <f t="shared" ca="1" si="35"/>
        <v/>
      </c>
      <c r="E72" t="str">
        <f t="shared" ca="1" si="36"/>
        <v/>
      </c>
      <c r="F72" t="str">
        <f t="shared" ca="1" si="37"/>
        <v/>
      </c>
      <c r="G72" t="e">
        <f t="shared" ca="1" si="38"/>
        <v>#N/A</v>
      </c>
      <c r="H72" t="e">
        <f t="shared" ca="1" si="31"/>
        <v>#N/A</v>
      </c>
      <c r="I72" t="e">
        <f t="shared" ca="1" si="32"/>
        <v>#N/A</v>
      </c>
    </row>
    <row r="73" spans="1:9">
      <c r="A73">
        <f t="shared" si="30"/>
        <v>2708</v>
      </c>
      <c r="B73" t="str">
        <f t="shared" ca="1" si="33"/>
        <v/>
      </c>
      <c r="C73" t="str">
        <f t="shared" ca="1" si="34"/>
        <v/>
      </c>
      <c r="D73" t="str">
        <f t="shared" ca="1" si="35"/>
        <v/>
      </c>
      <c r="E73" t="str">
        <f t="shared" ca="1" si="36"/>
        <v/>
      </c>
      <c r="F73" t="str">
        <f t="shared" ca="1" si="37"/>
        <v/>
      </c>
      <c r="G73" t="e">
        <f t="shared" ca="1" si="38"/>
        <v>#N/A</v>
      </c>
      <c r="H73" t="e">
        <f t="shared" ca="1" si="31"/>
        <v>#N/A</v>
      </c>
      <c r="I73" t="e">
        <f t="shared" ca="1" si="32"/>
        <v>#N/A</v>
      </c>
    </row>
    <row r="74" spans="1:9">
      <c r="A74">
        <f t="shared" si="30"/>
        <v>2708</v>
      </c>
      <c r="B74" t="str">
        <f t="shared" ca="1" si="33"/>
        <v/>
      </c>
      <c r="C74" t="str">
        <f t="shared" ca="1" si="34"/>
        <v/>
      </c>
      <c r="D74" t="str">
        <f t="shared" ca="1" si="35"/>
        <v/>
      </c>
      <c r="E74" t="str">
        <f t="shared" ca="1" si="36"/>
        <v/>
      </c>
      <c r="F74" t="str">
        <f t="shared" ca="1" si="37"/>
        <v/>
      </c>
      <c r="G74" t="e">
        <f t="shared" ca="1" si="38"/>
        <v>#N/A</v>
      </c>
      <c r="H74" t="e">
        <f t="shared" ca="1" si="31"/>
        <v>#N/A</v>
      </c>
      <c r="I74" t="e">
        <f t="shared" ca="1" si="32"/>
        <v>#N/A</v>
      </c>
    </row>
    <row r="75" spans="1:9">
      <c r="A75">
        <f t="shared" si="30"/>
        <v>2708</v>
      </c>
      <c r="B75" t="str">
        <f t="shared" ca="1" si="33"/>
        <v/>
      </c>
      <c r="C75" t="str">
        <f t="shared" ca="1" si="34"/>
        <v/>
      </c>
      <c r="D75" t="str">
        <f t="shared" ca="1" si="35"/>
        <v/>
      </c>
      <c r="E75" t="str">
        <f t="shared" ca="1" si="36"/>
        <v/>
      </c>
      <c r="F75" t="str">
        <f t="shared" ca="1" si="37"/>
        <v/>
      </c>
      <c r="G75" t="e">
        <f t="shared" ca="1" si="38"/>
        <v>#N/A</v>
      </c>
      <c r="H75" t="e">
        <f t="shared" ca="1" si="31"/>
        <v>#N/A</v>
      </c>
      <c r="I75" t="e">
        <f t="shared" ca="1" si="32"/>
        <v>#N/A</v>
      </c>
    </row>
    <row r="76" spans="1:9">
      <c r="A76">
        <f t="shared" si="30"/>
        <v>2708</v>
      </c>
      <c r="B76" t="str">
        <f t="shared" ca="1" si="33"/>
        <v/>
      </c>
      <c r="C76" t="str">
        <f t="shared" ca="1" si="34"/>
        <v/>
      </c>
      <c r="D76" t="str">
        <f t="shared" ca="1" si="35"/>
        <v/>
      </c>
      <c r="E76" t="str">
        <f t="shared" ca="1" si="36"/>
        <v/>
      </c>
      <c r="F76" t="str">
        <f t="shared" ca="1" si="37"/>
        <v/>
      </c>
      <c r="G76" t="e">
        <f t="shared" ca="1" si="38"/>
        <v>#N/A</v>
      </c>
      <c r="H76" t="e">
        <f t="shared" ca="1" si="31"/>
        <v>#N/A</v>
      </c>
      <c r="I76" t="e">
        <f t="shared" ca="1" si="32"/>
        <v>#N/A</v>
      </c>
    </row>
    <row r="77" spans="1:9">
      <c r="A77">
        <f t="shared" si="30"/>
        <v>2708</v>
      </c>
      <c r="B77" t="str">
        <f t="shared" ca="1" si="33"/>
        <v/>
      </c>
      <c r="C77" t="str">
        <f t="shared" ca="1" si="34"/>
        <v/>
      </c>
      <c r="D77" t="str">
        <f t="shared" ca="1" si="35"/>
        <v/>
      </c>
      <c r="E77" t="str">
        <f t="shared" ca="1" si="36"/>
        <v/>
      </c>
      <c r="F77" t="str">
        <f t="shared" ca="1" si="37"/>
        <v/>
      </c>
      <c r="G77" t="e">
        <f t="shared" ca="1" si="38"/>
        <v>#N/A</v>
      </c>
      <c r="H77" t="e">
        <f t="shared" ca="1" si="31"/>
        <v>#N/A</v>
      </c>
      <c r="I77" t="e">
        <f t="shared" ca="1" si="32"/>
        <v>#N/A</v>
      </c>
    </row>
    <row r="78" spans="1:9">
      <c r="A78">
        <f t="shared" si="30"/>
        <v>2708</v>
      </c>
      <c r="B78" t="str">
        <f t="shared" ca="1" si="33"/>
        <v/>
      </c>
      <c r="C78" t="str">
        <f t="shared" ca="1" si="34"/>
        <v/>
      </c>
      <c r="D78" t="str">
        <f t="shared" ca="1" si="35"/>
        <v/>
      </c>
      <c r="E78" t="str">
        <f t="shared" ca="1" si="36"/>
        <v/>
      </c>
      <c r="F78" t="str">
        <f t="shared" ca="1" si="37"/>
        <v/>
      </c>
      <c r="G78" t="e">
        <f t="shared" ca="1" si="38"/>
        <v>#N/A</v>
      </c>
      <c r="H78" t="e">
        <f t="shared" ca="1" si="31"/>
        <v>#N/A</v>
      </c>
      <c r="I78" t="e">
        <f t="shared" ca="1" si="32"/>
        <v>#N/A</v>
      </c>
    </row>
    <row r="79" spans="1:9">
      <c r="A79">
        <f t="shared" si="30"/>
        <v>2708</v>
      </c>
      <c r="B79" t="str">
        <f t="shared" ca="1" si="33"/>
        <v/>
      </c>
      <c r="C79" t="str">
        <f t="shared" ca="1" si="34"/>
        <v/>
      </c>
      <c r="D79" t="str">
        <f t="shared" ca="1" si="35"/>
        <v/>
      </c>
      <c r="E79" t="str">
        <f t="shared" ca="1" si="36"/>
        <v/>
      </c>
      <c r="F79" t="str">
        <f t="shared" ca="1" si="37"/>
        <v/>
      </c>
      <c r="G79" t="e">
        <f t="shared" ca="1" si="38"/>
        <v>#N/A</v>
      </c>
      <c r="H79" t="e">
        <f t="shared" ca="1" si="31"/>
        <v>#N/A</v>
      </c>
      <c r="I79" t="e">
        <f t="shared" ca="1" si="32"/>
        <v>#N/A</v>
      </c>
    </row>
    <row r="80" spans="1:9">
      <c r="A80">
        <f t="shared" si="30"/>
        <v>2708</v>
      </c>
      <c r="B80" t="str">
        <f t="shared" ca="1" si="33"/>
        <v/>
      </c>
      <c r="C80" t="str">
        <f t="shared" ca="1" si="34"/>
        <v/>
      </c>
      <c r="D80" t="str">
        <f t="shared" ca="1" si="35"/>
        <v/>
      </c>
      <c r="E80" t="str">
        <f t="shared" ca="1" si="36"/>
        <v/>
      </c>
      <c r="F80" t="str">
        <f t="shared" ca="1" si="37"/>
        <v/>
      </c>
      <c r="G80" t="e">
        <f t="shared" ca="1" si="38"/>
        <v>#N/A</v>
      </c>
      <c r="H80" t="e">
        <f t="shared" ca="1" si="31"/>
        <v>#N/A</v>
      </c>
      <c r="I80" t="e">
        <f t="shared" ca="1" si="32"/>
        <v>#N/A</v>
      </c>
    </row>
    <row r="81" spans="1:9">
      <c r="A81">
        <f t="shared" si="30"/>
        <v>2708</v>
      </c>
      <c r="B81" t="str">
        <f t="shared" ca="1" si="33"/>
        <v/>
      </c>
      <c r="C81" t="str">
        <f t="shared" ca="1" si="34"/>
        <v/>
      </c>
      <c r="D81" t="str">
        <f t="shared" ca="1" si="35"/>
        <v/>
      </c>
      <c r="E81" t="str">
        <f t="shared" ca="1" si="36"/>
        <v/>
      </c>
      <c r="F81" t="str">
        <f t="shared" ca="1" si="37"/>
        <v/>
      </c>
      <c r="G81" t="e">
        <f t="shared" ca="1" si="38"/>
        <v>#N/A</v>
      </c>
      <c r="H81" t="e">
        <f t="shared" ca="1" si="31"/>
        <v>#N/A</v>
      </c>
      <c r="I81" t="e">
        <f t="shared" ca="1" si="32"/>
        <v>#N/A</v>
      </c>
    </row>
    <row r="82" spans="1:9">
      <c r="A82">
        <f t="shared" si="30"/>
        <v>2708</v>
      </c>
      <c r="B82" t="str">
        <f t="shared" ca="1" si="33"/>
        <v/>
      </c>
      <c r="C82" t="str">
        <f t="shared" ca="1" si="34"/>
        <v/>
      </c>
      <c r="D82" t="str">
        <f t="shared" ca="1" si="35"/>
        <v/>
      </c>
      <c r="E82" t="str">
        <f t="shared" ca="1" si="36"/>
        <v/>
      </c>
      <c r="F82" t="str">
        <f t="shared" ca="1" si="37"/>
        <v/>
      </c>
      <c r="G82" t="e">
        <f t="shared" ca="1" si="38"/>
        <v>#N/A</v>
      </c>
      <c r="H82" t="e">
        <f t="shared" ca="1" si="31"/>
        <v>#N/A</v>
      </c>
      <c r="I82" t="e">
        <f t="shared" ca="1" si="32"/>
        <v>#N/A</v>
      </c>
    </row>
    <row r="83" spans="1:9">
      <c r="A83">
        <f t="shared" si="30"/>
        <v>2708</v>
      </c>
      <c r="B83" t="str">
        <f t="shared" ca="1" si="33"/>
        <v/>
      </c>
      <c r="C83" t="str">
        <f t="shared" ca="1" si="34"/>
        <v/>
      </c>
      <c r="D83" t="str">
        <f t="shared" ca="1" si="35"/>
        <v/>
      </c>
      <c r="E83" t="str">
        <f t="shared" ca="1" si="36"/>
        <v/>
      </c>
      <c r="F83" t="str">
        <f t="shared" ca="1" si="37"/>
        <v/>
      </c>
      <c r="G83" t="e">
        <f t="shared" ca="1" si="38"/>
        <v>#N/A</v>
      </c>
      <c r="H83" t="e">
        <f t="shared" ca="1" si="31"/>
        <v>#N/A</v>
      </c>
      <c r="I83" t="e">
        <f t="shared" ca="1" si="32"/>
        <v>#N/A</v>
      </c>
    </row>
  </sheetData>
  <protectedRanges>
    <protectedRange sqref="C1" name="Team Number"/>
  </protectedRanges>
  <mergeCells count="7">
    <mergeCell ref="L6:AD6"/>
    <mergeCell ref="L2:AG2"/>
    <mergeCell ref="B45:C45"/>
    <mergeCell ref="D45:E45"/>
    <mergeCell ref="A1:B1"/>
    <mergeCell ref="C2:K2"/>
    <mergeCell ref="C6:K6"/>
  </mergeCell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M98"/>
  <sheetViews>
    <sheetView zoomScale="80" zoomScaleNormal="80" workbookViewId="0">
      <selection activeCell="M24" sqref="M24"/>
    </sheetView>
  </sheetViews>
  <sheetFormatPr defaultColWidth="9.140625" defaultRowHeight="15"/>
  <cols>
    <col min="1" max="1" width="20.7109375" style="7" customWidth="1"/>
    <col min="2" max="12" width="9.140625" style="7"/>
    <col min="13" max="13" width="9.140625" style="7" customWidth="1"/>
    <col min="14" max="16384" width="9.140625" style="7"/>
  </cols>
  <sheetData>
    <row r="1" spans="1:13">
      <c r="A1" s="196" t="s">
        <v>24</v>
      </c>
      <c r="B1" s="196"/>
      <c r="C1" s="196"/>
      <c r="D1" s="196"/>
      <c r="E1" s="196"/>
      <c r="F1" s="196"/>
      <c r="G1" s="196"/>
      <c r="H1" s="196"/>
      <c r="I1" s="196"/>
      <c r="J1" s="196"/>
    </row>
    <row r="2" spans="1:13" ht="15.75" thickBot="1"/>
    <row r="3" spans="1:13" ht="15.75" customHeight="1">
      <c r="B3" s="8" t="s">
        <v>25</v>
      </c>
      <c r="C3" s="197" t="s">
        <v>26</v>
      </c>
      <c r="D3" s="198"/>
      <c r="E3" s="198"/>
      <c r="F3" s="197" t="s">
        <v>27</v>
      </c>
      <c r="G3" s="198"/>
      <c r="H3" s="198"/>
      <c r="I3" s="197" t="s">
        <v>28</v>
      </c>
      <c r="J3" s="199"/>
      <c r="L3" s="7" t="s">
        <v>294</v>
      </c>
      <c r="M3" s="7">
        <v>6135</v>
      </c>
    </row>
    <row r="4" spans="1:13" s="14" customFormat="1" ht="16.5" customHeight="1">
      <c r="A4" s="9" t="s">
        <v>29</v>
      </c>
      <c r="B4" s="10"/>
      <c r="C4" s="11" t="s">
        <v>30</v>
      </c>
      <c r="D4" s="12" t="s">
        <v>31</v>
      </c>
      <c r="E4" s="12" t="s">
        <v>32</v>
      </c>
      <c r="F4" s="11" t="s">
        <v>33</v>
      </c>
      <c r="G4" s="12" t="s">
        <v>34</v>
      </c>
      <c r="H4" s="12" t="s">
        <v>35</v>
      </c>
      <c r="I4" s="11" t="s">
        <v>20</v>
      </c>
      <c r="J4" s="13" t="s">
        <v>21</v>
      </c>
    </row>
    <row r="5" spans="1:13" ht="14.45" customHeight="1">
      <c r="A5" s="122" t="s">
        <v>293</v>
      </c>
      <c r="B5" s="20" t="s">
        <v>36</v>
      </c>
      <c r="C5" s="15">
        <v>907</v>
      </c>
      <c r="D5" s="16">
        <v>7013</v>
      </c>
      <c r="E5" s="16">
        <v>6977</v>
      </c>
      <c r="F5" s="17">
        <v>5921</v>
      </c>
      <c r="G5" s="18">
        <v>4914</v>
      </c>
      <c r="H5" s="18">
        <v>1075</v>
      </c>
      <c r="I5" s="15"/>
      <c r="J5" s="19"/>
    </row>
    <row r="6" spans="1:13" ht="14.45" customHeight="1">
      <c r="A6" s="123"/>
      <c r="B6" s="20" t="s">
        <v>37</v>
      </c>
      <c r="C6" s="15">
        <v>4618</v>
      </c>
      <c r="D6" s="16">
        <v>5288</v>
      </c>
      <c r="E6" s="16">
        <v>5699</v>
      </c>
      <c r="F6" s="17">
        <v>6917</v>
      </c>
      <c r="G6" s="18">
        <v>6130</v>
      </c>
      <c r="H6" s="18">
        <v>7520</v>
      </c>
      <c r="I6" s="15"/>
      <c r="J6" s="19"/>
    </row>
    <row r="7" spans="1:13" ht="14.45" customHeight="1">
      <c r="A7" s="123"/>
      <c r="B7" s="20" t="s">
        <v>38</v>
      </c>
      <c r="C7" s="15">
        <v>2708</v>
      </c>
      <c r="D7" s="16">
        <v>854</v>
      </c>
      <c r="E7" s="16">
        <v>5719</v>
      </c>
      <c r="F7" s="17">
        <v>6140</v>
      </c>
      <c r="G7" s="18">
        <v>4252</v>
      </c>
      <c r="H7" s="18">
        <v>6397</v>
      </c>
      <c r="I7" s="15"/>
      <c r="J7" s="19"/>
    </row>
    <row r="8" spans="1:13" ht="14.45" customHeight="1">
      <c r="A8" s="123"/>
      <c r="B8" s="20" t="s">
        <v>39</v>
      </c>
      <c r="C8" s="15">
        <v>4343</v>
      </c>
      <c r="D8" s="16">
        <v>1360</v>
      </c>
      <c r="E8" s="16">
        <v>6632</v>
      </c>
      <c r="F8" s="17">
        <v>7603</v>
      </c>
      <c r="G8" s="18">
        <v>7659</v>
      </c>
      <c r="H8" s="18">
        <v>7712</v>
      </c>
      <c r="I8" s="15"/>
      <c r="J8" s="19"/>
    </row>
    <row r="9" spans="1:13" ht="14.45" customHeight="1">
      <c r="A9" s="123"/>
      <c r="B9" s="20" t="s">
        <v>40</v>
      </c>
      <c r="C9" s="15">
        <v>7200</v>
      </c>
      <c r="D9" s="16">
        <v>7614</v>
      </c>
      <c r="E9" s="16">
        <v>919</v>
      </c>
      <c r="F9" s="17">
        <v>6323</v>
      </c>
      <c r="G9" s="18">
        <v>5596</v>
      </c>
      <c r="H9" s="18">
        <v>6975</v>
      </c>
      <c r="I9" s="15"/>
      <c r="J9" s="19"/>
    </row>
    <row r="10" spans="1:13" ht="14.45" customHeight="1">
      <c r="A10" s="123"/>
      <c r="B10" s="20" t="s">
        <v>41</v>
      </c>
      <c r="C10" s="15">
        <v>4777</v>
      </c>
      <c r="D10" s="16">
        <v>7721</v>
      </c>
      <c r="E10" s="16">
        <v>6141</v>
      </c>
      <c r="F10" s="17">
        <v>7558</v>
      </c>
      <c r="G10" s="18">
        <v>7735</v>
      </c>
      <c r="H10" s="18">
        <v>6378</v>
      </c>
      <c r="I10" s="15"/>
      <c r="J10" s="19"/>
    </row>
    <row r="11" spans="1:13" ht="14.45" customHeight="1">
      <c r="A11" s="123"/>
      <c r="B11" s="20" t="s">
        <v>42</v>
      </c>
      <c r="C11" s="15">
        <v>7712</v>
      </c>
      <c r="D11" s="16">
        <v>4343</v>
      </c>
      <c r="E11" s="16">
        <v>5699</v>
      </c>
      <c r="F11" s="17">
        <v>6977</v>
      </c>
      <c r="G11" s="18">
        <v>5921</v>
      </c>
      <c r="H11" s="18">
        <v>6130</v>
      </c>
      <c r="I11" s="15"/>
      <c r="J11" s="19"/>
    </row>
    <row r="12" spans="1:13" ht="14.45" customHeight="1">
      <c r="A12" s="123"/>
      <c r="B12" s="20" t="s">
        <v>43</v>
      </c>
      <c r="C12" s="15">
        <v>4618</v>
      </c>
      <c r="D12" s="16">
        <v>6975</v>
      </c>
      <c r="E12" s="16">
        <v>7520</v>
      </c>
      <c r="F12" s="17">
        <v>5596</v>
      </c>
      <c r="G12" s="18">
        <v>2708</v>
      </c>
      <c r="H12" s="18">
        <v>6632</v>
      </c>
      <c r="I12" s="15"/>
      <c r="J12" s="19"/>
    </row>
    <row r="13" spans="1:13" ht="14.45" customHeight="1">
      <c r="A13" s="123"/>
      <c r="B13" s="20" t="s">
        <v>44</v>
      </c>
      <c r="C13" s="15">
        <v>6378</v>
      </c>
      <c r="D13" s="16">
        <v>6323</v>
      </c>
      <c r="E13" s="16">
        <v>7659</v>
      </c>
      <c r="F13" s="17">
        <v>6140</v>
      </c>
      <c r="G13" s="18">
        <v>7721</v>
      </c>
      <c r="H13" s="18">
        <v>1075</v>
      </c>
      <c r="I13" s="15"/>
      <c r="J13" s="19"/>
    </row>
    <row r="14" spans="1:13" ht="14.45" customHeight="1">
      <c r="A14" s="123"/>
      <c r="B14" s="20" t="s">
        <v>45</v>
      </c>
      <c r="C14" s="15">
        <v>854</v>
      </c>
      <c r="D14" s="16">
        <v>5288</v>
      </c>
      <c r="E14" s="16">
        <v>7558</v>
      </c>
      <c r="F14" s="17">
        <v>7200</v>
      </c>
      <c r="G14" s="18">
        <v>6141</v>
      </c>
      <c r="H14" s="18">
        <v>6917</v>
      </c>
      <c r="I14" s="15"/>
      <c r="J14" s="19"/>
    </row>
    <row r="15" spans="1:13" ht="14.45" customHeight="1">
      <c r="A15" s="123"/>
      <c r="B15" s="20" t="s">
        <v>46</v>
      </c>
      <c r="C15" s="15">
        <v>7735</v>
      </c>
      <c r="D15" s="16">
        <v>4777</v>
      </c>
      <c r="E15" s="16">
        <v>6397</v>
      </c>
      <c r="F15" s="17">
        <v>7013</v>
      </c>
      <c r="G15" s="18">
        <v>4914</v>
      </c>
      <c r="H15" s="18">
        <v>7614</v>
      </c>
      <c r="I15" s="15"/>
      <c r="J15" s="19"/>
    </row>
    <row r="16" spans="1:13" ht="14.45" customHeight="1">
      <c r="A16" s="123"/>
      <c r="B16" s="20" t="s">
        <v>47</v>
      </c>
      <c r="C16" s="15">
        <v>5719</v>
      </c>
      <c r="D16" s="16">
        <v>1360</v>
      </c>
      <c r="E16" s="16">
        <v>919</v>
      </c>
      <c r="F16" s="17">
        <v>7603</v>
      </c>
      <c r="G16" s="18">
        <v>907</v>
      </c>
      <c r="H16" s="18">
        <v>4252</v>
      </c>
      <c r="I16" s="15"/>
      <c r="J16" s="19"/>
    </row>
    <row r="17" spans="1:10" ht="14.45" customHeight="1">
      <c r="A17" s="123"/>
      <c r="B17" s="20" t="s">
        <v>48</v>
      </c>
      <c r="C17" s="15">
        <v>6917</v>
      </c>
      <c r="D17" s="16">
        <v>7659</v>
      </c>
      <c r="E17" s="16">
        <v>5288</v>
      </c>
      <c r="F17" s="17">
        <v>4343</v>
      </c>
      <c r="G17" s="18">
        <v>2708</v>
      </c>
      <c r="H17" s="18">
        <v>6977</v>
      </c>
      <c r="I17" s="15"/>
      <c r="J17" s="19"/>
    </row>
    <row r="18" spans="1:10" ht="14.45" customHeight="1">
      <c r="A18" s="123"/>
      <c r="B18" s="20" t="s">
        <v>49</v>
      </c>
      <c r="C18" s="15">
        <v>5699</v>
      </c>
      <c r="D18" s="16">
        <v>6130</v>
      </c>
      <c r="E18" s="16">
        <v>6323</v>
      </c>
      <c r="F18" s="17">
        <v>854</v>
      </c>
      <c r="G18" s="18">
        <v>6378</v>
      </c>
      <c r="H18" s="18">
        <v>6975</v>
      </c>
      <c r="I18" s="15"/>
      <c r="J18" s="19"/>
    </row>
    <row r="19" spans="1:10" ht="14.45" customHeight="1">
      <c r="A19" s="123"/>
      <c r="B19" s="20" t="s">
        <v>50</v>
      </c>
      <c r="C19" s="15">
        <v>6632</v>
      </c>
      <c r="D19" s="16">
        <v>7735</v>
      </c>
      <c r="E19" s="16">
        <v>4914</v>
      </c>
      <c r="F19" s="17">
        <v>7721</v>
      </c>
      <c r="G19" s="18">
        <v>7200</v>
      </c>
      <c r="H19" s="18">
        <v>907</v>
      </c>
      <c r="I19" s="15"/>
      <c r="J19" s="19"/>
    </row>
    <row r="20" spans="1:10" ht="14.45" customHeight="1">
      <c r="A20" s="123"/>
      <c r="B20" s="20" t="s">
        <v>51</v>
      </c>
      <c r="C20" s="15">
        <v>6141</v>
      </c>
      <c r="D20" s="16">
        <v>5596</v>
      </c>
      <c r="E20" s="16">
        <v>4252</v>
      </c>
      <c r="F20" s="17">
        <v>7013</v>
      </c>
      <c r="G20" s="18">
        <v>7603</v>
      </c>
      <c r="H20" s="18">
        <v>6140</v>
      </c>
      <c r="I20" s="15"/>
      <c r="J20" s="19"/>
    </row>
    <row r="21" spans="1:10" ht="14.45" customHeight="1">
      <c r="A21" s="123"/>
      <c r="B21" s="20" t="s">
        <v>52</v>
      </c>
      <c r="C21" s="15">
        <v>7558</v>
      </c>
      <c r="D21" s="16">
        <v>5921</v>
      </c>
      <c r="E21" s="16">
        <v>4618</v>
      </c>
      <c r="F21" s="17">
        <v>6397</v>
      </c>
      <c r="G21" s="18">
        <v>5719</v>
      </c>
      <c r="H21" s="18">
        <v>7520</v>
      </c>
      <c r="I21" s="15"/>
      <c r="J21" s="19"/>
    </row>
    <row r="22" spans="1:10" ht="14.45" customHeight="1">
      <c r="A22" s="123"/>
      <c r="B22" s="20" t="s">
        <v>53</v>
      </c>
      <c r="C22" s="15">
        <v>7712</v>
      </c>
      <c r="D22" s="16">
        <v>1360</v>
      </c>
      <c r="E22" s="16">
        <v>7614</v>
      </c>
      <c r="F22" s="17">
        <v>919</v>
      </c>
      <c r="G22" s="18">
        <v>1075</v>
      </c>
      <c r="H22" s="18">
        <v>4777</v>
      </c>
      <c r="I22" s="15"/>
      <c r="J22" s="19"/>
    </row>
    <row r="23" spans="1:10" ht="14.45" customHeight="1">
      <c r="A23" s="123"/>
      <c r="B23" s="20" t="s">
        <v>54</v>
      </c>
      <c r="C23" s="15">
        <v>2708</v>
      </c>
      <c r="D23" s="16">
        <v>4252</v>
      </c>
      <c r="E23" s="16">
        <v>5288</v>
      </c>
      <c r="F23" s="17">
        <v>5699</v>
      </c>
      <c r="G23" s="18">
        <v>7200</v>
      </c>
      <c r="H23" s="18">
        <v>6632</v>
      </c>
      <c r="I23" s="15"/>
      <c r="J23" s="19"/>
    </row>
    <row r="24" spans="1:10" ht="14.45" customHeight="1">
      <c r="A24" s="123"/>
      <c r="B24" s="20" t="s">
        <v>55</v>
      </c>
      <c r="C24" s="15">
        <v>4618</v>
      </c>
      <c r="D24" s="16">
        <v>6977</v>
      </c>
      <c r="E24" s="16">
        <v>6917</v>
      </c>
      <c r="F24" s="17">
        <v>5719</v>
      </c>
      <c r="G24" s="18">
        <v>7735</v>
      </c>
      <c r="H24" s="18">
        <v>7013</v>
      </c>
      <c r="I24" s="15"/>
      <c r="J24" s="19"/>
    </row>
    <row r="25" spans="1:10" ht="14.45" customHeight="1">
      <c r="A25" s="123"/>
      <c r="B25" s="20" t="s">
        <v>56</v>
      </c>
      <c r="C25" s="15">
        <v>7603</v>
      </c>
      <c r="D25" s="16">
        <v>4777</v>
      </c>
      <c r="E25" s="16">
        <v>6130</v>
      </c>
      <c r="F25" s="17">
        <v>7614</v>
      </c>
      <c r="G25" s="18">
        <v>907</v>
      </c>
      <c r="H25" s="18">
        <v>5921</v>
      </c>
      <c r="I25" s="15"/>
      <c r="J25" s="19"/>
    </row>
    <row r="26" spans="1:10" ht="14.45" customHeight="1">
      <c r="A26" s="123"/>
      <c r="B26" s="20" t="s">
        <v>57</v>
      </c>
      <c r="C26" s="15">
        <v>5596</v>
      </c>
      <c r="D26" s="16">
        <v>6140</v>
      </c>
      <c r="E26" s="16">
        <v>919</v>
      </c>
      <c r="F26" s="17">
        <v>4914</v>
      </c>
      <c r="G26" s="18">
        <v>6141</v>
      </c>
      <c r="H26" s="18">
        <v>6378</v>
      </c>
      <c r="I26" s="15"/>
      <c r="J26" s="19"/>
    </row>
    <row r="27" spans="1:10" ht="14.45" customHeight="1">
      <c r="A27" s="123"/>
      <c r="B27" s="20" t="s">
        <v>58</v>
      </c>
      <c r="C27" s="15">
        <v>7659</v>
      </c>
      <c r="D27" s="16">
        <v>1075</v>
      </c>
      <c r="E27" s="16">
        <v>854</v>
      </c>
      <c r="F27" s="17">
        <v>6975</v>
      </c>
      <c r="G27" s="18">
        <v>7712</v>
      </c>
      <c r="H27" s="18">
        <v>7558</v>
      </c>
      <c r="I27" s="15"/>
      <c r="J27" s="19"/>
    </row>
    <row r="28" spans="1:10" ht="14.45" customHeight="1">
      <c r="A28" s="123"/>
      <c r="B28" s="20" t="s">
        <v>59</v>
      </c>
      <c r="C28" s="15">
        <v>7520</v>
      </c>
      <c r="D28" s="16">
        <v>1360</v>
      </c>
      <c r="E28" s="16">
        <v>6323</v>
      </c>
      <c r="F28" s="17">
        <v>7721</v>
      </c>
      <c r="G28" s="18">
        <v>4343</v>
      </c>
      <c r="H28" s="18">
        <v>6397</v>
      </c>
      <c r="I28" s="15"/>
      <c r="J28" s="19"/>
    </row>
    <row r="29" spans="1:10" ht="14.45" customHeight="1">
      <c r="A29" s="123"/>
      <c r="B29" s="20" t="s">
        <v>60</v>
      </c>
      <c r="C29" s="15">
        <v>6632</v>
      </c>
      <c r="D29" s="16">
        <v>6977</v>
      </c>
      <c r="E29" s="16">
        <v>6140</v>
      </c>
      <c r="F29" s="17">
        <v>4777</v>
      </c>
      <c r="G29" s="18">
        <v>6917</v>
      </c>
      <c r="H29" s="18">
        <v>5596</v>
      </c>
      <c r="I29" s="15"/>
      <c r="J29" s="19"/>
    </row>
    <row r="30" spans="1:10" ht="14.45" customHeight="1">
      <c r="A30" s="123"/>
      <c r="B30" s="20" t="s">
        <v>61</v>
      </c>
      <c r="C30" s="15">
        <v>7558</v>
      </c>
      <c r="D30" s="16">
        <v>7659</v>
      </c>
      <c r="E30" s="16">
        <v>907</v>
      </c>
      <c r="F30" s="17">
        <v>6130</v>
      </c>
      <c r="G30" s="18">
        <v>6378</v>
      </c>
      <c r="H30" s="18">
        <v>4252</v>
      </c>
      <c r="I30" s="15"/>
      <c r="J30" s="19"/>
    </row>
    <row r="31" spans="1:10" ht="14.45" customHeight="1">
      <c r="A31" s="123"/>
      <c r="B31" s="20" t="s">
        <v>62</v>
      </c>
      <c r="C31" s="15">
        <v>4914</v>
      </c>
      <c r="D31" s="16">
        <v>7721</v>
      </c>
      <c r="E31" s="16">
        <v>7603</v>
      </c>
      <c r="F31" s="17">
        <v>854</v>
      </c>
      <c r="G31" s="18">
        <v>4618</v>
      </c>
      <c r="H31" s="18">
        <v>7200</v>
      </c>
      <c r="I31" s="15"/>
      <c r="J31" s="19"/>
    </row>
    <row r="32" spans="1:10" ht="14.45" customHeight="1">
      <c r="A32" s="123"/>
      <c r="B32" s="20" t="s">
        <v>63</v>
      </c>
      <c r="C32" s="15">
        <v>4343</v>
      </c>
      <c r="D32" s="16">
        <v>7013</v>
      </c>
      <c r="E32" s="16">
        <v>1075</v>
      </c>
      <c r="F32" s="17">
        <v>7520</v>
      </c>
      <c r="G32" s="18">
        <v>919</v>
      </c>
      <c r="H32" s="18">
        <v>7712</v>
      </c>
      <c r="I32" s="15"/>
      <c r="J32" s="19"/>
    </row>
    <row r="33" spans="1:10" ht="14.45" customHeight="1">
      <c r="A33" s="123"/>
      <c r="B33" s="20" t="s">
        <v>64</v>
      </c>
      <c r="C33" s="15">
        <v>6975</v>
      </c>
      <c r="D33" s="16">
        <v>2708</v>
      </c>
      <c r="E33" s="16">
        <v>7735</v>
      </c>
      <c r="F33" s="17">
        <v>5288</v>
      </c>
      <c r="G33" s="18">
        <v>7614</v>
      </c>
      <c r="H33" s="18">
        <v>6323</v>
      </c>
      <c r="I33" s="15"/>
      <c r="J33" s="19"/>
    </row>
    <row r="34" spans="1:10" ht="14.45" customHeight="1">
      <c r="A34" s="123"/>
      <c r="B34" s="20" t="s">
        <v>65</v>
      </c>
      <c r="C34" s="15">
        <v>1360</v>
      </c>
      <c r="D34" s="16">
        <v>6397</v>
      </c>
      <c r="E34" s="16">
        <v>6141</v>
      </c>
      <c r="F34" s="17">
        <v>5921</v>
      </c>
      <c r="G34" s="18">
        <v>5719</v>
      </c>
      <c r="H34" s="18">
        <v>5699</v>
      </c>
      <c r="I34" s="15"/>
      <c r="J34" s="19"/>
    </row>
    <row r="35" spans="1:10" ht="14.45" customHeight="1">
      <c r="A35" s="123"/>
      <c r="B35" s="20" t="s">
        <v>66</v>
      </c>
      <c r="C35" s="15">
        <v>5596</v>
      </c>
      <c r="D35" s="16">
        <v>6378</v>
      </c>
      <c r="E35" s="16">
        <v>7013</v>
      </c>
      <c r="F35" s="17">
        <v>7659</v>
      </c>
      <c r="G35" s="18">
        <v>4618</v>
      </c>
      <c r="H35" s="18">
        <v>4343</v>
      </c>
      <c r="I35" s="15"/>
      <c r="J35" s="19"/>
    </row>
    <row r="36" spans="1:10" ht="14.45" customHeight="1">
      <c r="A36" s="123"/>
      <c r="B36" s="20" t="s">
        <v>67</v>
      </c>
      <c r="C36" s="15">
        <v>6140</v>
      </c>
      <c r="D36" s="16">
        <v>907</v>
      </c>
      <c r="E36" s="16">
        <v>6130</v>
      </c>
      <c r="F36" s="17">
        <v>7200</v>
      </c>
      <c r="G36" s="18">
        <v>7520</v>
      </c>
      <c r="H36" s="18">
        <v>7735</v>
      </c>
      <c r="I36" s="15"/>
      <c r="J36" s="19"/>
    </row>
    <row r="37" spans="1:10" ht="14.45" customHeight="1">
      <c r="A37" s="123"/>
      <c r="B37" s="20" t="s">
        <v>68</v>
      </c>
      <c r="C37" s="15">
        <v>6323</v>
      </c>
      <c r="D37" s="16">
        <v>6397</v>
      </c>
      <c r="E37" s="16">
        <v>1075</v>
      </c>
      <c r="F37" s="17">
        <v>7558</v>
      </c>
      <c r="G37" s="18">
        <v>6141</v>
      </c>
      <c r="H37" s="18">
        <v>2708</v>
      </c>
      <c r="I37" s="15"/>
      <c r="J37" s="19"/>
    </row>
    <row r="38" spans="1:10" ht="14.45" customHeight="1">
      <c r="A38" s="123"/>
      <c r="B38" s="20" t="s">
        <v>69</v>
      </c>
      <c r="C38" s="15">
        <v>919</v>
      </c>
      <c r="D38" s="16">
        <v>5699</v>
      </c>
      <c r="E38" s="16">
        <v>7603</v>
      </c>
      <c r="F38" s="17">
        <v>5288</v>
      </c>
      <c r="G38" s="18">
        <v>6632</v>
      </c>
      <c r="H38" s="18">
        <v>7721</v>
      </c>
      <c r="I38" s="15"/>
      <c r="J38" s="19"/>
    </row>
    <row r="39" spans="1:10" ht="14.45" customHeight="1">
      <c r="A39" s="123"/>
      <c r="B39" s="20" t="s">
        <v>70</v>
      </c>
      <c r="C39" s="15">
        <v>6917</v>
      </c>
      <c r="D39" s="16">
        <v>854</v>
      </c>
      <c r="E39" s="16">
        <v>5921</v>
      </c>
      <c r="F39" s="17">
        <v>4777</v>
      </c>
      <c r="G39" s="18">
        <v>7614</v>
      </c>
      <c r="H39" s="18">
        <v>5719</v>
      </c>
      <c r="I39" s="15"/>
      <c r="J39" s="19"/>
    </row>
    <row r="40" spans="1:10" ht="14.45" customHeight="1">
      <c r="A40" s="123"/>
      <c r="B40" s="20" t="s">
        <v>71</v>
      </c>
      <c r="C40" s="15">
        <v>4252</v>
      </c>
      <c r="D40" s="16">
        <v>7712</v>
      </c>
      <c r="E40" s="16">
        <v>4914</v>
      </c>
      <c r="F40" s="17">
        <v>6975</v>
      </c>
      <c r="G40" s="18">
        <v>6977</v>
      </c>
      <c r="H40" s="18">
        <v>1360</v>
      </c>
      <c r="I40" s="15"/>
      <c r="J40" s="19"/>
    </row>
    <row r="41" spans="1:10" ht="14.45" customHeight="1">
      <c r="A41" s="123"/>
      <c r="B41" s="20" t="s">
        <v>72</v>
      </c>
      <c r="C41" s="15">
        <v>7659</v>
      </c>
      <c r="D41" s="16">
        <v>7520</v>
      </c>
      <c r="E41" s="16">
        <v>7013</v>
      </c>
      <c r="F41" s="17">
        <v>2708</v>
      </c>
      <c r="G41" s="18">
        <v>7603</v>
      </c>
      <c r="H41" s="18">
        <v>6323</v>
      </c>
      <c r="I41" s="15"/>
      <c r="J41" s="19"/>
    </row>
    <row r="42" spans="1:10" ht="14.45" customHeight="1">
      <c r="A42" s="123"/>
      <c r="B42" s="20" t="s">
        <v>73</v>
      </c>
      <c r="C42" s="15">
        <v>1075</v>
      </c>
      <c r="D42" s="16">
        <v>7200</v>
      </c>
      <c r="E42" s="16">
        <v>6378</v>
      </c>
      <c r="F42" s="17">
        <v>7735</v>
      </c>
      <c r="G42" s="18">
        <v>5921</v>
      </c>
      <c r="H42" s="18">
        <v>5288</v>
      </c>
      <c r="I42" s="15"/>
      <c r="J42" s="19"/>
    </row>
    <row r="43" spans="1:10" ht="14.45" customHeight="1">
      <c r="A43" s="123"/>
      <c r="B43" s="20" t="s">
        <v>74</v>
      </c>
      <c r="C43" s="15">
        <v>6141</v>
      </c>
      <c r="D43" s="16">
        <v>919</v>
      </c>
      <c r="E43" s="16">
        <v>854</v>
      </c>
      <c r="F43" s="17">
        <v>7614</v>
      </c>
      <c r="G43" s="18">
        <v>4252</v>
      </c>
      <c r="H43" s="18">
        <v>6977</v>
      </c>
      <c r="I43" s="15"/>
      <c r="J43" s="19"/>
    </row>
    <row r="44" spans="1:10" ht="14.45" customHeight="1">
      <c r="A44" s="123"/>
      <c r="B44" s="20" t="s">
        <v>75</v>
      </c>
      <c r="C44" s="15">
        <v>6397</v>
      </c>
      <c r="D44" s="16">
        <v>5596</v>
      </c>
      <c r="E44" s="16">
        <v>7558</v>
      </c>
      <c r="F44" s="17">
        <v>5699</v>
      </c>
      <c r="G44" s="18">
        <v>907</v>
      </c>
      <c r="H44" s="18">
        <v>1360</v>
      </c>
      <c r="I44" s="15"/>
      <c r="J44" s="19"/>
    </row>
    <row r="45" spans="1:10" ht="14.45" customHeight="1">
      <c r="A45" s="123"/>
      <c r="B45" s="20" t="s">
        <v>76</v>
      </c>
      <c r="C45" s="15">
        <v>4777</v>
      </c>
      <c r="D45" s="16">
        <v>6632</v>
      </c>
      <c r="E45" s="16">
        <v>4618</v>
      </c>
      <c r="F45" s="17">
        <v>6130</v>
      </c>
      <c r="G45" s="18">
        <v>4343</v>
      </c>
      <c r="H45" s="18">
        <v>4914</v>
      </c>
      <c r="I45" s="15"/>
      <c r="J45" s="19"/>
    </row>
    <row r="46" spans="1:10" ht="14.45" customHeight="1">
      <c r="A46" s="123"/>
      <c r="B46" s="20" t="s">
        <v>77</v>
      </c>
      <c r="C46" s="15">
        <v>5719</v>
      </c>
      <c r="D46" s="16">
        <v>6975</v>
      </c>
      <c r="E46" s="16">
        <v>7721</v>
      </c>
      <c r="F46" s="17">
        <v>7712</v>
      </c>
      <c r="G46" s="18">
        <v>6917</v>
      </c>
      <c r="H46" s="18">
        <v>6140</v>
      </c>
      <c r="I46" s="15"/>
      <c r="J46" s="19"/>
    </row>
    <row r="47" spans="1:10" ht="14.45" customHeight="1">
      <c r="A47" s="123"/>
      <c r="B47" s="20" t="s">
        <v>78</v>
      </c>
      <c r="C47" s="15">
        <v>5288</v>
      </c>
      <c r="D47" s="16">
        <v>1075</v>
      </c>
      <c r="E47" s="16">
        <v>1360</v>
      </c>
      <c r="F47" s="17">
        <v>5699</v>
      </c>
      <c r="G47" s="18">
        <v>854</v>
      </c>
      <c r="H47" s="18">
        <v>7013</v>
      </c>
      <c r="I47" s="15"/>
      <c r="J47" s="19"/>
    </row>
    <row r="48" spans="1:10" ht="14.45" customHeight="1">
      <c r="A48" s="123"/>
      <c r="B48" s="20" t="s">
        <v>79</v>
      </c>
      <c r="C48" s="15">
        <v>6378</v>
      </c>
      <c r="D48" s="16">
        <v>6397</v>
      </c>
      <c r="E48" s="16">
        <v>7614</v>
      </c>
      <c r="F48" s="17">
        <v>6977</v>
      </c>
      <c r="G48" s="18">
        <v>7603</v>
      </c>
      <c r="H48" s="18">
        <v>7200</v>
      </c>
      <c r="I48" s="15"/>
      <c r="J48" s="19"/>
    </row>
    <row r="49" spans="1:10" ht="14.45" customHeight="1">
      <c r="A49" s="123"/>
      <c r="B49" s="20" t="s">
        <v>80</v>
      </c>
      <c r="C49" s="15">
        <v>907</v>
      </c>
      <c r="D49" s="16">
        <v>6323</v>
      </c>
      <c r="E49" s="16">
        <v>6917</v>
      </c>
      <c r="F49" s="17">
        <v>6141</v>
      </c>
      <c r="G49" s="18">
        <v>6632</v>
      </c>
      <c r="H49" s="18">
        <v>7712</v>
      </c>
      <c r="I49" s="15"/>
      <c r="J49" s="19"/>
    </row>
    <row r="50" spans="1:10" ht="14.45" customHeight="1">
      <c r="A50" s="123"/>
      <c r="B50" s="20" t="s">
        <v>81</v>
      </c>
      <c r="C50" s="15">
        <v>6130</v>
      </c>
      <c r="D50" s="16">
        <v>7558</v>
      </c>
      <c r="E50" s="16">
        <v>5719</v>
      </c>
      <c r="F50" s="17">
        <v>7735</v>
      </c>
      <c r="G50" s="18">
        <v>5596</v>
      </c>
      <c r="H50" s="18">
        <v>4343</v>
      </c>
      <c r="I50" s="15"/>
      <c r="J50" s="19"/>
    </row>
    <row r="51" spans="1:10" ht="14.45" customHeight="1">
      <c r="A51" s="123"/>
      <c r="B51" s="20" t="s">
        <v>82</v>
      </c>
      <c r="C51" s="15">
        <v>4618</v>
      </c>
      <c r="D51" s="16">
        <v>6140</v>
      </c>
      <c r="E51" s="16">
        <v>2708</v>
      </c>
      <c r="F51" s="17">
        <v>4252</v>
      </c>
      <c r="G51" s="18">
        <v>6975</v>
      </c>
      <c r="H51" s="18">
        <v>4777</v>
      </c>
      <c r="I51" s="15"/>
      <c r="J51" s="19"/>
    </row>
    <row r="52" spans="1:10" ht="14.45" customHeight="1">
      <c r="A52" s="123"/>
      <c r="B52" s="20" t="s">
        <v>83</v>
      </c>
      <c r="C52" s="15">
        <v>7721</v>
      </c>
      <c r="D52" s="16">
        <v>7520</v>
      </c>
      <c r="E52" s="16">
        <v>5921</v>
      </c>
      <c r="F52" s="17">
        <v>7659</v>
      </c>
      <c r="G52" s="18">
        <v>919</v>
      </c>
      <c r="H52" s="18">
        <v>4914</v>
      </c>
      <c r="I52" s="15"/>
      <c r="J52" s="19"/>
    </row>
    <row r="53" spans="1:10" ht="14.45" customHeight="1">
      <c r="A53" s="123"/>
      <c r="B53" s="20" t="s">
        <v>84</v>
      </c>
      <c r="C53" s="15">
        <v>7614</v>
      </c>
      <c r="D53" s="16">
        <v>5699</v>
      </c>
      <c r="E53" s="16">
        <v>5596</v>
      </c>
      <c r="F53" s="17">
        <v>1075</v>
      </c>
      <c r="G53" s="18">
        <v>5719</v>
      </c>
      <c r="H53" s="18">
        <v>907</v>
      </c>
      <c r="I53" s="15"/>
      <c r="J53" s="19"/>
    </row>
    <row r="54" spans="1:10" ht="14.45" customHeight="1">
      <c r="A54" s="123"/>
      <c r="B54" s="20" t="s">
        <v>85</v>
      </c>
      <c r="C54" s="15">
        <v>6975</v>
      </c>
      <c r="D54" s="16">
        <v>5288</v>
      </c>
      <c r="E54" s="16">
        <v>7603</v>
      </c>
      <c r="F54" s="17">
        <v>6323</v>
      </c>
      <c r="G54" s="18">
        <v>7558</v>
      </c>
      <c r="H54" s="18">
        <v>6977</v>
      </c>
      <c r="I54" s="15"/>
      <c r="J54" s="19"/>
    </row>
    <row r="55" spans="1:10" ht="14.45" customHeight="1">
      <c r="A55" s="123"/>
      <c r="B55" s="20" t="s">
        <v>86</v>
      </c>
      <c r="C55" s="15">
        <v>2708</v>
      </c>
      <c r="D55" s="16">
        <v>7721</v>
      </c>
      <c r="E55" s="16">
        <v>7712</v>
      </c>
      <c r="F55" s="17">
        <v>7735</v>
      </c>
      <c r="G55" s="18">
        <v>6141</v>
      </c>
      <c r="H55" s="18">
        <v>4618</v>
      </c>
      <c r="I55" s="15"/>
      <c r="J55" s="19"/>
    </row>
    <row r="56" spans="1:10" ht="14.45" customHeight="1">
      <c r="A56" s="123"/>
      <c r="B56" s="20" t="s">
        <v>87</v>
      </c>
      <c r="C56" s="15">
        <v>919</v>
      </c>
      <c r="D56" s="16">
        <v>4343</v>
      </c>
      <c r="E56" s="16">
        <v>4252</v>
      </c>
      <c r="F56" s="17">
        <v>6917</v>
      </c>
      <c r="G56" s="18">
        <v>6397</v>
      </c>
      <c r="H56" s="18">
        <v>4914</v>
      </c>
      <c r="I56" s="15"/>
      <c r="J56" s="19"/>
    </row>
    <row r="57" spans="1:10" ht="14.45" customHeight="1">
      <c r="A57" s="123"/>
      <c r="B57" s="20" t="s">
        <v>88</v>
      </c>
      <c r="C57" s="15">
        <v>6632</v>
      </c>
      <c r="D57" s="16">
        <v>6378</v>
      </c>
      <c r="E57" s="16">
        <v>7520</v>
      </c>
      <c r="F57" s="17">
        <v>1360</v>
      </c>
      <c r="G57" s="18">
        <v>854</v>
      </c>
      <c r="H57" s="18">
        <v>4777</v>
      </c>
      <c r="I57" s="15"/>
      <c r="J57" s="19"/>
    </row>
    <row r="58" spans="1:10" ht="14.45" customHeight="1">
      <c r="A58" s="123"/>
      <c r="B58" s="20" t="s">
        <v>89</v>
      </c>
      <c r="C58" s="15">
        <v>7013</v>
      </c>
      <c r="D58" s="16">
        <v>6130</v>
      </c>
      <c r="E58" s="16">
        <v>7200</v>
      </c>
      <c r="F58" s="17">
        <v>5921</v>
      </c>
      <c r="G58" s="18">
        <v>6140</v>
      </c>
      <c r="H58" s="18">
        <v>7659</v>
      </c>
      <c r="I58" s="15"/>
      <c r="J58" s="19"/>
    </row>
    <row r="59" spans="1:10" ht="14.45" customHeight="1">
      <c r="A59" s="123"/>
      <c r="B59" s="20" t="s">
        <v>90</v>
      </c>
      <c r="C59" s="15">
        <v>6141</v>
      </c>
      <c r="D59" s="16">
        <v>7603</v>
      </c>
      <c r="E59" s="16">
        <v>4343</v>
      </c>
      <c r="F59" s="17">
        <v>4914</v>
      </c>
      <c r="G59" s="18">
        <v>5699</v>
      </c>
      <c r="H59" s="18">
        <v>6975</v>
      </c>
      <c r="I59" s="15"/>
      <c r="J59" s="19"/>
    </row>
    <row r="60" spans="1:10" ht="14.45" customHeight="1">
      <c r="A60" s="123"/>
      <c r="B60" s="20" t="s">
        <v>91</v>
      </c>
      <c r="C60" s="15">
        <v>6378</v>
      </c>
      <c r="D60" s="16">
        <v>7712</v>
      </c>
      <c r="E60" s="16">
        <v>5719</v>
      </c>
      <c r="F60" s="17">
        <v>7520</v>
      </c>
      <c r="G60" s="18">
        <v>4777</v>
      </c>
      <c r="H60" s="18">
        <v>5288</v>
      </c>
      <c r="I60" s="15"/>
      <c r="J60" s="19"/>
    </row>
    <row r="61" spans="1:10" ht="14.45" customHeight="1">
      <c r="A61" s="123"/>
      <c r="B61" s="20" t="s">
        <v>92</v>
      </c>
      <c r="C61" s="15">
        <v>1075</v>
      </c>
      <c r="D61" s="16">
        <v>7614</v>
      </c>
      <c r="E61" s="16">
        <v>6917</v>
      </c>
      <c r="F61" s="17">
        <v>6397</v>
      </c>
      <c r="G61" s="18">
        <v>4618</v>
      </c>
      <c r="H61" s="18">
        <v>6130</v>
      </c>
      <c r="I61" s="15"/>
      <c r="J61" s="19"/>
    </row>
    <row r="62" spans="1:10" ht="14.45" customHeight="1">
      <c r="A62" s="123"/>
      <c r="B62" s="20" t="s">
        <v>93</v>
      </c>
      <c r="C62" s="15">
        <v>854</v>
      </c>
      <c r="D62" s="16">
        <v>7735</v>
      </c>
      <c r="E62" s="16">
        <v>907</v>
      </c>
      <c r="F62" s="17">
        <v>1360</v>
      </c>
      <c r="G62" s="18">
        <v>2708</v>
      </c>
      <c r="H62" s="18">
        <v>7659</v>
      </c>
      <c r="I62" s="15"/>
      <c r="J62" s="19"/>
    </row>
    <row r="63" spans="1:10" ht="14.45" customHeight="1">
      <c r="A63" s="123"/>
      <c r="B63" s="20" t="s">
        <v>94</v>
      </c>
      <c r="C63" s="15">
        <v>6140</v>
      </c>
      <c r="D63" s="16">
        <v>7200</v>
      </c>
      <c r="E63" s="16">
        <v>7558</v>
      </c>
      <c r="F63" s="17">
        <v>919</v>
      </c>
      <c r="G63" s="18">
        <v>7013</v>
      </c>
      <c r="H63" s="18">
        <v>6632</v>
      </c>
      <c r="I63" s="15"/>
      <c r="J63" s="19"/>
    </row>
    <row r="64" spans="1:10" ht="14.45" customHeight="1">
      <c r="A64" s="123"/>
      <c r="B64" s="20" t="s">
        <v>95</v>
      </c>
      <c r="C64" s="15">
        <v>4252</v>
      </c>
      <c r="D64" s="16">
        <v>6323</v>
      </c>
      <c r="E64" s="16">
        <v>5921</v>
      </c>
      <c r="F64" s="17">
        <v>5596</v>
      </c>
      <c r="G64" s="18">
        <v>6977</v>
      </c>
      <c r="H64" s="18">
        <v>7721</v>
      </c>
      <c r="I64" s="15"/>
      <c r="J64" s="19"/>
    </row>
    <row r="65" spans="1:10" ht="14.45" customHeight="1">
      <c r="A65" s="123"/>
      <c r="B65" s="169" t="s">
        <v>466</v>
      </c>
      <c r="C65" s="15">
        <v>4914</v>
      </c>
      <c r="D65" s="16">
        <v>7520</v>
      </c>
      <c r="E65" s="16">
        <v>2708</v>
      </c>
      <c r="F65" s="17">
        <v>6378</v>
      </c>
      <c r="G65" s="18">
        <v>6917</v>
      </c>
      <c r="H65" s="18">
        <v>1360</v>
      </c>
      <c r="I65" s="15"/>
      <c r="J65" s="19"/>
    </row>
    <row r="66" spans="1:10" ht="14.45" customHeight="1">
      <c r="A66" s="123"/>
      <c r="B66" s="20" t="s">
        <v>467</v>
      </c>
      <c r="C66" s="15">
        <v>7603</v>
      </c>
      <c r="D66" s="16">
        <v>5719</v>
      </c>
      <c r="E66" s="16">
        <v>6632</v>
      </c>
      <c r="F66" s="17">
        <v>1075</v>
      </c>
      <c r="G66" s="18">
        <v>6130</v>
      </c>
      <c r="H66" s="18">
        <v>6141</v>
      </c>
      <c r="I66" s="15"/>
      <c r="J66" s="19"/>
    </row>
    <row r="67" spans="1:10" ht="14.45" customHeight="1">
      <c r="A67" s="123"/>
      <c r="B67" s="20" t="s">
        <v>468</v>
      </c>
      <c r="C67" s="15">
        <v>7200</v>
      </c>
      <c r="D67" s="16">
        <v>5921</v>
      </c>
      <c r="E67" s="16">
        <v>4343</v>
      </c>
      <c r="F67" s="17">
        <v>7614</v>
      </c>
      <c r="G67" s="18">
        <v>854</v>
      </c>
      <c r="H67" s="18">
        <v>6140</v>
      </c>
      <c r="I67" s="15"/>
      <c r="J67" s="19"/>
    </row>
    <row r="68" spans="1:10" ht="14.45" customHeight="1">
      <c r="A68" s="123"/>
      <c r="B68" s="20" t="s">
        <v>469</v>
      </c>
      <c r="C68" s="15">
        <v>6323</v>
      </c>
      <c r="D68" s="16">
        <v>7712</v>
      </c>
      <c r="E68" s="16">
        <v>7735</v>
      </c>
      <c r="F68" s="17">
        <v>4252</v>
      </c>
      <c r="G68" s="18">
        <v>7558</v>
      </c>
      <c r="H68" s="18">
        <v>5699</v>
      </c>
      <c r="I68" s="15"/>
      <c r="J68" s="19"/>
    </row>
    <row r="69" spans="1:10" ht="14.45" customHeight="1">
      <c r="A69" s="123"/>
      <c r="B69" s="20" t="s">
        <v>470</v>
      </c>
      <c r="C69" s="15">
        <v>6977</v>
      </c>
      <c r="D69" s="16">
        <v>4777</v>
      </c>
      <c r="E69" s="16">
        <v>7659</v>
      </c>
      <c r="F69" s="17">
        <v>7721</v>
      </c>
      <c r="G69" s="18">
        <v>4618</v>
      </c>
      <c r="H69" s="18">
        <v>919</v>
      </c>
      <c r="I69" s="15"/>
      <c r="J69" s="19"/>
    </row>
    <row r="70" spans="1:10" ht="14.45" customHeight="1">
      <c r="A70" s="123"/>
      <c r="B70" s="20" t="s">
        <v>471</v>
      </c>
      <c r="C70" s="15">
        <v>7013</v>
      </c>
      <c r="D70" s="16">
        <v>6975</v>
      </c>
      <c r="E70" s="16">
        <v>6397</v>
      </c>
      <c r="F70" s="17">
        <v>907</v>
      </c>
      <c r="G70" s="18">
        <v>5288</v>
      </c>
      <c r="H70" s="18">
        <v>5596</v>
      </c>
      <c r="I70" s="15"/>
      <c r="J70" s="19"/>
    </row>
    <row r="71" spans="1:10" ht="14.45" customHeight="1">
      <c r="A71" s="123"/>
      <c r="B71" s="20" t="s">
        <v>472</v>
      </c>
      <c r="C71" s="15">
        <v>4252</v>
      </c>
      <c r="D71" s="16">
        <v>6917</v>
      </c>
      <c r="E71" s="16">
        <v>7735</v>
      </c>
      <c r="F71" s="17">
        <v>7520</v>
      </c>
      <c r="G71" s="18">
        <v>1075</v>
      </c>
      <c r="H71" s="18">
        <v>7603</v>
      </c>
      <c r="I71" s="15"/>
      <c r="J71" s="19"/>
    </row>
    <row r="72" spans="1:10" ht="14.45" customHeight="1">
      <c r="A72" s="123"/>
      <c r="B72" s="20" t="s">
        <v>473</v>
      </c>
      <c r="C72" s="15">
        <v>6977</v>
      </c>
      <c r="D72" s="16">
        <v>5699</v>
      </c>
      <c r="E72" s="16">
        <v>6141</v>
      </c>
      <c r="F72" s="17">
        <v>5719</v>
      </c>
      <c r="G72" s="18">
        <v>7659</v>
      </c>
      <c r="H72" s="18">
        <v>7200</v>
      </c>
      <c r="I72" s="15"/>
      <c r="J72" s="19"/>
    </row>
    <row r="73" spans="1:10" ht="14.45" customHeight="1">
      <c r="A73" s="123"/>
      <c r="B73" s="20" t="s">
        <v>474</v>
      </c>
      <c r="C73" s="15">
        <v>7614</v>
      </c>
      <c r="D73" s="16">
        <v>7558</v>
      </c>
      <c r="E73" s="16">
        <v>7721</v>
      </c>
      <c r="F73" s="17">
        <v>5288</v>
      </c>
      <c r="G73" s="18">
        <v>6140</v>
      </c>
      <c r="H73" s="18">
        <v>6378</v>
      </c>
      <c r="I73" s="15"/>
      <c r="J73" s="19"/>
    </row>
    <row r="74" spans="1:10" ht="14.45" customHeight="1">
      <c r="A74" s="123"/>
      <c r="B74" s="20" t="s">
        <v>475</v>
      </c>
      <c r="C74" s="15">
        <v>5921</v>
      </c>
      <c r="D74" s="16">
        <v>6632</v>
      </c>
      <c r="E74" s="16">
        <v>6975</v>
      </c>
      <c r="F74" s="17">
        <v>1360</v>
      </c>
      <c r="G74" s="18">
        <v>7013</v>
      </c>
      <c r="H74" s="18">
        <v>4618</v>
      </c>
      <c r="I74" s="15"/>
      <c r="J74" s="19"/>
    </row>
    <row r="75" spans="1:10" ht="14.45" customHeight="1">
      <c r="A75" s="123"/>
      <c r="B75" s="20" t="s">
        <v>476</v>
      </c>
      <c r="C75" s="15">
        <v>907</v>
      </c>
      <c r="D75" s="16">
        <v>4914</v>
      </c>
      <c r="E75" s="16">
        <v>4777</v>
      </c>
      <c r="F75" s="17">
        <v>4343</v>
      </c>
      <c r="G75" s="18">
        <v>6323</v>
      </c>
      <c r="H75" s="18">
        <v>854</v>
      </c>
      <c r="I75" s="15"/>
      <c r="J75" s="19"/>
    </row>
    <row r="76" spans="1:10" ht="14.45" customHeight="1">
      <c r="A76" s="123"/>
      <c r="B76" s="20" t="s">
        <v>477</v>
      </c>
      <c r="C76" s="15">
        <v>7712</v>
      </c>
      <c r="D76" s="16">
        <v>6130</v>
      </c>
      <c r="E76" s="16">
        <v>5596</v>
      </c>
      <c r="F76" s="17">
        <v>6397</v>
      </c>
      <c r="G76" s="18">
        <v>919</v>
      </c>
      <c r="H76" s="18">
        <v>2708</v>
      </c>
      <c r="I76" s="15"/>
      <c r="J76" s="19"/>
    </row>
    <row r="77" spans="1:10" ht="14.45" customHeight="1">
      <c r="A77" s="123"/>
      <c r="B77" s="20"/>
      <c r="C77" s="15"/>
      <c r="D77" s="16"/>
      <c r="E77" s="16"/>
      <c r="F77" s="17"/>
      <c r="G77" s="18"/>
      <c r="H77" s="18"/>
      <c r="I77" s="15"/>
      <c r="J77" s="19"/>
    </row>
    <row r="78" spans="1:10" ht="14.45" customHeight="1">
      <c r="A78" s="123"/>
      <c r="B78" s="20"/>
      <c r="C78" s="15"/>
      <c r="D78" s="16"/>
      <c r="E78" s="16"/>
      <c r="F78" s="17"/>
      <c r="G78" s="18"/>
      <c r="H78" s="18"/>
      <c r="I78" s="15"/>
      <c r="J78" s="19"/>
    </row>
    <row r="79" spans="1:10" ht="14.45" customHeight="1">
      <c r="A79" s="123"/>
      <c r="B79" s="20"/>
      <c r="C79" s="15"/>
      <c r="D79" s="16"/>
      <c r="E79" s="16"/>
      <c r="F79" s="17"/>
      <c r="G79" s="18"/>
      <c r="H79" s="18"/>
      <c r="I79" s="15"/>
      <c r="J79" s="19"/>
    </row>
    <row r="80" spans="1:10" ht="14.45" customHeight="1">
      <c r="A80" s="123"/>
      <c r="B80" s="20"/>
      <c r="C80" s="15"/>
      <c r="D80" s="16"/>
      <c r="E80" s="16"/>
      <c r="F80" s="17"/>
      <c r="G80" s="18"/>
      <c r="H80" s="18"/>
      <c r="I80" s="15"/>
      <c r="J80" s="19"/>
    </row>
    <row r="81" spans="1:10" ht="14.45" customHeight="1">
      <c r="A81" s="123"/>
      <c r="B81" s="20"/>
      <c r="C81" s="15"/>
      <c r="D81" s="16"/>
      <c r="E81" s="16"/>
      <c r="F81" s="17"/>
      <c r="G81" s="18"/>
      <c r="H81" s="18"/>
      <c r="I81" s="15"/>
      <c r="J81" s="19"/>
    </row>
    <row r="82" spans="1:10" ht="14.45" customHeight="1">
      <c r="A82" s="123"/>
      <c r="B82" s="20"/>
      <c r="C82" s="15"/>
      <c r="D82" s="16"/>
      <c r="E82" s="16"/>
      <c r="F82" s="17"/>
      <c r="G82" s="18"/>
      <c r="H82" s="18"/>
      <c r="I82" s="15"/>
      <c r="J82" s="19"/>
    </row>
    <row r="83" spans="1:10" ht="14.45" customHeight="1">
      <c r="A83" s="123"/>
      <c r="B83" s="20"/>
      <c r="C83" s="15"/>
      <c r="D83" s="16"/>
      <c r="E83" s="16"/>
      <c r="F83" s="17"/>
      <c r="G83" s="18"/>
      <c r="H83" s="18"/>
      <c r="I83" s="15"/>
      <c r="J83" s="19"/>
    </row>
    <row r="84" spans="1:10" ht="14.45" customHeight="1">
      <c r="A84" s="123"/>
      <c r="B84" s="20"/>
      <c r="C84" s="15"/>
      <c r="D84" s="16"/>
      <c r="E84" s="16"/>
      <c r="F84" s="17"/>
      <c r="G84" s="18"/>
      <c r="H84" s="18"/>
      <c r="I84" s="15"/>
      <c r="J84" s="19"/>
    </row>
    <row r="85" spans="1:10">
      <c r="B85" s="20"/>
      <c r="C85" s="15"/>
      <c r="D85" s="16"/>
      <c r="E85" s="16"/>
      <c r="F85" s="17"/>
      <c r="G85" s="18"/>
      <c r="H85" s="18"/>
      <c r="I85" s="15"/>
      <c r="J85" s="19"/>
    </row>
    <row r="86" spans="1:10">
      <c r="B86" s="20"/>
      <c r="C86" s="15"/>
      <c r="D86" s="16"/>
      <c r="E86" s="16"/>
      <c r="F86" s="17"/>
      <c r="G86" s="18"/>
      <c r="H86" s="18"/>
      <c r="I86" s="15"/>
      <c r="J86" s="19"/>
    </row>
    <row r="87" spans="1:10">
      <c r="B87" s="20"/>
      <c r="C87" s="15"/>
      <c r="D87" s="16"/>
      <c r="E87" s="16"/>
      <c r="F87" s="17"/>
      <c r="G87" s="18"/>
      <c r="H87" s="18"/>
      <c r="I87" s="15"/>
      <c r="J87" s="19"/>
    </row>
    <row r="88" spans="1:10">
      <c r="B88" s="20"/>
      <c r="C88" s="15"/>
      <c r="D88" s="16"/>
      <c r="E88" s="16"/>
      <c r="F88" s="17"/>
      <c r="G88" s="18"/>
      <c r="H88" s="18"/>
      <c r="I88" s="15"/>
      <c r="J88" s="19"/>
    </row>
    <row r="89" spans="1:10">
      <c r="B89" s="20"/>
      <c r="C89" s="15"/>
      <c r="D89" s="16"/>
      <c r="E89" s="16"/>
      <c r="F89" s="17"/>
      <c r="G89" s="18"/>
      <c r="H89" s="18"/>
      <c r="I89" s="15"/>
      <c r="J89" s="19"/>
    </row>
    <row r="90" spans="1:10">
      <c r="B90" s="20"/>
      <c r="C90" s="15"/>
      <c r="D90" s="16"/>
      <c r="E90" s="16"/>
      <c r="F90" s="17"/>
      <c r="G90" s="18"/>
      <c r="H90" s="18"/>
      <c r="I90" s="15"/>
      <c r="J90" s="19"/>
    </row>
    <row r="91" spans="1:10">
      <c r="B91" s="20"/>
      <c r="C91" s="15"/>
      <c r="D91" s="16"/>
      <c r="E91" s="16"/>
      <c r="F91" s="17"/>
      <c r="G91" s="18"/>
      <c r="H91" s="18"/>
      <c r="I91" s="15"/>
      <c r="J91" s="19"/>
    </row>
    <row r="92" spans="1:10">
      <c r="B92" s="20"/>
      <c r="C92" s="15"/>
      <c r="D92" s="16"/>
      <c r="E92" s="16"/>
      <c r="F92" s="17"/>
      <c r="G92" s="18"/>
      <c r="H92" s="18"/>
      <c r="I92" s="15"/>
      <c r="J92" s="19"/>
    </row>
    <row r="93" spans="1:10">
      <c r="B93" s="20"/>
      <c r="C93" s="15"/>
      <c r="D93" s="16"/>
      <c r="E93" s="16"/>
      <c r="F93" s="17"/>
      <c r="G93" s="18"/>
      <c r="H93" s="18"/>
      <c r="I93" s="15"/>
      <c r="J93" s="19"/>
    </row>
    <row r="94" spans="1:10">
      <c r="B94" s="20"/>
      <c r="C94" s="15"/>
      <c r="D94" s="16"/>
      <c r="E94" s="16"/>
      <c r="F94" s="17"/>
      <c r="G94" s="18"/>
      <c r="H94" s="18"/>
      <c r="I94" s="15"/>
      <c r="J94" s="19"/>
    </row>
    <row r="95" spans="1:10">
      <c r="B95" s="20"/>
      <c r="C95" s="15"/>
      <c r="D95" s="16"/>
      <c r="E95" s="16"/>
      <c r="F95" s="17"/>
      <c r="G95" s="18"/>
      <c r="H95" s="18"/>
      <c r="I95" s="15"/>
      <c r="J95" s="19"/>
    </row>
    <row r="96" spans="1:10">
      <c r="B96" s="20"/>
      <c r="C96" s="15"/>
      <c r="D96" s="16"/>
      <c r="E96" s="16"/>
      <c r="F96" s="17"/>
      <c r="G96" s="18"/>
      <c r="H96" s="18"/>
      <c r="I96" s="15"/>
      <c r="J96" s="19"/>
    </row>
    <row r="97" spans="2:10">
      <c r="B97" s="20"/>
      <c r="C97" s="15"/>
      <c r="D97" s="16"/>
      <c r="E97" s="16"/>
      <c r="F97" s="17"/>
      <c r="G97" s="18"/>
      <c r="H97" s="18"/>
      <c r="I97" s="15"/>
      <c r="J97" s="19"/>
    </row>
    <row r="98" spans="2:10" ht="15.75" thickBot="1">
      <c r="B98" s="21"/>
      <c r="C98" s="22"/>
      <c r="D98" s="23"/>
      <c r="E98" s="23"/>
      <c r="F98" s="24"/>
      <c r="G98" s="25"/>
      <c r="H98" s="25"/>
      <c r="I98" s="22"/>
      <c r="J98" s="26"/>
    </row>
  </sheetData>
  <mergeCells count="4">
    <mergeCell ref="A1:J1"/>
    <mergeCell ref="C3:E3"/>
    <mergeCell ref="F3:H3"/>
    <mergeCell ref="I3:J3"/>
  </mergeCells>
  <conditionalFormatting sqref="C1:E1048576">
    <cfRule type="cellIs" dxfId="9" priority="4" operator="equal">
      <formula>6135</formula>
    </cfRule>
  </conditionalFormatting>
  <conditionalFormatting sqref="F1:H1048576">
    <cfRule type="cellIs" dxfId="8" priority="3" operator="equal">
      <formula>6135</formula>
    </cfRule>
  </conditionalFormatting>
  <conditionalFormatting sqref="C1:H1048576">
    <cfRule type="cellIs" dxfId="7" priority="1" operator="equal">
      <formula>$M$3</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44"/>
  <sheetViews>
    <sheetView topLeftCell="F1" zoomScale="91" zoomScaleNormal="70" workbookViewId="0">
      <selection activeCell="E13" sqref="E13"/>
    </sheetView>
  </sheetViews>
  <sheetFormatPr defaultColWidth="8.85546875" defaultRowHeight="15"/>
  <cols>
    <col min="1" max="2" width="9.7109375" customWidth="1"/>
    <col min="5" max="6" width="16.7109375" customWidth="1"/>
    <col min="7" max="7" width="12.42578125" customWidth="1"/>
    <col min="8" max="9" width="9.140625" customWidth="1"/>
    <col min="10" max="11" width="9.28515625" customWidth="1"/>
    <col min="12" max="12" width="9.42578125" customWidth="1"/>
    <col min="13" max="13" width="9.28515625" customWidth="1"/>
    <col min="14" max="15" width="12.85546875" customWidth="1"/>
  </cols>
  <sheetData>
    <row r="1" spans="1:27" ht="14.45" customHeight="1">
      <c r="A1" s="200" t="s">
        <v>151</v>
      </c>
      <c r="B1" s="200"/>
      <c r="C1" s="200"/>
      <c r="D1" s="200"/>
      <c r="E1" s="200"/>
      <c r="F1" s="200"/>
      <c r="G1" s="200"/>
      <c r="H1" s="200"/>
      <c r="I1" s="200"/>
      <c r="J1" s="200"/>
      <c r="K1" s="200"/>
      <c r="L1" s="200"/>
      <c r="M1" s="200"/>
      <c r="N1" s="200"/>
      <c r="O1" s="200"/>
      <c r="P1" s="200"/>
      <c r="Q1" s="200"/>
      <c r="R1" s="200"/>
      <c r="S1" s="200"/>
      <c r="T1" s="200"/>
      <c r="U1" s="200"/>
      <c r="V1" s="200"/>
      <c r="W1" s="200"/>
      <c r="X1" s="200"/>
      <c r="Y1" s="200"/>
      <c r="Z1" s="200"/>
      <c r="AA1" s="200"/>
    </row>
    <row r="2" spans="1:27">
      <c r="A2" s="200"/>
      <c r="B2" s="200"/>
      <c r="C2" s="200"/>
      <c r="D2" s="200"/>
      <c r="E2" s="200"/>
      <c r="F2" s="200"/>
      <c r="G2" s="200"/>
      <c r="H2" s="200"/>
      <c r="I2" s="200"/>
      <c r="J2" s="200"/>
      <c r="K2" s="200"/>
      <c r="L2" s="200"/>
      <c r="M2" s="200"/>
      <c r="N2" s="200"/>
      <c r="O2" s="200"/>
      <c r="P2" s="200"/>
      <c r="Q2" s="200"/>
      <c r="R2" s="200"/>
      <c r="S2" s="200"/>
      <c r="T2" s="200"/>
      <c r="U2" s="200"/>
      <c r="V2" s="200"/>
      <c r="W2" s="200"/>
      <c r="X2" s="200"/>
      <c r="Y2" s="200"/>
      <c r="Z2" s="200"/>
      <c r="AA2" s="200"/>
    </row>
    <row r="3" spans="1:27">
      <c r="A3" s="189" t="s">
        <v>0</v>
      </c>
      <c r="B3" s="189"/>
      <c r="C3" s="189"/>
      <c r="D3" s="1"/>
      <c r="E3" s="1"/>
      <c r="F3" s="1"/>
      <c r="G3" s="189" t="s">
        <v>9</v>
      </c>
      <c r="H3" s="189"/>
      <c r="I3" s="189"/>
      <c r="J3" s="189"/>
      <c r="K3" s="189"/>
      <c r="L3" s="189"/>
      <c r="M3" s="189"/>
      <c r="N3" s="176" t="s">
        <v>1</v>
      </c>
      <c r="O3" s="176"/>
      <c r="P3" s="176"/>
      <c r="Q3" s="176"/>
      <c r="R3" s="176"/>
      <c r="S3" s="176"/>
      <c r="T3" s="176"/>
      <c r="U3" s="176"/>
      <c r="V3" s="176"/>
      <c r="W3" s="176"/>
      <c r="X3" s="176"/>
      <c r="Y3" s="176" t="s">
        <v>2</v>
      </c>
      <c r="Z3" s="176"/>
      <c r="AA3" s="176"/>
    </row>
    <row r="4" spans="1:27" ht="15.75" thickBot="1">
      <c r="A4" s="2" t="s">
        <v>3</v>
      </c>
      <c r="B4" s="2" t="s">
        <v>18</v>
      </c>
      <c r="C4" s="5" t="s">
        <v>22</v>
      </c>
      <c r="D4" s="2" t="s">
        <v>114</v>
      </c>
      <c r="E4" s="2" t="s">
        <v>133</v>
      </c>
      <c r="F4" s="2" t="s">
        <v>134</v>
      </c>
      <c r="G4" s="2" t="s">
        <v>10</v>
      </c>
      <c r="H4" s="2" t="s">
        <v>11</v>
      </c>
      <c r="I4" s="2" t="s">
        <v>12</v>
      </c>
      <c r="J4" s="2" t="s">
        <v>13</v>
      </c>
      <c r="K4" s="2" t="s">
        <v>14</v>
      </c>
      <c r="L4" s="2" t="s">
        <v>15</v>
      </c>
      <c r="M4" s="2" t="s">
        <v>16</v>
      </c>
      <c r="N4" s="3" t="s">
        <v>131</v>
      </c>
      <c r="O4" s="2" t="s">
        <v>130</v>
      </c>
      <c r="P4" s="2" t="s">
        <v>11</v>
      </c>
      <c r="Q4" s="2" t="s">
        <v>12</v>
      </c>
      <c r="R4" s="2" t="s">
        <v>13</v>
      </c>
      <c r="S4" s="2" t="s">
        <v>14</v>
      </c>
      <c r="T4" s="2" t="s">
        <v>15</v>
      </c>
      <c r="U4" s="2" t="s">
        <v>16</v>
      </c>
      <c r="V4" s="2" t="s">
        <v>23</v>
      </c>
      <c r="W4" s="2" t="s">
        <v>129</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216</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244</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288</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610</v>
      </c>
      <c r="E9" s="75">
        <v>4</v>
      </c>
      <c r="F9" s="75">
        <v>4</v>
      </c>
      <c r="G9">
        <v>4</v>
      </c>
      <c r="H9">
        <v>4</v>
      </c>
      <c r="I9">
        <v>4</v>
      </c>
      <c r="J9">
        <v>4</v>
      </c>
      <c r="K9">
        <v>4</v>
      </c>
      <c r="L9">
        <v>4</v>
      </c>
      <c r="M9">
        <v>4</v>
      </c>
      <c r="N9">
        <v>4</v>
      </c>
      <c r="O9">
        <v>4</v>
      </c>
      <c r="P9">
        <v>4</v>
      </c>
      <c r="Q9">
        <v>4</v>
      </c>
      <c r="R9">
        <v>4</v>
      </c>
      <c r="S9">
        <v>4</v>
      </c>
      <c r="T9">
        <v>4</v>
      </c>
      <c r="U9">
        <v>4</v>
      </c>
    </row>
    <row r="10" spans="1:27">
      <c r="A10">
        <f>'Scouting Output'!$A8</f>
        <v>746</v>
      </c>
      <c r="E10" s="75">
        <v>5</v>
      </c>
      <c r="N10">
        <v>5</v>
      </c>
      <c r="O10">
        <v>5</v>
      </c>
    </row>
    <row r="11" spans="1:27">
      <c r="A11">
        <f>'Scouting Output'!$A9</f>
        <v>781</v>
      </c>
      <c r="E11" s="75">
        <v>6</v>
      </c>
      <c r="N11">
        <v>6</v>
      </c>
      <c r="O11">
        <v>6</v>
      </c>
    </row>
    <row r="12" spans="1:27">
      <c r="A12">
        <f>'Scouting Output'!$A10</f>
        <v>854</v>
      </c>
      <c r="E12" s="75">
        <v>7</v>
      </c>
      <c r="N12">
        <v>7</v>
      </c>
      <c r="O12">
        <v>7</v>
      </c>
    </row>
    <row r="13" spans="1:27">
      <c r="A13">
        <f>'Scouting Output'!$A11</f>
        <v>907</v>
      </c>
      <c r="E13" s="75">
        <v>8</v>
      </c>
      <c r="N13">
        <v>8</v>
      </c>
      <c r="O13">
        <v>8</v>
      </c>
    </row>
    <row r="14" spans="1:27">
      <c r="A14">
        <f>'Scouting Output'!$A12</f>
        <v>919</v>
      </c>
    </row>
    <row r="15" spans="1:27">
      <c r="A15">
        <f>'Scouting Output'!$A13</f>
        <v>1075</v>
      </c>
      <c r="G15" t="s">
        <v>145</v>
      </c>
    </row>
    <row r="16" spans="1:27">
      <c r="A16">
        <f>'Scouting Output'!$A14</f>
        <v>1246</v>
      </c>
    </row>
    <row r="17" spans="1:1">
      <c r="A17">
        <f>'Scouting Output'!$A15</f>
        <v>1285</v>
      </c>
    </row>
    <row r="18" spans="1:1">
      <c r="A18">
        <f>'Scouting Output'!$A16</f>
        <v>1305</v>
      </c>
    </row>
    <row r="19" spans="1:1">
      <c r="A19">
        <f>'Scouting Output'!$A17</f>
        <v>1325</v>
      </c>
    </row>
    <row r="20" spans="1:1">
      <c r="A20">
        <f>'Scouting Output'!$A18</f>
        <v>1334</v>
      </c>
    </row>
    <row r="21" spans="1:1">
      <c r="A21">
        <f>'Scouting Output'!$A19</f>
        <v>1360</v>
      </c>
    </row>
    <row r="22" spans="1:1">
      <c r="A22">
        <f>'Scouting Output'!$A20</f>
        <v>2013</v>
      </c>
    </row>
    <row r="23" spans="1:1">
      <c r="A23">
        <f>'Scouting Output'!$A21</f>
        <v>2200</v>
      </c>
    </row>
    <row r="24" spans="1:1">
      <c r="A24">
        <f>'Scouting Output'!$A22</f>
        <v>2386</v>
      </c>
    </row>
    <row r="25" spans="1:1">
      <c r="A25">
        <f>'Scouting Output'!$A23</f>
        <v>2634</v>
      </c>
    </row>
    <row r="26" spans="1:1">
      <c r="A26">
        <f>'Scouting Output'!$A24</f>
        <v>2706</v>
      </c>
    </row>
    <row r="27" spans="1:1">
      <c r="A27">
        <f>'Scouting Output'!$A25</f>
        <v>2708</v>
      </c>
    </row>
    <row r="28" spans="1:1">
      <c r="A28">
        <f>'Scouting Output'!$A26</f>
        <v>2771</v>
      </c>
    </row>
    <row r="29" spans="1:1">
      <c r="A29">
        <f>'Scouting Output'!$A27</f>
        <v>2852</v>
      </c>
    </row>
    <row r="30" spans="1:1">
      <c r="A30">
        <f>'Scouting Output'!$A28</f>
        <v>2994</v>
      </c>
    </row>
    <row r="31" spans="1:1">
      <c r="A31">
        <f>'Scouting Output'!$A29</f>
        <v>3571</v>
      </c>
    </row>
    <row r="32" spans="1:1">
      <c r="A32">
        <f>'Scouting Output'!$A30</f>
        <v>3655</v>
      </c>
    </row>
    <row r="33" spans="1:1">
      <c r="A33">
        <f>'Scouting Output'!$A31</f>
        <v>4015</v>
      </c>
    </row>
    <row r="34" spans="1:1">
      <c r="A34">
        <f>'Scouting Output'!$A32</f>
        <v>4152</v>
      </c>
    </row>
    <row r="35" spans="1:1">
      <c r="A35">
        <f>'Scouting Output'!$A33</f>
        <v>4252</v>
      </c>
    </row>
    <row r="36" spans="1:1">
      <c r="A36">
        <f>'Scouting Output'!$A34</f>
        <v>4308</v>
      </c>
    </row>
    <row r="37" spans="1:1">
      <c r="A37">
        <f>'Scouting Output'!$A35</f>
        <v>4343</v>
      </c>
    </row>
    <row r="38" spans="1:1">
      <c r="A38">
        <f>'Scouting Output'!$A36</f>
        <v>4476</v>
      </c>
    </row>
    <row r="39" spans="1:1">
      <c r="A39">
        <f>'Scouting Output'!$A37</f>
        <v>4519</v>
      </c>
    </row>
    <row r="40" spans="1:1">
      <c r="A40">
        <f>'Scouting Output'!$A38</f>
        <v>4525</v>
      </c>
    </row>
    <row r="41" spans="1:1">
      <c r="A41">
        <f>'Scouting Output'!$A39</f>
        <v>4618</v>
      </c>
    </row>
    <row r="42" spans="1:1">
      <c r="A42">
        <f>'Scouting Output'!$A40</f>
        <v>4688</v>
      </c>
    </row>
    <row r="43" spans="1:1">
      <c r="A43">
        <f>'Scouting Output'!$A41</f>
        <v>4704</v>
      </c>
    </row>
    <row r="44" spans="1:1">
      <c r="A44">
        <f>'Scouting Output'!$A42</f>
        <v>4777</v>
      </c>
    </row>
  </sheetData>
  <mergeCells count="5">
    <mergeCell ref="A3:C3"/>
    <mergeCell ref="G3:M3"/>
    <mergeCell ref="N3:X3"/>
    <mergeCell ref="A1:AA2"/>
    <mergeCell ref="Y3:AA3"/>
  </mergeCell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G56" sqref="G56"/>
    </sheetView>
  </sheetViews>
  <sheetFormatPr defaultColWidth="11" defaultRowHeight="15"/>
  <cols>
    <col min="1" max="2" width="5.42578125" customWidth="1"/>
    <col min="3" max="3" width="12.85546875" customWidth="1"/>
    <col min="11" max="11" width="12" customWidth="1"/>
    <col min="12" max="12" width="14.7109375" customWidth="1"/>
  </cols>
  <sheetData>
    <row r="1" spans="1:12">
      <c r="A1" t="s">
        <v>146</v>
      </c>
    </row>
    <row r="2" spans="1:12">
      <c r="A2" s="110" t="s">
        <v>147</v>
      </c>
      <c r="B2" s="110"/>
      <c r="C2" s="110"/>
    </row>
    <row r="3" spans="1:12">
      <c r="A3" s="111" t="s">
        <v>148</v>
      </c>
      <c r="B3" s="111"/>
      <c r="C3" s="111"/>
    </row>
    <row r="4" spans="1:12">
      <c r="A4" s="112" t="s">
        <v>149</v>
      </c>
      <c r="B4" s="112"/>
      <c r="C4" s="112"/>
    </row>
    <row r="6" spans="1:12">
      <c r="A6" t="s">
        <v>165</v>
      </c>
    </row>
    <row r="7" spans="1:12" ht="17.100000000000001" customHeight="1">
      <c r="B7" t="s">
        <v>166</v>
      </c>
    </row>
    <row r="8" spans="1:12" ht="18.2" customHeight="1">
      <c r="B8" t="s">
        <v>167</v>
      </c>
    </row>
    <row r="9" spans="1:12" ht="18.600000000000001" customHeight="1">
      <c r="B9" t="s">
        <v>168</v>
      </c>
    </row>
    <row r="10" spans="1:12" ht="17.45" customHeight="1">
      <c r="B10" t="s">
        <v>169</v>
      </c>
    </row>
    <row r="12" spans="1:12">
      <c r="A12" s="30" t="s">
        <v>170</v>
      </c>
    </row>
    <row r="13" spans="1:12" ht="15.2" customHeight="1">
      <c r="B13" t="s">
        <v>171</v>
      </c>
    </row>
    <row r="14" spans="1:12" ht="17.45" customHeight="1">
      <c r="B14" t="s">
        <v>172</v>
      </c>
    </row>
    <row r="15" spans="1:12">
      <c r="B15" t="s">
        <v>194</v>
      </c>
    </row>
    <row r="16" spans="1:12" ht="32.1" customHeight="1">
      <c r="B16" s="201" t="s">
        <v>173</v>
      </c>
      <c r="C16" s="201"/>
      <c r="D16" s="201"/>
      <c r="E16" s="201"/>
      <c r="F16" s="201"/>
      <c r="G16" s="201"/>
      <c r="H16" s="201"/>
      <c r="I16" s="201"/>
      <c r="J16" s="201"/>
      <c r="L16" s="115" t="s">
        <v>190</v>
      </c>
    </row>
    <row r="19" spans="1:12">
      <c r="A19" s="30" t="s">
        <v>154</v>
      </c>
    </row>
    <row r="20" spans="1:12">
      <c r="B20" t="s">
        <v>152</v>
      </c>
    </row>
    <row r="21" spans="1:12">
      <c r="B21" t="s">
        <v>153</v>
      </c>
    </row>
    <row r="22" spans="1:12">
      <c r="B22" t="s">
        <v>155</v>
      </c>
    </row>
    <row r="23" spans="1:12">
      <c r="B23" t="s">
        <v>195</v>
      </c>
    </row>
    <row r="24" spans="1:12">
      <c r="B24" t="s">
        <v>196</v>
      </c>
    </row>
    <row r="25" spans="1:12">
      <c r="B25" t="s">
        <v>156</v>
      </c>
    </row>
    <row r="27" spans="1:12">
      <c r="A27" s="30" t="s">
        <v>150</v>
      </c>
    </row>
    <row r="28" spans="1:12" ht="46.5" customHeight="1">
      <c r="B28" s="201" t="s">
        <v>197</v>
      </c>
      <c r="C28" s="201"/>
      <c r="D28" s="201"/>
      <c r="E28" s="201"/>
      <c r="F28" s="201"/>
      <c r="G28" s="201"/>
      <c r="H28" s="201"/>
      <c r="I28" s="201"/>
      <c r="J28" s="201"/>
      <c r="K28" s="201"/>
      <c r="L28" s="201"/>
    </row>
    <row r="29" spans="1:12" ht="21" customHeight="1">
      <c r="B29" t="s">
        <v>174</v>
      </c>
    </row>
    <row r="32" spans="1:12">
      <c r="A32" s="30" t="s">
        <v>157</v>
      </c>
    </row>
    <row r="33" spans="1:12">
      <c r="B33" t="s">
        <v>175</v>
      </c>
    </row>
    <row r="34" spans="1:12" ht="18.2" customHeight="1">
      <c r="B34" t="s">
        <v>176</v>
      </c>
    </row>
    <row r="35" spans="1:12" ht="32.1" customHeight="1">
      <c r="B35" s="177" t="s">
        <v>177</v>
      </c>
      <c r="C35" s="177"/>
      <c r="D35" s="177"/>
      <c r="E35" s="177"/>
      <c r="F35" s="177"/>
      <c r="G35" s="177"/>
      <c r="H35" s="177"/>
      <c r="I35" s="177"/>
      <c r="J35" s="177"/>
      <c r="K35" s="177"/>
      <c r="L35" s="177"/>
    </row>
    <row r="38" spans="1:12">
      <c r="A38" s="30" t="s">
        <v>158</v>
      </c>
    </row>
    <row r="39" spans="1:12" ht="16.7" customHeight="1">
      <c r="A39" s="30"/>
      <c r="B39" t="s">
        <v>178</v>
      </c>
    </row>
    <row r="40" spans="1:12" ht="15.2" customHeight="1">
      <c r="B40" t="s">
        <v>180</v>
      </c>
    </row>
    <row r="41" spans="1:12" ht="16.350000000000001" customHeight="1">
      <c r="B41" t="s">
        <v>193</v>
      </c>
    </row>
    <row r="42" spans="1:12" ht="15.2" customHeight="1">
      <c r="B42" t="s">
        <v>192</v>
      </c>
    </row>
    <row r="45" spans="1:12">
      <c r="A45" s="30" t="s">
        <v>159</v>
      </c>
    </row>
    <row r="46" spans="1:12">
      <c r="B46" s="109" t="s">
        <v>160</v>
      </c>
    </row>
    <row r="47" spans="1:12">
      <c r="C47" t="s">
        <v>184</v>
      </c>
    </row>
    <row r="48" spans="1:12" ht="16.5" customHeight="1">
      <c r="C48" t="s">
        <v>185</v>
      </c>
    </row>
    <row r="49" spans="2:13" ht="30.95" customHeight="1">
      <c r="C49" s="177" t="s">
        <v>186</v>
      </c>
      <c r="D49" s="177"/>
      <c r="E49" s="177"/>
      <c r="F49" s="177"/>
      <c r="G49" s="177"/>
      <c r="H49" s="177"/>
      <c r="I49" s="177"/>
      <c r="J49" s="177"/>
      <c r="K49" s="177"/>
      <c r="L49" s="177"/>
      <c r="M49" s="177"/>
    </row>
    <row r="52" spans="2:13">
      <c r="B52" s="109" t="s">
        <v>161</v>
      </c>
    </row>
    <row r="53" spans="2:13" ht="14.85" customHeight="1">
      <c r="C53" t="s">
        <v>187</v>
      </c>
    </row>
    <row r="54" spans="2:13">
      <c r="C54" t="s">
        <v>188</v>
      </c>
    </row>
    <row r="56" spans="2:13">
      <c r="B56" s="109" t="s">
        <v>162</v>
      </c>
    </row>
    <row r="57" spans="2:13">
      <c r="C57" t="s">
        <v>189</v>
      </c>
    </row>
    <row r="58" spans="2:13">
      <c r="C58" t="s">
        <v>290</v>
      </c>
    </row>
    <row r="60" spans="2:13">
      <c r="B60" s="109" t="s">
        <v>163</v>
      </c>
    </row>
    <row r="61" spans="2:13">
      <c r="C61" t="s">
        <v>182</v>
      </c>
    </row>
    <row r="62" spans="2:13">
      <c r="C62" t="s">
        <v>183</v>
      </c>
    </row>
    <row r="63" spans="2:13">
      <c r="C63" s="114" t="s">
        <v>181</v>
      </c>
    </row>
    <row r="65" spans="1:13" ht="33.75">
      <c r="A65" s="202" t="s">
        <v>164</v>
      </c>
      <c r="B65" s="202"/>
      <c r="C65" s="202"/>
      <c r="D65" s="202"/>
      <c r="E65" s="202"/>
      <c r="F65" s="202"/>
      <c r="G65" s="202"/>
      <c r="H65" s="202"/>
      <c r="I65" s="202"/>
      <c r="J65" s="202"/>
      <c r="K65" s="202"/>
      <c r="L65" s="202"/>
      <c r="M65" s="202"/>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3"/>
  <sheetViews>
    <sheetView showGridLines="0" view="pageLayout" zoomScaleNormal="25" workbookViewId="0">
      <selection activeCell="W24" sqref="W24"/>
    </sheetView>
  </sheetViews>
  <sheetFormatPr defaultColWidth="11.42578125" defaultRowHeight="12.75"/>
  <cols>
    <col min="1" max="1" width="0.42578125" style="37" customWidth="1"/>
    <col min="2" max="2" width="6.7109375" style="37" customWidth="1"/>
    <col min="3" max="10" width="3.28515625" style="37" customWidth="1"/>
    <col min="11" max="11" width="7" style="37" customWidth="1"/>
    <col min="12" max="12" width="0.42578125" style="37" customWidth="1"/>
    <col min="13" max="13" width="0.7109375" style="37" customWidth="1"/>
    <col min="14" max="14" width="0.42578125" style="37" customWidth="1"/>
    <col min="15" max="15" width="6.28515625" style="37" customWidth="1"/>
    <col min="16" max="23" width="3.28515625" style="37" customWidth="1"/>
    <col min="24" max="24" width="7.42578125" style="37" customWidth="1"/>
    <col min="25" max="25" width="0.42578125" style="37" customWidth="1"/>
    <col min="26" max="26" width="3.42578125" style="37" customWidth="1"/>
    <col min="27" max="27" width="3.28515625" style="37" customWidth="1"/>
    <col min="28" max="29" width="4.42578125" style="37" customWidth="1"/>
    <col min="30" max="30" width="1.7109375" style="37" customWidth="1"/>
    <col min="31" max="16384" width="11.42578125" style="37"/>
  </cols>
  <sheetData>
    <row r="1" spans="1:31" ht="22.7" customHeight="1" thickTop="1" thickBot="1">
      <c r="A1" s="203" t="s">
        <v>103</v>
      </c>
      <c r="B1" s="204"/>
      <c r="C1" s="204"/>
      <c r="D1" s="204"/>
      <c r="E1" s="204"/>
      <c r="F1" s="204"/>
      <c r="G1" s="204"/>
      <c r="H1" s="204"/>
      <c r="I1" s="204"/>
      <c r="J1" s="204"/>
      <c r="K1" s="204"/>
      <c r="L1" s="204"/>
      <c r="M1" s="204"/>
      <c r="N1" s="204"/>
      <c r="O1" s="204"/>
      <c r="P1" s="204"/>
      <c r="Q1" s="204"/>
      <c r="R1" s="204"/>
      <c r="S1" s="204"/>
      <c r="T1" s="204"/>
      <c r="U1" s="204"/>
      <c r="V1" s="204"/>
      <c r="W1" s="204"/>
      <c r="X1" s="204"/>
      <c r="Y1" s="205"/>
    </row>
    <row r="2" spans="1:31" ht="6" customHeight="1" thickTop="1"/>
    <row r="3" spans="1:31" ht="2.1" customHeight="1">
      <c r="A3" s="38"/>
      <c r="B3" s="38"/>
      <c r="C3" s="38"/>
      <c r="D3" s="38"/>
      <c r="E3" s="38"/>
      <c r="F3" s="38"/>
      <c r="G3" s="38"/>
      <c r="H3" s="38"/>
      <c r="I3" s="38"/>
      <c r="J3" s="38"/>
      <c r="K3" s="38"/>
      <c r="L3" s="38"/>
      <c r="N3" s="38"/>
      <c r="O3" s="38"/>
      <c r="P3" s="38"/>
      <c r="Q3" s="38"/>
      <c r="R3" s="38"/>
      <c r="S3" s="38"/>
      <c r="T3" s="38"/>
      <c r="U3" s="38"/>
      <c r="V3" s="38"/>
      <c r="W3" s="38"/>
      <c r="X3" s="38"/>
      <c r="Y3" s="38"/>
    </row>
    <row r="4" spans="1:31" ht="19.7" customHeight="1">
      <c r="A4" s="39"/>
      <c r="B4" s="214" t="s">
        <v>104</v>
      </c>
      <c r="C4" s="215"/>
      <c r="D4" s="216"/>
      <c r="E4" s="95" t="s">
        <v>20</v>
      </c>
      <c r="F4" s="95" t="s">
        <v>105</v>
      </c>
      <c r="G4" s="214" t="s">
        <v>106</v>
      </c>
      <c r="H4" s="215"/>
      <c r="I4" s="215"/>
      <c r="J4" s="216"/>
      <c r="K4" s="96" t="s">
        <v>6</v>
      </c>
      <c r="L4" s="45"/>
      <c r="N4" s="40"/>
      <c r="O4" s="214" t="s">
        <v>104</v>
      </c>
      <c r="P4" s="215"/>
      <c r="Q4" s="216"/>
      <c r="R4" s="95" t="s">
        <v>20</v>
      </c>
      <c r="S4" s="95" t="s">
        <v>105</v>
      </c>
      <c r="T4" s="214" t="s">
        <v>106</v>
      </c>
      <c r="U4" s="215"/>
      <c r="V4" s="215"/>
      <c r="W4" s="216"/>
      <c r="X4" s="96" t="s">
        <v>6</v>
      </c>
      <c r="Y4" s="38"/>
      <c r="Z4" s="41"/>
      <c r="AA4" s="41"/>
      <c r="AB4" s="41"/>
      <c r="AC4" s="41"/>
      <c r="AD4" s="41"/>
      <c r="AE4" s="41"/>
    </row>
    <row r="5" spans="1:31" ht="15.95" customHeight="1">
      <c r="A5" s="39"/>
      <c r="B5" s="209" t="s">
        <v>107</v>
      </c>
      <c r="C5" s="210"/>
      <c r="D5" s="211"/>
      <c r="E5" s="70" t="s">
        <v>112</v>
      </c>
      <c r="F5" s="107" t="s">
        <v>113</v>
      </c>
      <c r="G5" s="42" t="s">
        <v>108</v>
      </c>
      <c r="H5" s="43" t="s">
        <v>109</v>
      </c>
      <c r="I5" s="43" t="s">
        <v>110</v>
      </c>
      <c r="J5" s="44" t="s">
        <v>111</v>
      </c>
      <c r="K5" s="97" t="s">
        <v>5</v>
      </c>
      <c r="L5" s="45"/>
      <c r="N5" s="94"/>
      <c r="O5" s="209" t="s">
        <v>107</v>
      </c>
      <c r="P5" s="210"/>
      <c r="Q5" s="211"/>
      <c r="R5" s="70" t="s">
        <v>112</v>
      </c>
      <c r="S5" s="107" t="s">
        <v>113</v>
      </c>
      <c r="T5" s="42" t="s">
        <v>108</v>
      </c>
      <c r="U5" s="43" t="s">
        <v>109</v>
      </c>
      <c r="V5" s="43" t="s">
        <v>110</v>
      </c>
      <c r="W5" s="44" t="s">
        <v>111</v>
      </c>
      <c r="X5" s="97" t="s">
        <v>5</v>
      </c>
      <c r="Y5" s="38"/>
    </row>
    <row r="6" spans="1:31" ht="20.100000000000001" customHeight="1" thickBot="1">
      <c r="A6" s="39"/>
      <c r="B6" s="98" t="s">
        <v>114</v>
      </c>
      <c r="C6" s="72">
        <v>1</v>
      </c>
      <c r="D6" s="73">
        <v>2</v>
      </c>
      <c r="E6" s="71"/>
      <c r="F6" s="108"/>
      <c r="G6" s="60"/>
      <c r="H6" s="61"/>
      <c r="I6" s="61"/>
      <c r="J6" s="62"/>
      <c r="K6" s="97" t="s">
        <v>115</v>
      </c>
      <c r="L6" s="45"/>
      <c r="N6" s="45"/>
      <c r="O6" s="98" t="s">
        <v>114</v>
      </c>
      <c r="P6" s="72">
        <v>1</v>
      </c>
      <c r="Q6" s="73">
        <v>2</v>
      </c>
      <c r="R6" s="71"/>
      <c r="S6" s="108"/>
      <c r="T6" s="60"/>
      <c r="U6" s="61"/>
      <c r="V6" s="61"/>
      <c r="W6" s="62"/>
      <c r="X6" s="97" t="s">
        <v>115</v>
      </c>
      <c r="Y6" s="38"/>
    </row>
    <row r="7" spans="1:31" ht="15.95" customHeight="1">
      <c r="A7" s="39"/>
      <c r="B7" s="99" t="s">
        <v>116</v>
      </c>
      <c r="C7" s="212" t="s">
        <v>118</v>
      </c>
      <c r="D7" s="212"/>
      <c r="E7" s="212"/>
      <c r="F7" s="212"/>
      <c r="G7" s="212" t="s">
        <v>117</v>
      </c>
      <c r="H7" s="213"/>
      <c r="I7" s="213"/>
      <c r="J7" s="213"/>
      <c r="K7" s="97" t="s">
        <v>119</v>
      </c>
      <c r="L7" s="45"/>
      <c r="N7" s="45"/>
      <c r="O7" s="99" t="s">
        <v>116</v>
      </c>
      <c r="P7" s="212" t="s">
        <v>118</v>
      </c>
      <c r="Q7" s="212"/>
      <c r="R7" s="212"/>
      <c r="S7" s="212"/>
      <c r="T7" s="212" t="s">
        <v>117</v>
      </c>
      <c r="U7" s="213"/>
      <c r="V7" s="213"/>
      <c r="W7" s="213"/>
      <c r="X7" s="97" t="s">
        <v>119</v>
      </c>
      <c r="Y7" s="38"/>
    </row>
    <row r="8" spans="1:31" ht="15.95" customHeight="1">
      <c r="A8" s="39"/>
      <c r="B8" s="100" t="s">
        <v>120</v>
      </c>
      <c r="C8" s="42">
        <v>1</v>
      </c>
      <c r="D8" s="43">
        <v>2</v>
      </c>
      <c r="E8" s="43">
        <v>3</v>
      </c>
      <c r="F8" s="44">
        <v>4</v>
      </c>
      <c r="G8" s="42">
        <v>1</v>
      </c>
      <c r="H8" s="43">
        <v>2</v>
      </c>
      <c r="I8" s="43">
        <v>3</v>
      </c>
      <c r="J8" s="44">
        <v>4</v>
      </c>
      <c r="K8" s="101" t="s">
        <v>121</v>
      </c>
      <c r="L8" s="45"/>
      <c r="N8" s="45"/>
      <c r="O8" s="100" t="s">
        <v>120</v>
      </c>
      <c r="P8" s="42">
        <v>1</v>
      </c>
      <c r="Q8" s="43">
        <v>2</v>
      </c>
      <c r="R8" s="43">
        <v>3</v>
      </c>
      <c r="S8" s="44">
        <v>4</v>
      </c>
      <c r="T8" s="42">
        <v>1</v>
      </c>
      <c r="U8" s="43">
        <v>2</v>
      </c>
      <c r="V8" s="43">
        <v>3</v>
      </c>
      <c r="W8" s="44">
        <v>4</v>
      </c>
      <c r="X8" s="101" t="s">
        <v>121</v>
      </c>
      <c r="Y8" s="38"/>
    </row>
    <row r="9" spans="1:31" ht="15.95" customHeight="1">
      <c r="A9" s="39"/>
      <c r="B9" s="102" t="s">
        <v>122</v>
      </c>
      <c r="C9" s="46">
        <v>1</v>
      </c>
      <c r="D9" s="47">
        <v>2</v>
      </c>
      <c r="E9" s="47">
        <v>3</v>
      </c>
      <c r="F9" s="48">
        <v>4</v>
      </c>
      <c r="G9" s="46">
        <v>1</v>
      </c>
      <c r="H9" s="47">
        <v>2</v>
      </c>
      <c r="I9" s="47">
        <v>3</v>
      </c>
      <c r="J9" s="48">
        <v>4</v>
      </c>
      <c r="K9" s="96" t="s">
        <v>123</v>
      </c>
      <c r="L9" s="45"/>
      <c r="N9" s="45"/>
      <c r="O9" s="102" t="s">
        <v>122</v>
      </c>
      <c r="P9" s="46">
        <v>1</v>
      </c>
      <c r="Q9" s="47">
        <v>2</v>
      </c>
      <c r="R9" s="47">
        <v>3</v>
      </c>
      <c r="S9" s="48">
        <v>4</v>
      </c>
      <c r="T9" s="46">
        <v>1</v>
      </c>
      <c r="U9" s="47">
        <v>2</v>
      </c>
      <c r="V9" s="47">
        <v>3</v>
      </c>
      <c r="W9" s="48">
        <v>4</v>
      </c>
      <c r="X9" s="96" t="s">
        <v>123</v>
      </c>
      <c r="Y9" s="38"/>
    </row>
    <row r="10" spans="1:31" ht="15.95" customHeight="1">
      <c r="A10" s="53"/>
      <c r="B10" s="103" t="s">
        <v>124</v>
      </c>
      <c r="C10" s="49">
        <v>1</v>
      </c>
      <c r="D10" s="50">
        <v>2</v>
      </c>
      <c r="E10" s="50">
        <v>3</v>
      </c>
      <c r="F10" s="51">
        <v>4</v>
      </c>
      <c r="G10" s="49">
        <v>1</v>
      </c>
      <c r="H10" s="50">
        <v>2</v>
      </c>
      <c r="I10" s="50">
        <v>3</v>
      </c>
      <c r="J10" s="51">
        <v>4</v>
      </c>
      <c r="K10" s="101" t="s">
        <v>125</v>
      </c>
      <c r="L10" s="45"/>
      <c r="N10" s="40"/>
      <c r="O10" s="103" t="s">
        <v>124</v>
      </c>
      <c r="P10" s="49">
        <v>1</v>
      </c>
      <c r="Q10" s="50">
        <v>2</v>
      </c>
      <c r="R10" s="50">
        <v>3</v>
      </c>
      <c r="S10" s="51">
        <v>4</v>
      </c>
      <c r="T10" s="49">
        <v>1</v>
      </c>
      <c r="U10" s="50">
        <v>2</v>
      </c>
      <c r="V10" s="50">
        <v>3</v>
      </c>
      <c r="W10" s="51">
        <v>4</v>
      </c>
      <c r="X10" s="101" t="s">
        <v>125</v>
      </c>
      <c r="Y10" s="38"/>
    </row>
    <row r="11" spans="1:31" ht="15.95" customHeight="1">
      <c r="A11" s="38"/>
      <c r="B11" s="206" t="s">
        <v>126</v>
      </c>
      <c r="C11" s="63">
        <v>1</v>
      </c>
      <c r="D11" s="64">
        <v>2</v>
      </c>
      <c r="E11" s="43">
        <v>3</v>
      </c>
      <c r="F11" s="44">
        <v>4</v>
      </c>
      <c r="G11" s="42">
        <v>1</v>
      </c>
      <c r="H11" s="43">
        <v>2</v>
      </c>
      <c r="I11" s="43">
        <v>3</v>
      </c>
      <c r="J11" s="44">
        <v>4</v>
      </c>
      <c r="K11" s="96" t="s">
        <v>123</v>
      </c>
      <c r="L11" s="94"/>
      <c r="N11" s="38"/>
      <c r="O11" s="206" t="s">
        <v>126</v>
      </c>
      <c r="P11" s="63">
        <v>1</v>
      </c>
      <c r="Q11" s="64">
        <v>2</v>
      </c>
      <c r="R11" s="43">
        <v>3</v>
      </c>
      <c r="S11" s="44">
        <v>4</v>
      </c>
      <c r="T11" s="42">
        <v>1</v>
      </c>
      <c r="U11" s="43">
        <v>2</v>
      </c>
      <c r="V11" s="43">
        <v>3</v>
      </c>
      <c r="W11" s="44">
        <v>4</v>
      </c>
      <c r="X11" s="96" t="s">
        <v>123</v>
      </c>
      <c r="Y11" s="38"/>
    </row>
    <row r="12" spans="1:31" ht="15.95" customHeight="1" thickBot="1">
      <c r="A12" s="56"/>
      <c r="B12" s="207"/>
      <c r="C12" s="65">
        <v>5</v>
      </c>
      <c r="D12" s="66">
        <v>6</v>
      </c>
      <c r="E12" s="61">
        <v>7</v>
      </c>
      <c r="F12" s="62">
        <v>8</v>
      </c>
      <c r="G12" s="60">
        <v>5</v>
      </c>
      <c r="H12" s="61">
        <v>6</v>
      </c>
      <c r="I12" s="61">
        <v>7</v>
      </c>
      <c r="J12" s="62">
        <v>8</v>
      </c>
      <c r="K12" s="101" t="s">
        <v>127</v>
      </c>
      <c r="L12" s="40"/>
      <c r="N12" s="38"/>
      <c r="O12" s="207"/>
      <c r="P12" s="65">
        <v>5</v>
      </c>
      <c r="Q12" s="66">
        <v>6</v>
      </c>
      <c r="R12" s="61">
        <v>7</v>
      </c>
      <c r="S12" s="62">
        <v>8</v>
      </c>
      <c r="T12" s="60">
        <v>5</v>
      </c>
      <c r="U12" s="61">
        <v>6</v>
      </c>
      <c r="V12" s="61">
        <v>7</v>
      </c>
      <c r="W12" s="62">
        <v>8</v>
      </c>
      <c r="X12" s="101" t="s">
        <v>127</v>
      </c>
      <c r="Y12" s="38"/>
    </row>
    <row r="13" spans="1:31" ht="15.95" customHeight="1">
      <c r="A13" s="38"/>
      <c r="B13" s="54" t="s">
        <v>128</v>
      </c>
      <c r="C13" s="67">
        <v>1</v>
      </c>
      <c r="D13" s="68">
        <v>2</v>
      </c>
      <c r="E13" s="68">
        <v>3</v>
      </c>
      <c r="F13" s="208" t="s">
        <v>129</v>
      </c>
      <c r="G13" s="208"/>
      <c r="H13" s="68">
        <v>2</v>
      </c>
      <c r="I13" s="68">
        <v>3</v>
      </c>
      <c r="J13" s="69"/>
      <c r="K13" s="104" t="s">
        <v>123</v>
      </c>
      <c r="L13" s="38"/>
      <c r="N13" s="38"/>
      <c r="O13" s="54" t="s">
        <v>128</v>
      </c>
      <c r="P13" s="67">
        <v>1</v>
      </c>
      <c r="Q13" s="68">
        <v>2</v>
      </c>
      <c r="R13" s="68">
        <v>3</v>
      </c>
      <c r="S13" s="208" t="s">
        <v>129</v>
      </c>
      <c r="T13" s="208"/>
      <c r="U13" s="68">
        <v>2</v>
      </c>
      <c r="V13" s="68">
        <v>3</v>
      </c>
      <c r="W13" s="69"/>
      <c r="X13" s="104" t="s">
        <v>123</v>
      </c>
      <c r="Y13" s="38"/>
    </row>
    <row r="14" spans="1:31" ht="2.1" customHeight="1">
      <c r="A14" s="38"/>
      <c r="B14" s="38"/>
      <c r="C14" s="38"/>
      <c r="D14" s="38"/>
      <c r="E14" s="38"/>
      <c r="F14" s="38"/>
      <c r="G14" s="38"/>
      <c r="H14" s="38"/>
      <c r="I14" s="38"/>
      <c r="J14" s="38"/>
      <c r="K14" s="38"/>
      <c r="L14" s="38"/>
      <c r="N14" s="38"/>
      <c r="O14" s="38"/>
      <c r="P14" s="38"/>
      <c r="Q14" s="38"/>
      <c r="R14" s="38"/>
      <c r="S14" s="38"/>
      <c r="T14" s="38"/>
      <c r="U14" s="38"/>
      <c r="V14" s="38"/>
      <c r="W14" s="38"/>
      <c r="X14" s="38"/>
      <c r="Y14" s="38"/>
    </row>
    <row r="15" spans="1:31" ht="3" customHeight="1">
      <c r="Y15" s="38"/>
    </row>
    <row r="16" spans="1:31" ht="3" customHeight="1">
      <c r="A16" s="38"/>
      <c r="B16" s="38"/>
      <c r="C16" s="38"/>
      <c r="D16" s="38"/>
      <c r="E16" s="38"/>
      <c r="F16" s="38"/>
      <c r="G16" s="38"/>
      <c r="H16" s="38"/>
      <c r="I16" s="38"/>
      <c r="J16" s="38"/>
      <c r="K16" s="38"/>
      <c r="L16" s="38"/>
      <c r="N16" s="38"/>
      <c r="O16" s="38"/>
      <c r="P16" s="38"/>
      <c r="Q16" s="38"/>
      <c r="R16" s="38"/>
      <c r="S16" s="38"/>
      <c r="T16" s="38"/>
      <c r="U16" s="38"/>
      <c r="V16" s="38"/>
      <c r="W16" s="38"/>
      <c r="X16" s="38"/>
      <c r="Y16" s="38"/>
    </row>
    <row r="17" spans="1:25" ht="19.7" customHeight="1">
      <c r="A17" s="39"/>
      <c r="B17" s="214" t="s">
        <v>104</v>
      </c>
      <c r="C17" s="215"/>
      <c r="D17" s="216"/>
      <c r="E17" s="95" t="s">
        <v>20</v>
      </c>
      <c r="F17" s="95" t="s">
        <v>105</v>
      </c>
      <c r="G17" s="214" t="s">
        <v>106</v>
      </c>
      <c r="H17" s="215"/>
      <c r="I17" s="215"/>
      <c r="J17" s="216"/>
      <c r="K17" s="96" t="s">
        <v>6</v>
      </c>
      <c r="L17" s="45"/>
      <c r="N17" s="40"/>
      <c r="O17" s="214" t="s">
        <v>104</v>
      </c>
      <c r="P17" s="215"/>
      <c r="Q17" s="216"/>
      <c r="R17" s="95" t="s">
        <v>20</v>
      </c>
      <c r="S17" s="95" t="s">
        <v>105</v>
      </c>
      <c r="T17" s="214" t="s">
        <v>106</v>
      </c>
      <c r="U17" s="215"/>
      <c r="V17" s="215"/>
      <c r="W17" s="216"/>
      <c r="X17" s="96" t="s">
        <v>6</v>
      </c>
      <c r="Y17" s="55"/>
    </row>
    <row r="18" spans="1:25" ht="15.95" customHeight="1">
      <c r="A18" s="39"/>
      <c r="B18" s="209" t="s">
        <v>107</v>
      </c>
      <c r="C18" s="210"/>
      <c r="D18" s="211"/>
      <c r="E18" s="70" t="s">
        <v>112</v>
      </c>
      <c r="F18" s="107" t="s">
        <v>113</v>
      </c>
      <c r="G18" s="42" t="s">
        <v>108</v>
      </c>
      <c r="H18" s="43" t="s">
        <v>109</v>
      </c>
      <c r="I18" s="43" t="s">
        <v>110</v>
      </c>
      <c r="J18" s="44" t="s">
        <v>111</v>
      </c>
      <c r="K18" s="97" t="s">
        <v>5</v>
      </c>
      <c r="L18" s="45"/>
      <c r="N18" s="94"/>
      <c r="O18" s="209" t="s">
        <v>107</v>
      </c>
      <c r="P18" s="210"/>
      <c r="Q18" s="211"/>
      <c r="R18" s="70" t="s">
        <v>112</v>
      </c>
      <c r="S18" s="107" t="s">
        <v>113</v>
      </c>
      <c r="T18" s="42" t="s">
        <v>108</v>
      </c>
      <c r="U18" s="43" t="s">
        <v>109</v>
      </c>
      <c r="V18" s="43" t="s">
        <v>110</v>
      </c>
      <c r="W18" s="44" t="s">
        <v>111</v>
      </c>
      <c r="X18" s="97" t="s">
        <v>5</v>
      </c>
      <c r="Y18" s="38"/>
    </row>
    <row r="19" spans="1:25" ht="20.100000000000001" customHeight="1" thickBot="1">
      <c r="A19" s="39"/>
      <c r="B19" s="98" t="s">
        <v>114</v>
      </c>
      <c r="C19" s="72">
        <v>1</v>
      </c>
      <c r="D19" s="73">
        <v>2</v>
      </c>
      <c r="E19" s="71"/>
      <c r="F19" s="108"/>
      <c r="G19" s="60"/>
      <c r="H19" s="61"/>
      <c r="I19" s="61"/>
      <c r="J19" s="62"/>
      <c r="K19" s="97" t="s">
        <v>115</v>
      </c>
      <c r="L19" s="45"/>
      <c r="N19" s="45"/>
      <c r="O19" s="98" t="s">
        <v>114</v>
      </c>
      <c r="P19" s="72">
        <v>1</v>
      </c>
      <c r="Q19" s="73">
        <v>2</v>
      </c>
      <c r="R19" s="71"/>
      <c r="S19" s="108"/>
      <c r="T19" s="60"/>
      <c r="U19" s="61"/>
      <c r="V19" s="61"/>
      <c r="W19" s="62"/>
      <c r="X19" s="97" t="s">
        <v>115</v>
      </c>
      <c r="Y19" s="38"/>
    </row>
    <row r="20" spans="1:25" ht="15.95" customHeight="1">
      <c r="A20" s="39"/>
      <c r="B20" s="99" t="s">
        <v>116</v>
      </c>
      <c r="C20" s="212" t="s">
        <v>118</v>
      </c>
      <c r="D20" s="212"/>
      <c r="E20" s="212"/>
      <c r="F20" s="212"/>
      <c r="G20" s="212" t="s">
        <v>117</v>
      </c>
      <c r="H20" s="213"/>
      <c r="I20" s="213"/>
      <c r="J20" s="213"/>
      <c r="K20" s="97" t="s">
        <v>119</v>
      </c>
      <c r="L20" s="45"/>
      <c r="N20" s="45"/>
      <c r="O20" s="99" t="s">
        <v>116</v>
      </c>
      <c r="P20" s="212" t="s">
        <v>118</v>
      </c>
      <c r="Q20" s="212"/>
      <c r="R20" s="212"/>
      <c r="S20" s="212"/>
      <c r="T20" s="212" t="s">
        <v>117</v>
      </c>
      <c r="U20" s="213"/>
      <c r="V20" s="213"/>
      <c r="W20" s="213"/>
      <c r="X20" s="97" t="s">
        <v>119</v>
      </c>
      <c r="Y20" s="55"/>
    </row>
    <row r="21" spans="1:25" ht="15.95" customHeight="1">
      <c r="A21" s="39"/>
      <c r="B21" s="100" t="s">
        <v>120</v>
      </c>
      <c r="C21" s="42">
        <v>1</v>
      </c>
      <c r="D21" s="43">
        <v>2</v>
      </c>
      <c r="E21" s="43">
        <v>3</v>
      </c>
      <c r="F21" s="44">
        <v>4</v>
      </c>
      <c r="G21" s="42">
        <v>1</v>
      </c>
      <c r="H21" s="43">
        <v>2</v>
      </c>
      <c r="I21" s="43">
        <v>3</v>
      </c>
      <c r="J21" s="44">
        <v>4</v>
      </c>
      <c r="K21" s="101" t="s">
        <v>121</v>
      </c>
      <c r="L21" s="45"/>
      <c r="N21" s="45"/>
      <c r="O21" s="100" t="s">
        <v>120</v>
      </c>
      <c r="P21" s="42">
        <v>1</v>
      </c>
      <c r="Q21" s="43">
        <v>2</v>
      </c>
      <c r="R21" s="43">
        <v>3</v>
      </c>
      <c r="S21" s="44">
        <v>4</v>
      </c>
      <c r="T21" s="42">
        <v>1</v>
      </c>
      <c r="U21" s="43">
        <v>2</v>
      </c>
      <c r="V21" s="43">
        <v>3</v>
      </c>
      <c r="W21" s="44">
        <v>4</v>
      </c>
      <c r="X21" s="101" t="s">
        <v>121</v>
      </c>
      <c r="Y21" s="38"/>
    </row>
    <row r="22" spans="1:25" ht="15.95" customHeight="1">
      <c r="A22" s="39"/>
      <c r="B22" s="102" t="s">
        <v>122</v>
      </c>
      <c r="C22" s="46">
        <v>1</v>
      </c>
      <c r="D22" s="47">
        <v>2</v>
      </c>
      <c r="E22" s="47">
        <v>3</v>
      </c>
      <c r="F22" s="48">
        <v>4</v>
      </c>
      <c r="G22" s="46">
        <v>1</v>
      </c>
      <c r="H22" s="47">
        <v>2</v>
      </c>
      <c r="I22" s="47">
        <v>3</v>
      </c>
      <c r="J22" s="48">
        <v>4</v>
      </c>
      <c r="K22" s="96" t="s">
        <v>123</v>
      </c>
      <c r="L22" s="45"/>
      <c r="N22" s="45"/>
      <c r="O22" s="102" t="s">
        <v>122</v>
      </c>
      <c r="P22" s="46">
        <v>1</v>
      </c>
      <c r="Q22" s="47">
        <v>2</v>
      </c>
      <c r="R22" s="47">
        <v>3</v>
      </c>
      <c r="S22" s="48">
        <v>4</v>
      </c>
      <c r="T22" s="46">
        <v>1</v>
      </c>
      <c r="U22" s="47">
        <v>2</v>
      </c>
      <c r="V22" s="47">
        <v>3</v>
      </c>
      <c r="W22" s="48">
        <v>4</v>
      </c>
      <c r="X22" s="96" t="s">
        <v>123</v>
      </c>
      <c r="Y22" s="38"/>
    </row>
    <row r="23" spans="1:25" ht="15.95" customHeight="1">
      <c r="A23" s="39"/>
      <c r="B23" s="103" t="s">
        <v>124</v>
      </c>
      <c r="C23" s="49">
        <v>1</v>
      </c>
      <c r="D23" s="50">
        <v>2</v>
      </c>
      <c r="E23" s="50">
        <v>3</v>
      </c>
      <c r="F23" s="51">
        <v>4</v>
      </c>
      <c r="G23" s="49">
        <v>1</v>
      </c>
      <c r="H23" s="50">
        <v>2</v>
      </c>
      <c r="I23" s="50">
        <v>3</v>
      </c>
      <c r="J23" s="51">
        <v>4</v>
      </c>
      <c r="K23" s="101" t="s">
        <v>125</v>
      </c>
      <c r="L23" s="40"/>
      <c r="N23" s="40"/>
      <c r="O23" s="103" t="s">
        <v>124</v>
      </c>
      <c r="P23" s="49">
        <v>1</v>
      </c>
      <c r="Q23" s="50">
        <v>2</v>
      </c>
      <c r="R23" s="50">
        <v>3</v>
      </c>
      <c r="S23" s="51">
        <v>4</v>
      </c>
      <c r="T23" s="49">
        <v>1</v>
      </c>
      <c r="U23" s="50">
        <v>2</v>
      </c>
      <c r="V23" s="50">
        <v>3</v>
      </c>
      <c r="W23" s="51">
        <v>4</v>
      </c>
      <c r="X23" s="101" t="s">
        <v>125</v>
      </c>
      <c r="Y23" s="38"/>
    </row>
    <row r="24" spans="1:25" ht="15.95" customHeight="1">
      <c r="A24" s="52"/>
      <c r="B24" s="206" t="s">
        <v>126</v>
      </c>
      <c r="C24" s="63">
        <v>1</v>
      </c>
      <c r="D24" s="64">
        <v>2</v>
      </c>
      <c r="E24" s="43">
        <v>3</v>
      </c>
      <c r="F24" s="44">
        <v>4</v>
      </c>
      <c r="G24" s="42">
        <v>1</v>
      </c>
      <c r="H24" s="43">
        <v>2</v>
      </c>
      <c r="I24" s="43">
        <v>3</v>
      </c>
      <c r="J24" s="44">
        <v>4</v>
      </c>
      <c r="K24" s="96" t="s">
        <v>123</v>
      </c>
      <c r="L24" s="38"/>
      <c r="N24" s="38"/>
      <c r="O24" s="206" t="s">
        <v>126</v>
      </c>
      <c r="P24" s="63">
        <v>1</v>
      </c>
      <c r="Q24" s="64">
        <v>2</v>
      </c>
      <c r="R24" s="43">
        <v>3</v>
      </c>
      <c r="S24" s="44">
        <v>4</v>
      </c>
      <c r="T24" s="42">
        <v>1</v>
      </c>
      <c r="U24" s="43">
        <v>2</v>
      </c>
      <c r="V24" s="43">
        <v>3</v>
      </c>
      <c r="W24" s="44">
        <v>4</v>
      </c>
      <c r="X24" s="96" t="s">
        <v>123</v>
      </c>
      <c r="Y24" s="38"/>
    </row>
    <row r="25" spans="1:25" ht="15.95" customHeight="1" thickBot="1">
      <c r="A25" s="53"/>
      <c r="B25" s="207"/>
      <c r="C25" s="65">
        <v>5</v>
      </c>
      <c r="D25" s="66">
        <v>6</v>
      </c>
      <c r="E25" s="61">
        <v>7</v>
      </c>
      <c r="F25" s="62">
        <v>8</v>
      </c>
      <c r="G25" s="60">
        <v>5</v>
      </c>
      <c r="H25" s="61">
        <v>6</v>
      </c>
      <c r="I25" s="61">
        <v>7</v>
      </c>
      <c r="J25" s="62">
        <v>8</v>
      </c>
      <c r="K25" s="101" t="s">
        <v>127</v>
      </c>
      <c r="L25" s="38"/>
      <c r="N25" s="38"/>
      <c r="O25" s="207"/>
      <c r="P25" s="65">
        <v>5</v>
      </c>
      <c r="Q25" s="66">
        <v>6</v>
      </c>
      <c r="R25" s="61">
        <v>7</v>
      </c>
      <c r="S25" s="62">
        <v>8</v>
      </c>
      <c r="T25" s="60">
        <v>5</v>
      </c>
      <c r="U25" s="61">
        <v>6</v>
      </c>
      <c r="V25" s="61">
        <v>7</v>
      </c>
      <c r="W25" s="62">
        <v>8</v>
      </c>
      <c r="X25" s="101" t="s">
        <v>127</v>
      </c>
      <c r="Y25" s="38"/>
    </row>
    <row r="26" spans="1:25" ht="15.95" customHeight="1" thickBot="1">
      <c r="A26" s="57"/>
      <c r="B26" s="54" t="s">
        <v>128</v>
      </c>
      <c r="C26" s="67">
        <v>1</v>
      </c>
      <c r="D26" s="68">
        <v>2</v>
      </c>
      <c r="E26" s="68">
        <v>3</v>
      </c>
      <c r="F26" s="208" t="s">
        <v>129</v>
      </c>
      <c r="G26" s="208"/>
      <c r="H26" s="68">
        <v>2</v>
      </c>
      <c r="I26" s="68">
        <v>3</v>
      </c>
      <c r="J26" s="69"/>
      <c r="K26" s="104" t="s">
        <v>123</v>
      </c>
      <c r="L26" s="57"/>
      <c r="N26" s="57"/>
      <c r="O26" s="54" t="s">
        <v>128</v>
      </c>
      <c r="P26" s="67">
        <v>1</v>
      </c>
      <c r="Q26" s="68">
        <v>2</v>
      </c>
      <c r="R26" s="68">
        <v>3</v>
      </c>
      <c r="S26" s="208" t="s">
        <v>129</v>
      </c>
      <c r="T26" s="208"/>
      <c r="U26" s="68">
        <v>2</v>
      </c>
      <c r="V26" s="68">
        <v>3</v>
      </c>
      <c r="W26" s="69"/>
      <c r="X26" s="104" t="s">
        <v>123</v>
      </c>
      <c r="Y26" s="57"/>
    </row>
    <row r="27" spans="1:25" ht="3" customHeight="1" thickTop="1">
      <c r="A27" s="38"/>
      <c r="B27" s="38"/>
      <c r="C27" s="38"/>
      <c r="D27" s="38"/>
      <c r="E27" s="38"/>
      <c r="F27" s="38"/>
      <c r="G27" s="38"/>
      <c r="H27" s="38"/>
      <c r="I27" s="38"/>
      <c r="J27" s="38"/>
      <c r="K27" s="38"/>
      <c r="L27" s="38"/>
      <c r="N27" s="38"/>
      <c r="O27" s="38"/>
      <c r="P27" s="38"/>
      <c r="Q27" s="38"/>
      <c r="R27" s="38"/>
      <c r="S27" s="38"/>
      <c r="T27" s="38"/>
      <c r="U27" s="38"/>
      <c r="V27" s="38"/>
      <c r="W27" s="38"/>
      <c r="X27" s="38"/>
      <c r="Y27" s="38"/>
    </row>
    <row r="28" spans="1:25" ht="4.3499999999999996" customHeight="1"/>
    <row r="29" spans="1:25" ht="3" customHeight="1">
      <c r="A29" s="38"/>
      <c r="B29" s="38"/>
      <c r="C29" s="38"/>
      <c r="D29" s="38"/>
      <c r="E29" s="38"/>
      <c r="F29" s="38"/>
      <c r="G29" s="38"/>
      <c r="H29" s="38"/>
      <c r="I29" s="38"/>
      <c r="J29" s="38"/>
      <c r="K29" s="38"/>
      <c r="L29" s="38"/>
      <c r="N29" s="38"/>
      <c r="O29" s="38"/>
      <c r="P29" s="38"/>
      <c r="Q29" s="38"/>
      <c r="R29" s="38"/>
      <c r="S29" s="38"/>
      <c r="T29" s="38"/>
      <c r="U29" s="38"/>
      <c r="V29" s="38"/>
      <c r="W29" s="38"/>
      <c r="X29" s="38"/>
      <c r="Y29" s="38"/>
    </row>
    <row r="30" spans="1:25" ht="19.7" customHeight="1">
      <c r="A30" s="39"/>
      <c r="B30" s="214" t="s">
        <v>104</v>
      </c>
      <c r="C30" s="215"/>
      <c r="D30" s="216"/>
      <c r="E30" s="95" t="s">
        <v>20</v>
      </c>
      <c r="F30" s="95" t="s">
        <v>105</v>
      </c>
      <c r="G30" s="214" t="s">
        <v>106</v>
      </c>
      <c r="H30" s="215"/>
      <c r="I30" s="215"/>
      <c r="J30" s="216"/>
      <c r="K30" s="96" t="s">
        <v>6</v>
      </c>
      <c r="L30" s="45"/>
      <c r="N30" s="40"/>
      <c r="O30" s="214" t="s">
        <v>104</v>
      </c>
      <c r="P30" s="215"/>
      <c r="Q30" s="216"/>
      <c r="R30" s="95" t="s">
        <v>20</v>
      </c>
      <c r="S30" s="95" t="s">
        <v>105</v>
      </c>
      <c r="T30" s="214" t="s">
        <v>106</v>
      </c>
      <c r="U30" s="215"/>
      <c r="V30" s="215"/>
      <c r="W30" s="216"/>
      <c r="X30" s="96" t="s">
        <v>6</v>
      </c>
      <c r="Y30" s="55"/>
    </row>
    <row r="31" spans="1:25" ht="15.95" customHeight="1">
      <c r="A31" s="39"/>
      <c r="B31" s="209" t="s">
        <v>107</v>
      </c>
      <c r="C31" s="210"/>
      <c r="D31" s="211"/>
      <c r="E31" s="70" t="s">
        <v>112</v>
      </c>
      <c r="F31" s="107" t="s">
        <v>113</v>
      </c>
      <c r="G31" s="42" t="s">
        <v>108</v>
      </c>
      <c r="H31" s="43" t="s">
        <v>109</v>
      </c>
      <c r="I31" s="43" t="s">
        <v>110</v>
      </c>
      <c r="J31" s="44" t="s">
        <v>111</v>
      </c>
      <c r="K31" s="97" t="s">
        <v>5</v>
      </c>
      <c r="L31" s="45"/>
      <c r="N31" s="94"/>
      <c r="O31" s="209" t="s">
        <v>107</v>
      </c>
      <c r="P31" s="210"/>
      <c r="Q31" s="211"/>
      <c r="R31" s="70" t="s">
        <v>112</v>
      </c>
      <c r="S31" s="107" t="s">
        <v>113</v>
      </c>
      <c r="T31" s="42" t="s">
        <v>108</v>
      </c>
      <c r="U31" s="43" t="s">
        <v>109</v>
      </c>
      <c r="V31" s="43" t="s">
        <v>110</v>
      </c>
      <c r="W31" s="44" t="s">
        <v>111</v>
      </c>
      <c r="X31" s="97" t="s">
        <v>5</v>
      </c>
      <c r="Y31" s="38"/>
    </row>
    <row r="32" spans="1:25" ht="20.100000000000001" customHeight="1" thickBot="1">
      <c r="A32" s="39"/>
      <c r="B32" s="98" t="s">
        <v>114</v>
      </c>
      <c r="C32" s="72">
        <v>1</v>
      </c>
      <c r="D32" s="73">
        <v>2</v>
      </c>
      <c r="E32" s="71"/>
      <c r="F32" s="108"/>
      <c r="G32" s="60"/>
      <c r="H32" s="61"/>
      <c r="I32" s="61"/>
      <c r="J32" s="62"/>
      <c r="K32" s="97" t="s">
        <v>115</v>
      </c>
      <c r="L32" s="45"/>
      <c r="N32" s="45"/>
      <c r="O32" s="98" t="s">
        <v>114</v>
      </c>
      <c r="P32" s="72">
        <v>1</v>
      </c>
      <c r="Q32" s="73">
        <v>2</v>
      </c>
      <c r="R32" s="71"/>
      <c r="S32" s="108"/>
      <c r="T32" s="60"/>
      <c r="U32" s="61"/>
      <c r="V32" s="61"/>
      <c r="W32" s="62"/>
      <c r="X32" s="97" t="s">
        <v>115</v>
      </c>
      <c r="Y32" s="38"/>
    </row>
    <row r="33" spans="1:25" ht="15.95" customHeight="1">
      <c r="A33" s="39"/>
      <c r="B33" s="99" t="s">
        <v>116</v>
      </c>
      <c r="C33" s="212" t="s">
        <v>118</v>
      </c>
      <c r="D33" s="212"/>
      <c r="E33" s="212"/>
      <c r="F33" s="212"/>
      <c r="G33" s="212" t="s">
        <v>117</v>
      </c>
      <c r="H33" s="213"/>
      <c r="I33" s="213"/>
      <c r="J33" s="213"/>
      <c r="K33" s="97" t="s">
        <v>119</v>
      </c>
      <c r="L33" s="45"/>
      <c r="N33" s="45"/>
      <c r="O33" s="99" t="s">
        <v>116</v>
      </c>
      <c r="P33" s="212" t="s">
        <v>118</v>
      </c>
      <c r="Q33" s="212"/>
      <c r="R33" s="212"/>
      <c r="S33" s="212"/>
      <c r="T33" s="212" t="s">
        <v>117</v>
      </c>
      <c r="U33" s="213"/>
      <c r="V33" s="213"/>
      <c r="W33" s="213"/>
      <c r="X33" s="97" t="s">
        <v>119</v>
      </c>
      <c r="Y33" s="55"/>
    </row>
    <row r="34" spans="1:25" ht="15.95" customHeight="1">
      <c r="A34" s="39"/>
      <c r="B34" s="100" t="s">
        <v>120</v>
      </c>
      <c r="C34" s="42">
        <v>1</v>
      </c>
      <c r="D34" s="43">
        <v>2</v>
      </c>
      <c r="E34" s="43">
        <v>3</v>
      </c>
      <c r="F34" s="44">
        <v>4</v>
      </c>
      <c r="G34" s="42">
        <v>1</v>
      </c>
      <c r="H34" s="43">
        <v>2</v>
      </c>
      <c r="I34" s="43">
        <v>3</v>
      </c>
      <c r="J34" s="44">
        <v>4</v>
      </c>
      <c r="K34" s="101" t="s">
        <v>121</v>
      </c>
      <c r="L34" s="45"/>
      <c r="N34" s="45"/>
      <c r="O34" s="100" t="s">
        <v>120</v>
      </c>
      <c r="P34" s="42">
        <v>1</v>
      </c>
      <c r="Q34" s="43">
        <v>2</v>
      </c>
      <c r="R34" s="43">
        <v>3</v>
      </c>
      <c r="S34" s="44">
        <v>4</v>
      </c>
      <c r="T34" s="42">
        <v>1</v>
      </c>
      <c r="U34" s="43">
        <v>2</v>
      </c>
      <c r="V34" s="43">
        <v>3</v>
      </c>
      <c r="W34" s="44">
        <v>4</v>
      </c>
      <c r="X34" s="101" t="s">
        <v>121</v>
      </c>
      <c r="Y34" s="38"/>
    </row>
    <row r="35" spans="1:25" ht="15.95" customHeight="1">
      <c r="A35" s="39"/>
      <c r="B35" s="102" t="s">
        <v>122</v>
      </c>
      <c r="C35" s="46">
        <v>1</v>
      </c>
      <c r="D35" s="47">
        <v>2</v>
      </c>
      <c r="E35" s="47">
        <v>3</v>
      </c>
      <c r="F35" s="48">
        <v>4</v>
      </c>
      <c r="G35" s="46">
        <v>1</v>
      </c>
      <c r="H35" s="47">
        <v>2</v>
      </c>
      <c r="I35" s="47">
        <v>3</v>
      </c>
      <c r="J35" s="48">
        <v>4</v>
      </c>
      <c r="K35" s="96" t="s">
        <v>123</v>
      </c>
      <c r="L35" s="45"/>
      <c r="N35" s="45"/>
      <c r="O35" s="102" t="s">
        <v>122</v>
      </c>
      <c r="P35" s="46">
        <v>1</v>
      </c>
      <c r="Q35" s="47">
        <v>2</v>
      </c>
      <c r="R35" s="47">
        <v>3</v>
      </c>
      <c r="S35" s="48">
        <v>4</v>
      </c>
      <c r="T35" s="46">
        <v>1</v>
      </c>
      <c r="U35" s="47">
        <v>2</v>
      </c>
      <c r="V35" s="47">
        <v>3</v>
      </c>
      <c r="W35" s="48">
        <v>4</v>
      </c>
      <c r="X35" s="96" t="s">
        <v>123</v>
      </c>
      <c r="Y35" s="38"/>
    </row>
    <row r="36" spans="1:25" ht="15.95" customHeight="1">
      <c r="A36" s="39"/>
      <c r="B36" s="103" t="s">
        <v>124</v>
      </c>
      <c r="C36" s="49">
        <v>1</v>
      </c>
      <c r="D36" s="50">
        <v>2</v>
      </c>
      <c r="E36" s="50">
        <v>3</v>
      </c>
      <c r="F36" s="51">
        <v>4</v>
      </c>
      <c r="G36" s="49">
        <v>1</v>
      </c>
      <c r="H36" s="50">
        <v>2</v>
      </c>
      <c r="I36" s="50">
        <v>3</v>
      </c>
      <c r="J36" s="51">
        <v>4</v>
      </c>
      <c r="K36" s="101" t="s">
        <v>125</v>
      </c>
      <c r="L36" s="40"/>
      <c r="N36" s="40"/>
      <c r="O36" s="103" t="s">
        <v>124</v>
      </c>
      <c r="P36" s="49">
        <v>1</v>
      </c>
      <c r="Q36" s="50">
        <v>2</v>
      </c>
      <c r="R36" s="50">
        <v>3</v>
      </c>
      <c r="S36" s="51">
        <v>4</v>
      </c>
      <c r="T36" s="49">
        <v>1</v>
      </c>
      <c r="U36" s="50">
        <v>2</v>
      </c>
      <c r="V36" s="50">
        <v>3</v>
      </c>
      <c r="W36" s="51">
        <v>4</v>
      </c>
      <c r="X36" s="101" t="s">
        <v>125</v>
      </c>
      <c r="Y36" s="38"/>
    </row>
    <row r="37" spans="1:25" ht="15.95" customHeight="1">
      <c r="A37" s="52"/>
      <c r="B37" s="206" t="s">
        <v>126</v>
      </c>
      <c r="C37" s="63">
        <v>1</v>
      </c>
      <c r="D37" s="64">
        <v>2</v>
      </c>
      <c r="E37" s="43">
        <v>3</v>
      </c>
      <c r="F37" s="44">
        <v>4</v>
      </c>
      <c r="G37" s="42">
        <v>1</v>
      </c>
      <c r="H37" s="43">
        <v>2</v>
      </c>
      <c r="I37" s="43">
        <v>3</v>
      </c>
      <c r="J37" s="44">
        <v>4</v>
      </c>
      <c r="K37" s="96" t="s">
        <v>123</v>
      </c>
      <c r="L37" s="38"/>
      <c r="N37" s="38"/>
      <c r="O37" s="206" t="s">
        <v>126</v>
      </c>
      <c r="P37" s="63">
        <v>1</v>
      </c>
      <c r="Q37" s="64">
        <v>2</v>
      </c>
      <c r="R37" s="43">
        <v>3</v>
      </c>
      <c r="S37" s="44">
        <v>4</v>
      </c>
      <c r="T37" s="42">
        <v>1</v>
      </c>
      <c r="U37" s="43">
        <v>2</v>
      </c>
      <c r="V37" s="43">
        <v>3</v>
      </c>
      <c r="W37" s="44">
        <v>4</v>
      </c>
      <c r="X37" s="96" t="s">
        <v>123</v>
      </c>
      <c r="Y37" s="38"/>
    </row>
    <row r="38" spans="1:25" ht="15.95" customHeight="1" thickBot="1">
      <c r="A38" s="53"/>
      <c r="B38" s="207"/>
      <c r="C38" s="65">
        <v>5</v>
      </c>
      <c r="D38" s="66">
        <v>6</v>
      </c>
      <c r="E38" s="61">
        <v>7</v>
      </c>
      <c r="F38" s="62">
        <v>8</v>
      </c>
      <c r="G38" s="60">
        <v>5</v>
      </c>
      <c r="H38" s="61">
        <v>6</v>
      </c>
      <c r="I38" s="61">
        <v>7</v>
      </c>
      <c r="J38" s="62">
        <v>8</v>
      </c>
      <c r="K38" s="101" t="s">
        <v>127</v>
      </c>
      <c r="L38" s="38"/>
      <c r="N38" s="38"/>
      <c r="O38" s="207"/>
      <c r="P38" s="65">
        <v>5</v>
      </c>
      <c r="Q38" s="66">
        <v>6</v>
      </c>
      <c r="R38" s="61">
        <v>7</v>
      </c>
      <c r="S38" s="62">
        <v>8</v>
      </c>
      <c r="T38" s="60">
        <v>5</v>
      </c>
      <c r="U38" s="61">
        <v>6</v>
      </c>
      <c r="V38" s="61">
        <v>7</v>
      </c>
      <c r="W38" s="62">
        <v>8</v>
      </c>
      <c r="X38" s="101" t="s">
        <v>127</v>
      </c>
      <c r="Y38" s="38"/>
    </row>
    <row r="39" spans="1:25" ht="15.95" customHeight="1">
      <c r="A39" s="38"/>
      <c r="B39" s="54" t="s">
        <v>128</v>
      </c>
      <c r="C39" s="67">
        <v>1</v>
      </c>
      <c r="D39" s="68">
        <v>2</v>
      </c>
      <c r="E39" s="68">
        <v>3</v>
      </c>
      <c r="F39" s="208" t="s">
        <v>129</v>
      </c>
      <c r="G39" s="208"/>
      <c r="H39" s="68">
        <v>2</v>
      </c>
      <c r="I39" s="68">
        <v>3</v>
      </c>
      <c r="J39" s="69"/>
      <c r="K39" s="104" t="s">
        <v>123</v>
      </c>
      <c r="L39" s="38"/>
      <c r="N39" s="38"/>
      <c r="O39" s="54" t="s">
        <v>128</v>
      </c>
      <c r="P39" s="67">
        <v>1</v>
      </c>
      <c r="Q39" s="68">
        <v>2</v>
      </c>
      <c r="R39" s="68">
        <v>3</v>
      </c>
      <c r="S39" s="208" t="s">
        <v>129</v>
      </c>
      <c r="T39" s="208"/>
      <c r="U39" s="68">
        <v>2</v>
      </c>
      <c r="V39" s="68">
        <v>3</v>
      </c>
      <c r="W39" s="69"/>
      <c r="X39" s="104" t="s">
        <v>123</v>
      </c>
      <c r="Y39" s="38"/>
    </row>
    <row r="40" spans="1:25" ht="3" customHeight="1">
      <c r="A40" s="38"/>
      <c r="B40" s="38"/>
      <c r="C40" s="38"/>
      <c r="D40" s="38"/>
      <c r="E40" s="38"/>
      <c r="F40" s="38"/>
      <c r="G40" s="38"/>
      <c r="H40" s="38"/>
      <c r="I40" s="38"/>
      <c r="J40" s="38"/>
      <c r="K40" s="38"/>
      <c r="L40" s="38"/>
      <c r="N40" s="38"/>
      <c r="O40" s="38"/>
      <c r="P40" s="38"/>
      <c r="Q40" s="38"/>
      <c r="R40" s="38"/>
      <c r="S40" s="38"/>
      <c r="T40" s="38"/>
      <c r="U40" s="38"/>
      <c r="V40" s="38"/>
      <c r="W40" s="38"/>
      <c r="X40" s="38"/>
      <c r="Y40" s="38"/>
    </row>
    <row r="41" spans="1:25" ht="3.6" customHeight="1"/>
    <row r="42" spans="1:25" ht="3" customHeight="1">
      <c r="A42" s="38"/>
      <c r="B42" s="38"/>
      <c r="C42" s="38"/>
      <c r="D42" s="38"/>
      <c r="E42" s="38"/>
      <c r="F42" s="38"/>
      <c r="G42" s="38"/>
      <c r="H42" s="38"/>
      <c r="I42" s="38"/>
      <c r="J42" s="38"/>
      <c r="K42" s="38"/>
      <c r="L42" s="38"/>
      <c r="N42" s="38"/>
      <c r="O42" s="38"/>
      <c r="P42" s="38"/>
      <c r="Q42" s="38"/>
      <c r="R42" s="38"/>
      <c r="S42" s="38"/>
      <c r="T42" s="38"/>
      <c r="U42" s="38"/>
      <c r="V42" s="38"/>
      <c r="W42" s="38"/>
      <c r="X42" s="38"/>
      <c r="Y42" s="38"/>
    </row>
    <row r="43" spans="1:25" ht="20.100000000000001" customHeight="1">
      <c r="A43" s="39"/>
      <c r="B43" s="214" t="s">
        <v>104</v>
      </c>
      <c r="C43" s="215"/>
      <c r="D43" s="216"/>
      <c r="E43" s="95" t="s">
        <v>20</v>
      </c>
      <c r="F43" s="95" t="s">
        <v>105</v>
      </c>
      <c r="G43" s="214" t="s">
        <v>106</v>
      </c>
      <c r="H43" s="215"/>
      <c r="I43" s="215"/>
      <c r="J43" s="216"/>
      <c r="K43" s="96" t="s">
        <v>6</v>
      </c>
      <c r="L43" s="45"/>
      <c r="N43" s="40"/>
      <c r="O43" s="214" t="s">
        <v>104</v>
      </c>
      <c r="P43" s="215"/>
      <c r="Q43" s="216"/>
      <c r="R43" s="95" t="s">
        <v>20</v>
      </c>
      <c r="S43" s="95" t="s">
        <v>105</v>
      </c>
      <c r="T43" s="214" t="s">
        <v>106</v>
      </c>
      <c r="U43" s="215"/>
      <c r="V43" s="215"/>
      <c r="W43" s="216"/>
      <c r="X43" s="96" t="s">
        <v>6</v>
      </c>
      <c r="Y43" s="55"/>
    </row>
    <row r="44" spans="1:25" ht="15.95" customHeight="1">
      <c r="A44" s="39"/>
      <c r="B44" s="209" t="s">
        <v>107</v>
      </c>
      <c r="C44" s="210"/>
      <c r="D44" s="211"/>
      <c r="E44" s="70" t="s">
        <v>112</v>
      </c>
      <c r="F44" s="107" t="s">
        <v>113</v>
      </c>
      <c r="G44" s="42" t="s">
        <v>108</v>
      </c>
      <c r="H44" s="43" t="s">
        <v>109</v>
      </c>
      <c r="I44" s="43" t="s">
        <v>110</v>
      </c>
      <c r="J44" s="44" t="s">
        <v>111</v>
      </c>
      <c r="K44" s="97" t="s">
        <v>5</v>
      </c>
      <c r="L44" s="45"/>
      <c r="N44" s="94"/>
      <c r="O44" s="209" t="s">
        <v>107</v>
      </c>
      <c r="P44" s="210"/>
      <c r="Q44" s="211"/>
      <c r="R44" s="70" t="s">
        <v>112</v>
      </c>
      <c r="S44" s="107" t="s">
        <v>113</v>
      </c>
      <c r="T44" s="42" t="s">
        <v>108</v>
      </c>
      <c r="U44" s="43" t="s">
        <v>109</v>
      </c>
      <c r="V44" s="43" t="s">
        <v>110</v>
      </c>
      <c r="W44" s="44" t="s">
        <v>111</v>
      </c>
      <c r="X44" s="97" t="s">
        <v>5</v>
      </c>
      <c r="Y44" s="38"/>
    </row>
    <row r="45" spans="1:25" ht="20.100000000000001" customHeight="1" thickBot="1">
      <c r="A45" s="39"/>
      <c r="B45" s="98" t="s">
        <v>114</v>
      </c>
      <c r="C45" s="72">
        <v>1</v>
      </c>
      <c r="D45" s="73">
        <v>2</v>
      </c>
      <c r="E45" s="71"/>
      <c r="F45" s="108"/>
      <c r="G45" s="60"/>
      <c r="H45" s="61"/>
      <c r="I45" s="61"/>
      <c r="J45" s="62"/>
      <c r="K45" s="97" t="s">
        <v>115</v>
      </c>
      <c r="L45" s="45"/>
      <c r="N45" s="45"/>
      <c r="O45" s="98" t="s">
        <v>114</v>
      </c>
      <c r="P45" s="72">
        <v>1</v>
      </c>
      <c r="Q45" s="73">
        <v>2</v>
      </c>
      <c r="R45" s="71"/>
      <c r="S45" s="108"/>
      <c r="T45" s="60"/>
      <c r="U45" s="61"/>
      <c r="V45" s="61"/>
      <c r="W45" s="62"/>
      <c r="X45" s="97" t="s">
        <v>115</v>
      </c>
      <c r="Y45" s="38"/>
    </row>
    <row r="46" spans="1:25" ht="15.95" customHeight="1">
      <c r="A46" s="39"/>
      <c r="B46" s="99" t="s">
        <v>116</v>
      </c>
      <c r="C46" s="212" t="s">
        <v>118</v>
      </c>
      <c r="D46" s="212"/>
      <c r="E46" s="212"/>
      <c r="F46" s="212"/>
      <c r="G46" s="212" t="s">
        <v>117</v>
      </c>
      <c r="H46" s="213"/>
      <c r="I46" s="213"/>
      <c r="J46" s="213"/>
      <c r="K46" s="97" t="s">
        <v>119</v>
      </c>
      <c r="L46" s="45"/>
      <c r="N46" s="45"/>
      <c r="O46" s="99" t="s">
        <v>116</v>
      </c>
      <c r="P46" s="212" t="s">
        <v>118</v>
      </c>
      <c r="Q46" s="212"/>
      <c r="R46" s="212"/>
      <c r="S46" s="212"/>
      <c r="T46" s="212" t="s">
        <v>117</v>
      </c>
      <c r="U46" s="213"/>
      <c r="V46" s="213"/>
      <c r="W46" s="213"/>
      <c r="X46" s="97" t="s">
        <v>119</v>
      </c>
      <c r="Y46" s="55"/>
    </row>
    <row r="47" spans="1:25" ht="15.95" customHeight="1">
      <c r="A47" s="39"/>
      <c r="B47" s="100" t="s">
        <v>120</v>
      </c>
      <c r="C47" s="42">
        <v>1</v>
      </c>
      <c r="D47" s="43">
        <v>2</v>
      </c>
      <c r="E47" s="43">
        <v>3</v>
      </c>
      <c r="F47" s="44">
        <v>4</v>
      </c>
      <c r="G47" s="42">
        <v>1</v>
      </c>
      <c r="H47" s="43">
        <v>2</v>
      </c>
      <c r="I47" s="43">
        <v>3</v>
      </c>
      <c r="J47" s="44">
        <v>4</v>
      </c>
      <c r="K47" s="101" t="s">
        <v>121</v>
      </c>
      <c r="L47" s="45"/>
      <c r="N47" s="45"/>
      <c r="O47" s="100" t="s">
        <v>120</v>
      </c>
      <c r="P47" s="42">
        <v>1</v>
      </c>
      <c r="Q47" s="43">
        <v>2</v>
      </c>
      <c r="R47" s="43">
        <v>3</v>
      </c>
      <c r="S47" s="44">
        <v>4</v>
      </c>
      <c r="T47" s="42">
        <v>1</v>
      </c>
      <c r="U47" s="43">
        <v>2</v>
      </c>
      <c r="V47" s="43">
        <v>3</v>
      </c>
      <c r="W47" s="44">
        <v>4</v>
      </c>
      <c r="X47" s="101" t="s">
        <v>121</v>
      </c>
      <c r="Y47" s="38"/>
    </row>
    <row r="48" spans="1:25" ht="15.95" customHeight="1">
      <c r="A48" s="39"/>
      <c r="B48" s="102" t="s">
        <v>122</v>
      </c>
      <c r="C48" s="46">
        <v>1</v>
      </c>
      <c r="D48" s="47">
        <v>2</v>
      </c>
      <c r="E48" s="47">
        <v>3</v>
      </c>
      <c r="F48" s="48">
        <v>4</v>
      </c>
      <c r="G48" s="46">
        <v>1</v>
      </c>
      <c r="H48" s="47">
        <v>2</v>
      </c>
      <c r="I48" s="47">
        <v>3</v>
      </c>
      <c r="J48" s="48">
        <v>4</v>
      </c>
      <c r="K48" s="96" t="s">
        <v>123</v>
      </c>
      <c r="L48" s="45"/>
      <c r="N48" s="45"/>
      <c r="O48" s="102" t="s">
        <v>122</v>
      </c>
      <c r="P48" s="46">
        <v>1</v>
      </c>
      <c r="Q48" s="47">
        <v>2</v>
      </c>
      <c r="R48" s="47">
        <v>3</v>
      </c>
      <c r="S48" s="48">
        <v>4</v>
      </c>
      <c r="T48" s="46">
        <v>1</v>
      </c>
      <c r="U48" s="47">
        <v>2</v>
      </c>
      <c r="V48" s="47">
        <v>3</v>
      </c>
      <c r="W48" s="48">
        <v>4</v>
      </c>
      <c r="X48" s="96" t="s">
        <v>123</v>
      </c>
      <c r="Y48" s="38"/>
    </row>
    <row r="49" spans="1:25" ht="15.95" customHeight="1">
      <c r="A49" s="39"/>
      <c r="B49" s="103" t="s">
        <v>124</v>
      </c>
      <c r="C49" s="49">
        <v>1</v>
      </c>
      <c r="D49" s="50">
        <v>2</v>
      </c>
      <c r="E49" s="50">
        <v>3</v>
      </c>
      <c r="F49" s="51">
        <v>4</v>
      </c>
      <c r="G49" s="49">
        <v>1</v>
      </c>
      <c r="H49" s="50">
        <v>2</v>
      </c>
      <c r="I49" s="50">
        <v>3</v>
      </c>
      <c r="J49" s="51">
        <v>4</v>
      </c>
      <c r="K49" s="101" t="s">
        <v>125</v>
      </c>
      <c r="L49" s="40"/>
      <c r="N49" s="40"/>
      <c r="O49" s="103" t="s">
        <v>124</v>
      </c>
      <c r="P49" s="49">
        <v>1</v>
      </c>
      <c r="Q49" s="50">
        <v>2</v>
      </c>
      <c r="R49" s="50">
        <v>3</v>
      </c>
      <c r="S49" s="51">
        <v>4</v>
      </c>
      <c r="T49" s="49">
        <v>1</v>
      </c>
      <c r="U49" s="50">
        <v>2</v>
      </c>
      <c r="V49" s="50">
        <v>3</v>
      </c>
      <c r="W49" s="51">
        <v>4</v>
      </c>
      <c r="X49" s="101" t="s">
        <v>125</v>
      </c>
      <c r="Y49" s="38"/>
    </row>
    <row r="50" spans="1:25" ht="15.95" customHeight="1">
      <c r="A50" s="52"/>
      <c r="B50" s="206" t="s">
        <v>126</v>
      </c>
      <c r="C50" s="63">
        <v>1</v>
      </c>
      <c r="D50" s="64">
        <v>2</v>
      </c>
      <c r="E50" s="43">
        <v>3</v>
      </c>
      <c r="F50" s="44">
        <v>4</v>
      </c>
      <c r="G50" s="42">
        <v>1</v>
      </c>
      <c r="H50" s="43">
        <v>2</v>
      </c>
      <c r="I50" s="43">
        <v>3</v>
      </c>
      <c r="J50" s="44">
        <v>4</v>
      </c>
      <c r="K50" s="96" t="s">
        <v>123</v>
      </c>
      <c r="L50" s="38"/>
      <c r="N50" s="38"/>
      <c r="O50" s="206" t="s">
        <v>126</v>
      </c>
      <c r="P50" s="63">
        <v>1</v>
      </c>
      <c r="Q50" s="64">
        <v>2</v>
      </c>
      <c r="R50" s="43">
        <v>3</v>
      </c>
      <c r="S50" s="44">
        <v>4</v>
      </c>
      <c r="T50" s="42">
        <v>1</v>
      </c>
      <c r="U50" s="43">
        <v>2</v>
      </c>
      <c r="V50" s="43">
        <v>3</v>
      </c>
      <c r="W50" s="44">
        <v>4</v>
      </c>
      <c r="X50" s="96" t="s">
        <v>123</v>
      </c>
      <c r="Y50" s="38"/>
    </row>
    <row r="51" spans="1:25" ht="15.95" customHeight="1" thickBot="1">
      <c r="A51" s="53"/>
      <c r="B51" s="207"/>
      <c r="C51" s="65">
        <v>5</v>
      </c>
      <c r="D51" s="66">
        <v>6</v>
      </c>
      <c r="E51" s="61">
        <v>7</v>
      </c>
      <c r="F51" s="62">
        <v>8</v>
      </c>
      <c r="G51" s="60">
        <v>5</v>
      </c>
      <c r="H51" s="61">
        <v>6</v>
      </c>
      <c r="I51" s="61">
        <v>7</v>
      </c>
      <c r="J51" s="62">
        <v>8</v>
      </c>
      <c r="K51" s="101" t="s">
        <v>127</v>
      </c>
      <c r="L51" s="38"/>
      <c r="N51" s="38"/>
      <c r="O51" s="207"/>
      <c r="P51" s="65">
        <v>5</v>
      </c>
      <c r="Q51" s="66">
        <v>6</v>
      </c>
      <c r="R51" s="61">
        <v>7</v>
      </c>
      <c r="S51" s="62">
        <v>8</v>
      </c>
      <c r="T51" s="60">
        <v>5</v>
      </c>
      <c r="U51" s="61">
        <v>6</v>
      </c>
      <c r="V51" s="61">
        <v>7</v>
      </c>
      <c r="W51" s="62">
        <v>8</v>
      </c>
      <c r="X51" s="101" t="s">
        <v>127</v>
      </c>
      <c r="Y51" s="38"/>
    </row>
    <row r="52" spans="1:25" ht="15.95" customHeight="1">
      <c r="A52" s="38"/>
      <c r="B52" s="54" t="s">
        <v>128</v>
      </c>
      <c r="C52" s="67">
        <v>1</v>
      </c>
      <c r="D52" s="68">
        <v>2</v>
      </c>
      <c r="E52" s="68">
        <v>3</v>
      </c>
      <c r="F52" s="208" t="s">
        <v>129</v>
      </c>
      <c r="G52" s="208"/>
      <c r="H52" s="68">
        <v>2</v>
      </c>
      <c r="I52" s="68">
        <v>3</v>
      </c>
      <c r="J52" s="69"/>
      <c r="K52" s="104" t="s">
        <v>123</v>
      </c>
      <c r="L52" s="38"/>
      <c r="N52" s="38"/>
      <c r="O52" s="54" t="s">
        <v>128</v>
      </c>
      <c r="P52" s="67">
        <v>1</v>
      </c>
      <c r="Q52" s="68">
        <v>2</v>
      </c>
      <c r="R52" s="68">
        <v>3</v>
      </c>
      <c r="S52" s="208" t="s">
        <v>129</v>
      </c>
      <c r="T52" s="208"/>
      <c r="U52" s="68">
        <v>2</v>
      </c>
      <c r="V52" s="68">
        <v>3</v>
      </c>
      <c r="W52" s="69"/>
      <c r="X52" s="104" t="s">
        <v>123</v>
      </c>
      <c r="Y52" s="38"/>
    </row>
    <row r="53" spans="1:25" ht="3" customHeight="1">
      <c r="A53" s="38"/>
      <c r="B53" s="38"/>
      <c r="C53" s="38"/>
      <c r="D53" s="38"/>
      <c r="E53" s="38"/>
      <c r="F53" s="38"/>
      <c r="G53" s="38"/>
      <c r="H53" s="38"/>
      <c r="I53" s="38"/>
      <c r="J53" s="38"/>
      <c r="K53" s="38"/>
      <c r="L53" s="38"/>
      <c r="N53" s="38"/>
      <c r="O53" s="38"/>
      <c r="P53" s="38"/>
      <c r="Q53" s="38"/>
      <c r="R53" s="38"/>
      <c r="S53" s="38"/>
      <c r="T53" s="38"/>
      <c r="U53" s="38"/>
      <c r="V53" s="38"/>
      <c r="W53" s="38"/>
      <c r="X53" s="38"/>
      <c r="Y53" s="38"/>
    </row>
  </sheetData>
  <mergeCells count="57">
    <mergeCell ref="T4:W4"/>
    <mergeCell ref="B5:D5"/>
    <mergeCell ref="O5:Q5"/>
    <mergeCell ref="B4:D4"/>
    <mergeCell ref="G4:J4"/>
    <mergeCell ref="O4:Q4"/>
    <mergeCell ref="C7:F7"/>
    <mergeCell ref="G7:J7"/>
    <mergeCell ref="P7:S7"/>
    <mergeCell ref="T7:W7"/>
    <mergeCell ref="B11:B12"/>
    <mergeCell ref="O11:O12"/>
    <mergeCell ref="P33:S33"/>
    <mergeCell ref="T20:W20"/>
    <mergeCell ref="F13:G13"/>
    <mergeCell ref="S13:T13"/>
    <mergeCell ref="B17:D17"/>
    <mergeCell ref="G17:J17"/>
    <mergeCell ref="O17:Q17"/>
    <mergeCell ref="T17:W17"/>
    <mergeCell ref="B18:D18"/>
    <mergeCell ref="O18:Q18"/>
    <mergeCell ref="C20:F20"/>
    <mergeCell ref="G20:J20"/>
    <mergeCell ref="P20:S20"/>
    <mergeCell ref="G43:J43"/>
    <mergeCell ref="O43:Q43"/>
    <mergeCell ref="T43:W43"/>
    <mergeCell ref="T33:W33"/>
    <mergeCell ref="B24:B25"/>
    <mergeCell ref="O24:O25"/>
    <mergeCell ref="F26:G26"/>
    <mergeCell ref="S26:T26"/>
    <mergeCell ref="B30:D30"/>
    <mergeCell ref="G30:J30"/>
    <mergeCell ref="O30:Q30"/>
    <mergeCell ref="T30:W30"/>
    <mergeCell ref="B31:D31"/>
    <mergeCell ref="O31:Q31"/>
    <mergeCell ref="C33:F33"/>
    <mergeCell ref="G33:J33"/>
    <mergeCell ref="A1:Y1"/>
    <mergeCell ref="B50:B51"/>
    <mergeCell ref="O50:O51"/>
    <mergeCell ref="F52:G52"/>
    <mergeCell ref="S52:T52"/>
    <mergeCell ref="B44:D44"/>
    <mergeCell ref="O44:Q44"/>
    <mergeCell ref="C46:F46"/>
    <mergeCell ref="G46:J46"/>
    <mergeCell ref="P46:S46"/>
    <mergeCell ref="T46:W46"/>
    <mergeCell ref="B37:B38"/>
    <mergeCell ref="O37:O38"/>
    <mergeCell ref="F39:G39"/>
    <mergeCell ref="S39:T39"/>
    <mergeCell ref="B43:D43"/>
  </mergeCells>
  <pageMargins left="0.7" right="0.7" top="0.75" bottom="0.75" header="0.3" footer="0.3"/>
  <pageSetup orientation="portrait" horizontalDpi="0" verticalDpi="0" copies="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B6C4-83D1-F749-98A0-779E05022BFB}">
  <sheetPr codeName="Sheet12"/>
  <dimension ref="A1:H17"/>
  <sheetViews>
    <sheetView view="pageLayout" zoomScale="116" zoomScaleNormal="100" zoomScalePageLayoutView="116" workbookViewId="0">
      <selection activeCell="G10" sqref="G10"/>
    </sheetView>
  </sheetViews>
  <sheetFormatPr defaultColWidth="11.42578125" defaultRowHeight="15"/>
  <cols>
    <col min="1" max="1" width="0.42578125" customWidth="1"/>
    <col min="2" max="6" width="6.7109375" customWidth="1"/>
    <col min="8" max="8" width="0.42578125" customWidth="1"/>
  </cols>
  <sheetData>
    <row r="1" spans="1:8" ht="3" customHeight="1"/>
    <row r="2" spans="1:8">
      <c r="B2" t="s">
        <v>399</v>
      </c>
    </row>
    <row r="3" spans="1:8" ht="3" customHeight="1"/>
    <row r="5" spans="1:8" ht="3" customHeight="1">
      <c r="A5" s="141"/>
      <c r="B5" s="141"/>
      <c r="C5" s="141"/>
      <c r="D5" s="141"/>
      <c r="E5" s="141"/>
      <c r="F5" s="141"/>
      <c r="G5" s="141"/>
      <c r="H5" s="141"/>
    </row>
    <row r="6" spans="1:8" ht="20.100000000000001" customHeight="1">
      <c r="A6" s="141"/>
      <c r="B6" s="219" t="s">
        <v>396</v>
      </c>
      <c r="C6" s="219"/>
      <c r="D6" s="219"/>
      <c r="E6" s="219"/>
      <c r="F6" s="219"/>
      <c r="G6" s="219"/>
      <c r="H6" s="141"/>
    </row>
    <row r="7" spans="1:8">
      <c r="A7" s="141"/>
      <c r="B7" s="220" t="s">
        <v>26</v>
      </c>
      <c r="C7" s="220"/>
      <c r="D7" s="221"/>
      <c r="E7" s="217" t="s">
        <v>17</v>
      </c>
      <c r="F7" s="218"/>
      <c r="H7" s="141"/>
    </row>
    <row r="8" spans="1:8">
      <c r="A8" s="141"/>
      <c r="B8" s="158" t="s">
        <v>3</v>
      </c>
      <c r="C8" s="151" t="s">
        <v>397</v>
      </c>
      <c r="D8" s="153" t="s">
        <v>398</v>
      </c>
      <c r="E8" s="154" t="s">
        <v>397</v>
      </c>
      <c r="F8" s="152" t="s">
        <v>398</v>
      </c>
      <c r="G8" s="153" t="s">
        <v>400</v>
      </c>
      <c r="H8" s="141"/>
    </row>
    <row r="9" spans="1:8" ht="20.100000000000001" customHeight="1">
      <c r="A9" s="141"/>
      <c r="B9" s="159"/>
      <c r="C9" s="142"/>
      <c r="D9" s="144"/>
      <c r="E9" s="155"/>
      <c r="F9" s="143"/>
      <c r="G9" s="144"/>
      <c r="H9" s="141"/>
    </row>
    <row r="10" spans="1:8" ht="20.100000000000001" customHeight="1">
      <c r="A10" s="141"/>
      <c r="B10" s="160"/>
      <c r="C10" s="145"/>
      <c r="D10" s="147"/>
      <c r="E10" s="156"/>
      <c r="F10" s="146"/>
      <c r="G10" s="147"/>
      <c r="H10" s="141"/>
    </row>
    <row r="11" spans="1:8" ht="20.100000000000001" customHeight="1" thickBot="1">
      <c r="A11" s="141"/>
      <c r="B11" s="162"/>
      <c r="C11" s="163"/>
      <c r="D11" s="164"/>
      <c r="E11" s="165"/>
      <c r="F11" s="166"/>
      <c r="G11" s="164"/>
      <c r="H11" s="141"/>
    </row>
    <row r="12" spans="1:8">
      <c r="A12" s="141"/>
      <c r="B12" s="222" t="s">
        <v>27</v>
      </c>
      <c r="C12" s="222"/>
      <c r="D12" s="223"/>
      <c r="E12" s="224" t="s">
        <v>17</v>
      </c>
      <c r="F12" s="176"/>
      <c r="H12" s="141"/>
    </row>
    <row r="13" spans="1:8">
      <c r="A13" s="141"/>
      <c r="B13" s="158" t="s">
        <v>3</v>
      </c>
      <c r="C13" s="151" t="s">
        <v>397</v>
      </c>
      <c r="D13" s="153" t="s">
        <v>398</v>
      </c>
      <c r="E13" s="154" t="s">
        <v>397</v>
      </c>
      <c r="F13" s="152" t="s">
        <v>398</v>
      </c>
      <c r="G13" s="153" t="s">
        <v>401</v>
      </c>
      <c r="H13" s="141"/>
    </row>
    <row r="14" spans="1:8" ht="20.100000000000001" customHeight="1">
      <c r="A14" s="141"/>
      <c r="B14" s="159"/>
      <c r="C14" s="142"/>
      <c r="D14" s="144"/>
      <c r="E14" s="155"/>
      <c r="F14" s="143"/>
      <c r="G14" s="144"/>
      <c r="H14" s="141"/>
    </row>
    <row r="15" spans="1:8" ht="20.100000000000001" customHeight="1">
      <c r="A15" s="141"/>
      <c r="B15" s="160"/>
      <c r="C15" s="145"/>
      <c r="D15" s="147"/>
      <c r="E15" s="156"/>
      <c r="F15" s="146"/>
      <c r="G15" s="147"/>
      <c r="H15" s="141"/>
    </row>
    <row r="16" spans="1:8" ht="20.100000000000001" customHeight="1">
      <c r="A16" s="141"/>
      <c r="B16" s="161"/>
      <c r="C16" s="148"/>
      <c r="D16" s="150"/>
      <c r="E16" s="157"/>
      <c r="F16" s="149"/>
      <c r="G16" s="150"/>
      <c r="H16" s="141"/>
    </row>
    <row r="17" spans="1:8" ht="3" customHeight="1">
      <c r="A17" s="141"/>
      <c r="B17" s="141"/>
      <c r="C17" s="141"/>
      <c r="D17" s="141"/>
      <c r="E17" s="141"/>
      <c r="F17" s="141"/>
      <c r="G17" s="141"/>
      <c r="H17" s="141"/>
    </row>
  </sheetData>
  <mergeCells count="5">
    <mergeCell ref="E7:F7"/>
    <mergeCell ref="B6:G6"/>
    <mergeCell ref="B7:D7"/>
    <mergeCell ref="B12:D12"/>
    <mergeCell ref="E12:F12"/>
  </mergeCells>
  <pageMargins left="0.7" right="0.7" top="0.75" bottom="0.75" header="0.3" footer="0.3"/>
  <pageSetup orientation="landscape" horizontalDpi="0" verticalDpi="0" copies="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43DE1-D97F-4510-92FF-5BBF56CDDA2D}">
  <sheetPr codeName="Sheet14"/>
  <dimension ref="A1:O17"/>
  <sheetViews>
    <sheetView view="pageLayout" zoomScaleNormal="100" workbookViewId="0">
      <selection activeCell="L14" sqref="L14"/>
    </sheetView>
  </sheetViews>
  <sheetFormatPr defaultColWidth="11.42578125" defaultRowHeight="15"/>
  <cols>
    <col min="1" max="1" width="0.42578125" customWidth="1"/>
    <col min="2" max="6" width="6.7109375" customWidth="1"/>
    <col min="9" max="9" width="0.42578125" customWidth="1"/>
    <col min="14" max="14" width="11.42578125" customWidth="1"/>
    <col min="15" max="15" width="0.28515625" customWidth="1"/>
  </cols>
  <sheetData>
    <row r="1" spans="1:15" ht="3" customHeight="1">
      <c r="A1" s="141"/>
      <c r="B1" s="141"/>
      <c r="C1" s="141"/>
      <c r="D1" s="141"/>
      <c r="E1" s="141"/>
      <c r="F1" s="141"/>
      <c r="G1" s="141"/>
      <c r="H1" s="141"/>
      <c r="I1" s="141"/>
      <c r="J1" s="141"/>
      <c r="K1" s="141"/>
      <c r="L1" s="141"/>
      <c r="M1" s="141"/>
      <c r="N1" s="141"/>
      <c r="O1" s="141"/>
    </row>
    <row r="2" spans="1:15">
      <c r="A2" s="141"/>
      <c r="B2" t="s">
        <v>399</v>
      </c>
      <c r="O2" s="141"/>
    </row>
    <row r="3" spans="1:15" ht="3" customHeight="1">
      <c r="A3" s="141"/>
      <c r="B3" s="141"/>
      <c r="C3" s="141"/>
      <c r="D3" s="141"/>
      <c r="E3" s="141"/>
      <c r="F3" s="141"/>
      <c r="G3" s="141"/>
      <c r="H3" s="141"/>
      <c r="I3" s="141"/>
      <c r="J3" s="141"/>
      <c r="K3" s="141"/>
      <c r="L3" s="141"/>
      <c r="M3" s="141"/>
      <c r="N3" s="141"/>
      <c r="O3" s="141"/>
    </row>
    <row r="5" spans="1:15" ht="3" customHeight="1">
      <c r="A5" s="141"/>
      <c r="B5" s="141"/>
      <c r="C5" s="141"/>
      <c r="D5" s="141"/>
      <c r="E5" s="141"/>
      <c r="F5" s="141"/>
      <c r="G5" s="141"/>
      <c r="H5" s="141"/>
      <c r="I5" s="141"/>
    </row>
    <row r="6" spans="1:15" ht="20.100000000000001" customHeight="1">
      <c r="A6" s="141"/>
      <c r="B6" s="219" t="s">
        <v>396</v>
      </c>
      <c r="C6" s="219"/>
      <c r="D6" s="219"/>
      <c r="E6" s="219"/>
      <c r="F6" s="219"/>
      <c r="G6" s="219"/>
      <c r="H6" s="219"/>
      <c r="I6" s="141"/>
    </row>
    <row r="7" spans="1:15">
      <c r="A7" s="141"/>
      <c r="B7" s="222" t="s">
        <v>26</v>
      </c>
      <c r="C7" s="222"/>
      <c r="D7" s="223"/>
      <c r="E7" s="224" t="s">
        <v>17</v>
      </c>
      <c r="F7" s="176"/>
      <c r="H7" s="170"/>
      <c r="I7" s="141"/>
    </row>
    <row r="8" spans="1:15">
      <c r="A8" s="141"/>
      <c r="B8" s="158" t="s">
        <v>3</v>
      </c>
      <c r="C8" s="151" t="s">
        <v>397</v>
      </c>
      <c r="D8" s="153" t="s">
        <v>398</v>
      </c>
      <c r="E8" s="154" t="s">
        <v>397</v>
      </c>
      <c r="F8" s="152" t="s">
        <v>398</v>
      </c>
      <c r="G8" s="153" t="s">
        <v>400</v>
      </c>
      <c r="H8" s="171" t="s">
        <v>465</v>
      </c>
      <c r="I8" s="141"/>
    </row>
    <row r="9" spans="1:15" ht="20.100000000000001" customHeight="1">
      <c r="A9" s="141"/>
      <c r="B9" s="159"/>
      <c r="C9" s="142"/>
      <c r="D9" s="144"/>
      <c r="E9" s="155"/>
      <c r="F9" s="143"/>
      <c r="G9" s="144"/>
      <c r="H9" s="172"/>
      <c r="I9" s="141"/>
    </row>
    <row r="10" spans="1:15" ht="20.100000000000001" customHeight="1">
      <c r="A10" s="141"/>
      <c r="B10" s="160"/>
      <c r="C10" s="145"/>
      <c r="D10" s="147"/>
      <c r="E10" s="156"/>
      <c r="F10" s="146"/>
      <c r="G10" s="147"/>
      <c r="H10" s="173"/>
      <c r="I10" s="141"/>
    </row>
    <row r="11" spans="1:15" ht="20.100000000000001" customHeight="1" thickBot="1">
      <c r="A11" s="141"/>
      <c r="B11" s="162"/>
      <c r="C11" s="163"/>
      <c r="D11" s="164"/>
      <c r="E11" s="165"/>
      <c r="F11" s="166"/>
      <c r="G11" s="164"/>
      <c r="H11" s="174"/>
      <c r="I11" s="141"/>
    </row>
    <row r="12" spans="1:15">
      <c r="A12" s="141"/>
      <c r="B12" s="222" t="s">
        <v>27</v>
      </c>
      <c r="C12" s="222"/>
      <c r="D12" s="223"/>
      <c r="E12" s="224" t="s">
        <v>17</v>
      </c>
      <c r="F12" s="176"/>
      <c r="H12" s="117"/>
      <c r="I12" s="141"/>
    </row>
    <row r="13" spans="1:15">
      <c r="A13" s="141"/>
      <c r="B13" s="158" t="s">
        <v>3</v>
      </c>
      <c r="C13" s="151" t="s">
        <v>397</v>
      </c>
      <c r="D13" s="153" t="s">
        <v>398</v>
      </c>
      <c r="E13" s="154" t="s">
        <v>397</v>
      </c>
      <c r="F13" s="152" t="s">
        <v>398</v>
      </c>
      <c r="G13" s="153" t="s">
        <v>401</v>
      </c>
      <c r="H13" s="171"/>
      <c r="I13" s="141"/>
    </row>
    <row r="14" spans="1:15" ht="20.100000000000001" customHeight="1">
      <c r="A14" s="141"/>
      <c r="B14" s="159"/>
      <c r="C14" s="142"/>
      <c r="D14" s="144"/>
      <c r="E14" s="155"/>
      <c r="F14" s="143"/>
      <c r="G14" s="144"/>
      <c r="H14" s="172"/>
      <c r="I14" s="141"/>
    </row>
    <row r="15" spans="1:15" ht="20.100000000000001" customHeight="1">
      <c r="A15" s="141"/>
      <c r="B15" s="160"/>
      <c r="C15" s="145"/>
      <c r="D15" s="147"/>
      <c r="E15" s="156"/>
      <c r="F15" s="146"/>
      <c r="G15" s="147"/>
      <c r="H15" s="173"/>
      <c r="I15" s="141"/>
    </row>
    <row r="16" spans="1:15" ht="20.100000000000001" customHeight="1">
      <c r="A16" s="141"/>
      <c r="B16" s="161"/>
      <c r="C16" s="148"/>
      <c r="D16" s="150"/>
      <c r="E16" s="157"/>
      <c r="F16" s="149"/>
      <c r="G16" s="150"/>
      <c r="H16" s="175"/>
      <c r="I16" s="141"/>
    </row>
    <row r="17" spans="1:9" ht="3" customHeight="1">
      <c r="A17" s="141"/>
      <c r="B17" s="141"/>
      <c r="C17" s="141"/>
      <c r="D17" s="141"/>
      <c r="E17" s="141"/>
      <c r="F17" s="141"/>
      <c r="G17" s="141"/>
      <c r="H17" s="141"/>
      <c r="I17" s="141"/>
    </row>
  </sheetData>
  <mergeCells count="5">
    <mergeCell ref="B7:D7"/>
    <mergeCell ref="E7:F7"/>
    <mergeCell ref="B12:D12"/>
    <mergeCell ref="E12:F12"/>
    <mergeCell ref="B6:H6"/>
  </mergeCells>
  <pageMargins left="0.7" right="0.7" top="0.75" bottom="0.75" header="0.3" footer="0.3"/>
  <pageSetup orientation="landscape" horizontalDpi="0" verticalDpi="0" copies="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C5915-7C07-48AB-A7A5-FF4EE885D3D3}">
  <sheetPr codeName="Sheet13"/>
  <dimension ref="C1:AM27"/>
  <sheetViews>
    <sheetView workbookViewId="0">
      <selection activeCell="F3" sqref="F3"/>
    </sheetView>
  </sheetViews>
  <sheetFormatPr defaultColWidth="15.7109375" defaultRowHeight="15"/>
  <sheetData>
    <row r="1" spans="3:39">
      <c r="C1" s="1"/>
      <c r="D1" s="1"/>
      <c r="E1" s="1"/>
      <c r="F1" s="1"/>
      <c r="G1" s="192" t="s">
        <v>9</v>
      </c>
      <c r="H1" s="189"/>
      <c r="I1" s="189"/>
      <c r="J1" s="189"/>
      <c r="K1" s="189"/>
      <c r="L1" s="189"/>
      <c r="M1" s="189"/>
      <c r="N1" s="189"/>
      <c r="O1" s="189"/>
      <c r="P1" s="193"/>
      <c r="Q1" s="191" t="s">
        <v>1</v>
      </c>
      <c r="R1" s="176"/>
      <c r="S1" s="176"/>
      <c r="T1" s="176"/>
      <c r="U1" s="176"/>
      <c r="V1" s="176"/>
      <c r="W1" s="176"/>
      <c r="X1" s="176"/>
      <c r="Y1" s="176"/>
      <c r="Z1" s="176"/>
      <c r="AA1" s="176"/>
      <c r="AB1" s="176"/>
      <c r="AC1" s="176"/>
      <c r="AD1" s="194"/>
      <c r="AE1" s="191" t="s">
        <v>2</v>
      </c>
      <c r="AF1" s="176"/>
      <c r="AG1" s="176"/>
      <c r="AH1" s="176"/>
      <c r="AI1" s="194"/>
      <c r="AJ1" s="4"/>
      <c r="AL1" s="1"/>
      <c r="AM1" s="1"/>
    </row>
    <row r="2" spans="3:39" ht="15.75" thickBot="1">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row>
    <row r="3" spans="3:39">
      <c r="C3">
        <f>PRODUCT($E3,3)+PRODUCT(SUM($H3:$K3),2)+PRODUCT(SUM($M3:$P3),3)+PRODUCT(SUM($S3:$V3),2)+PRODUCT(SUM($X3:$AA3), 3)+IF($AC3 &gt; 2, PRODUCT(SUM($AC3, -1),6), PRODUCT($AC3,3)) + IF($AD3 &gt; 2, PRODUCT(SUM($AD3, -1),6), PRODUCT($AD3,3)) + PRODUCT($AH3, -1)</f>
        <v>0</v>
      </c>
      <c r="D3">
        <f>PRODUCT(SUM($H3:$I3), 2) + PRODUCT(SUM($M3:$N3),3) + PRODUCT(SUM($S3:$T3), 2) + PRODUCT(SUM($X3:$Y3), 3)</f>
        <v>0</v>
      </c>
      <c r="E3">
        <f>IF( COUNTIF('Raw Data'!$A$3:$A$2927,$A3)=0,0,SUMIF('Raw Data'!$A$3:$A$2927, $A3,'Raw Data'!D$3:D$2927) / COUNTIF('Raw Data'!$A$3:$A$2927,$A3))</f>
        <v>0</v>
      </c>
      <c r="F3">
        <f t="array" ref="F3">MAX(IF('Raw Data'!$A$3:$A$927=$A3, 'Raw Data'!$O$3:$O$927))</f>
        <v>0</v>
      </c>
      <c r="G3">
        <f t="array" ref="G3">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0</v>
      </c>
      <c r="R3">
        <f t="array" ref="R3">MAX(IF('Raw Data'!$A$3:$A$927=$A3, 'Raw Data'!$T$3:$T$927))</f>
        <v>0</v>
      </c>
      <c r="S3" s="118">
        <f>IF( COUNTIF('Raw Data'!$A$3:$A$2927,$A3)=0,0,SUMIF('Raw Data'!$A$3:$A$2927, $A3,'Raw Data'!P$3:P$2927) / COUNTIF('Raw Data'!$A$3:$A$2927,$A3))</f>
        <v>0</v>
      </c>
      <c r="T3">
        <f>IF( COUNTIF('Raw Data'!$A$3:$A$2927,$A3)=0,0,SUMIF('Raw Data'!$A$3:$A$2927, $A3,'Raw Data'!Q$3:Q$2927) / COUNTIF('Raw Data'!$A$3:$A$2927,$A3))</f>
        <v>0</v>
      </c>
      <c r="U3">
        <f>IF( COUNTIF('Raw Data'!$A$3:$A$2927,$A3)=0,0,SUMIF('Raw Data'!$A$3:$A$2927, $A3,'Raw Data'!R$3:R$2927) / COUNTIF('Raw Data'!$A$3:$A$2927,$A3))</f>
        <v>0</v>
      </c>
      <c r="V3">
        <f>IF( COUNTIF('Raw Data'!$A$3:$A$2927,$A3)=0,0,SUMIF('Raw Data'!$A$3:$A$2927, $A3,'Raw Data'!S$3:S$2927) / COUNTIF('Raw Data'!$A$3:$A$2927,$A3))</f>
        <v>0</v>
      </c>
      <c r="W3">
        <f t="array" ref="W3">MAX(IF('Raw Data'!$A$3:$A$927=$A3, 'Raw Data'!$Y$3:$Y$927))</f>
        <v>0</v>
      </c>
      <c r="X3">
        <f>IF( COUNTIF('Raw Data'!$A$3:$A$2927,$A3)=0,0,SUMIF('Raw Data'!$A$3:$A$2927, $A3,'Raw Data'!U$3:U$2927) / COUNTIF('Raw Data'!$A$3:$A$2927,$A3))</f>
        <v>0</v>
      </c>
      <c r="Y3">
        <f>IF( COUNTIF('Raw Data'!$A$3:$A$2927,$A3)=0,0,SUMIF('Raw Data'!$A$3:$A$2927, $A3,'Raw Data'!V$3:V$2927) / COUNTIF('Raw Data'!$A$3:$A$2927,$A3))</f>
        <v>0</v>
      </c>
      <c r="Z3">
        <f>IF( COUNTIF('Raw Data'!$A$3:$A$2927,$A3)=0,0,SUMIF('Raw Data'!$A$3:$A$2927, $A3,'Raw Data'!W$3:W$2927) / COUNTIF('Raw Data'!$A$3:$A$2927,$A3))</f>
        <v>0</v>
      </c>
      <c r="AA3">
        <f>IF( COUNTIF('Raw Data'!$A$3:$A$2927,$A3)=0,0,SUMIF('Raw Data'!$A$3:$A$2927, $A3,'Raw Data'!X$3:X$2927) / COUNTIF('Raw Data'!$A$3:$A$2927,$A3))</f>
        <v>0</v>
      </c>
      <c r="AB3">
        <f>IF( COUNTIF('Raw Data'!$A$3:$A$2927,$A3)=0,0,SUMIF('Raw Data'!$A$3:$A$2927, $A3,'Raw Data'!AA$3:AA$2927) / COUNTIF('Raw Data'!$A$3:$A$2927,$A3))</f>
        <v>0</v>
      </c>
      <c r="AC3">
        <f>IF( COUNTIF('Raw Data'!$A$3:$A$2927,$A3)=0,0,SUMIF('Raw Data'!$A$3:$A$2927, $A3,'Raw Data'!AB$3:AB$2927) / COUNTIF('Raw Data'!$A$3:$A$2927,$A3))</f>
        <v>0</v>
      </c>
      <c r="AD3">
        <f>IF( COUNTIF('Raw Data'!$A$3:$A$2927,$A3)=0,0,SUMIF('Raw Data'!$A$3:$A$2927, $A3,'Raw Data'!AC$3:AC$2927) / COUNTIF('Raw Data'!$A$3:$A$2927,$A3))</f>
        <v>0</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0</v>
      </c>
      <c r="AJ3" s="116">
        <f>COUNTIF('Raw Data'!A$3:A$2927, $A3)</f>
        <v>0</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-21</v>
      </c>
      <c r="AL3">
        <f>SUM(hHatch * SUM($H3:$K3), hHatch * SUM($S3:$V3), hRocket23 * SUM($J3:$K3), hRocket23 * SUM($U3:$V3), hSandstorm * SUM($H3:$K3), hPenalty * $AH3, hDropHatch * $AI3,hTippedBroke * SUM($AE3:$AF3), IF($E3 &lt; hNoAutoThreshold, hNoAuto), IF($AG3 &gt; hFloorHatchThreshold, hFloorHatch))</f>
        <v>-1.5</v>
      </c>
      <c r="AM3">
        <f>SUM(cCargo * SUM($M3:$P3), cCargo *SUM( $X3:$AA3), cRocket23 * SUM($O3:$P3, $Z3:$AA3),cSandstorm * SUM($M3:$P3), cPenalty * $AH3, cTippedBroke * SUM($AE3:$AF3), IF($E3 &lt; cNoAutoThreshold, cNoAuto, 0))</f>
        <v>-1</v>
      </c>
    </row>
    <row r="5" spans="3:39">
      <c r="C5" t="s">
        <v>440</v>
      </c>
      <c r="D5" t="str">
        <f>'Scouting Output'!AL2</f>
        <v>Hatch Desirability</v>
      </c>
      <c r="E5" t="str">
        <f>'Scouting Output'!AM2</f>
        <v>Cargo Desirability</v>
      </c>
      <c r="F5" t="s">
        <v>311</v>
      </c>
      <c r="G5" t="s">
        <v>322</v>
      </c>
    </row>
    <row r="6" spans="3:39">
      <c r="C6">
        <f>IFERROR(VLOOKUP($A3,'Scouting Output'!$A$3:$AM$250,37,FALSE), -999)</f>
        <v>-999</v>
      </c>
      <c r="D6">
        <f>IFERROR(VLOOKUP($A3,'Scouting Output'!$A$3:$AM$250,38,FALSE), -999)</f>
        <v>-999</v>
      </c>
      <c r="E6">
        <f>IFERROR(VLOOKUP($A3,'Scouting Output'!$A$3:$AM$250,39,FALSE), -999)</f>
        <v>-999</v>
      </c>
      <c r="F6">
        <f>IFERROR(VLOOKUP($A3, 'Scouting Output'!$A$3:$AM$250, 30, FALSE), -999)</f>
        <v>-999</v>
      </c>
      <c r="G6">
        <f>IFERROR(VLOOKUP($A3, 'Scouting Output'!$A$3:$AM$250, 3, FALSE), -999)</f>
        <v>-999</v>
      </c>
    </row>
    <row r="27" spans="6:6">
      <c r="F27">
        <f t="array" ref="F27">4+2</f>
        <v>6</v>
      </c>
    </row>
  </sheetData>
  <mergeCells count="3">
    <mergeCell ref="G1:P1"/>
    <mergeCell ref="Q1:AD1"/>
    <mergeCell ref="AE1:AI1"/>
  </mergeCells>
  <conditionalFormatting sqref="C3:AM3">
    <cfRule type="expression" dxfId="6" priority="11">
      <formula>IF($AJ3=0,TRUE,FALSE)</formula>
    </cfRule>
  </conditionalFormatting>
  <conditionalFormatting sqref="F1:F3">
    <cfRule type="cellIs" dxfId="5" priority="9" operator="greaterThan">
      <formula>$AQ$20</formula>
    </cfRule>
    <cfRule type="cellIs" dxfId="4" priority="10" operator="greaterThan">
      <formula>$AQ$20</formula>
    </cfRule>
  </conditionalFormatting>
  <conditionalFormatting sqref="C5:E6">
    <cfRule type="cellIs" dxfId="3" priority="5" operator="lessThan">
      <formula>0</formula>
    </cfRule>
  </conditionalFormatting>
  <conditionalFormatting sqref="C5:G6">
    <cfRule type="expression" dxfId="2" priority="8">
      <formula>IF($A5=$I$2,TRUE,FALSE)</formula>
    </cfRule>
  </conditionalFormatting>
  <conditionalFormatting sqref="F6:G6">
    <cfRule type="cellIs" dxfId="1" priority="6" operator="between">
      <formula>1.45</formula>
      <formula>2.45</formula>
    </cfRule>
  </conditionalFormatting>
  <conditionalFormatting sqref="F6">
    <cfRule type="cellIs" dxfId="0" priority="7" operator="greaterThan">
      <formula>2.45</formula>
    </cfRule>
  </conditionalFormatting>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145</vt:i4>
      </vt:variant>
    </vt:vector>
  </HeadingPairs>
  <TitlesOfParts>
    <vt:vector size="160" baseType="lpstr">
      <vt:lpstr>Raw Data</vt:lpstr>
      <vt:lpstr>Penalty Data</vt:lpstr>
      <vt:lpstr>Next Match Alliances</vt:lpstr>
      <vt:lpstr>Abbreviated NMA</vt:lpstr>
      <vt:lpstr>Scouting Output Backup</vt:lpstr>
      <vt:lpstr>Scouting Output</vt:lpstr>
      <vt:lpstr>pick list</vt:lpstr>
      <vt:lpstr>Data Spitter</vt:lpstr>
      <vt:lpstr>EVENT DATA</vt:lpstr>
      <vt:lpstr>Data Validation</vt:lpstr>
      <vt:lpstr>How to use this spreadsheet</vt:lpstr>
      <vt:lpstr>Scouting Sheets</vt:lpstr>
      <vt:lpstr>Penalty scouting sheets</vt:lpstr>
      <vt:lpstr>Penalty + decision sheets</vt:lpstr>
      <vt:lpstr>Template Formulas</vt:lpstr>
      <vt:lpstr>'Scouting Output Backup'!_2assist</vt:lpstr>
      <vt:lpstr>_2assist</vt:lpstr>
      <vt:lpstr>'Scouting Output Backup'!_2assistThreshold</vt:lpstr>
      <vt:lpstr>_2assistThreshold</vt:lpstr>
      <vt:lpstr>'Scouting Output Backup'!_2auto</vt:lpstr>
      <vt:lpstr>_2auto</vt:lpstr>
      <vt:lpstr>'Scouting Output Backup'!_2autoThreshold</vt:lpstr>
      <vt:lpstr>_2autoThreshold</vt:lpstr>
      <vt:lpstr>'Scouting Output Backup'!_2cargo</vt:lpstr>
      <vt:lpstr>_2cargo</vt:lpstr>
      <vt:lpstr>'Scouting Output Backup'!_2climb</vt:lpstr>
      <vt:lpstr>_2climb</vt:lpstr>
      <vt:lpstr>'Scouting Output Backup'!_2climbThreshold</vt:lpstr>
      <vt:lpstr>_2climbThreshold</vt:lpstr>
      <vt:lpstr>'Scouting Output Backup'!_2doesNothing</vt:lpstr>
      <vt:lpstr>_2doesNothing</vt:lpstr>
      <vt:lpstr>'Scouting Output Backup'!_2doesNothingThreshold</vt:lpstr>
      <vt:lpstr>_2doesNothingThreshold</vt:lpstr>
      <vt:lpstr>'Scouting Output Backup'!_2dropHatch</vt:lpstr>
      <vt:lpstr>_2dropHatch</vt:lpstr>
      <vt:lpstr>'Scouting Output Backup'!_2hatch</vt:lpstr>
      <vt:lpstr>_2hatch</vt:lpstr>
      <vt:lpstr>'Scouting Output Backup'!_2noAuto</vt:lpstr>
      <vt:lpstr>_2noAuto</vt:lpstr>
      <vt:lpstr>'Scouting Output Backup'!_2noAutoThreshold</vt:lpstr>
      <vt:lpstr>_2noAutoThreshold</vt:lpstr>
      <vt:lpstr>'Scouting Output Backup'!_2penalty</vt:lpstr>
      <vt:lpstr>_2penalty</vt:lpstr>
      <vt:lpstr>'Scouting Output Backup'!_2rocket23</vt:lpstr>
      <vt:lpstr>_2rocket23</vt:lpstr>
      <vt:lpstr>'Scouting Output Backup'!_2tippedBroke</vt:lpstr>
      <vt:lpstr>_2tippedBroke</vt:lpstr>
      <vt:lpstr>'pick list'!assist</vt:lpstr>
      <vt:lpstr>'Scouting Output Backup'!assist</vt:lpstr>
      <vt:lpstr>assist</vt:lpstr>
      <vt:lpstr>'pick list'!assistThreshold</vt:lpstr>
      <vt:lpstr>'Scouting Output Backup'!assistThreshold</vt:lpstr>
      <vt:lpstr>assistThreshold</vt:lpstr>
      <vt:lpstr>'pick list'!auto</vt:lpstr>
      <vt:lpstr>'Scouting Output Backup'!auto</vt:lpstr>
      <vt:lpstr>auto</vt:lpstr>
      <vt:lpstr>'pick list'!autoThreshold</vt:lpstr>
      <vt:lpstr>'Scouting Output Backup'!autoThreshold</vt:lpstr>
      <vt:lpstr>autoThreshold</vt:lpstr>
      <vt:lpstr>'pick list'!cargo</vt:lpstr>
      <vt:lpstr>'Scouting Output Backup'!cargo</vt:lpstr>
      <vt:lpstr>cargo</vt:lpstr>
      <vt:lpstr>'pick list'!cCargo</vt:lpstr>
      <vt:lpstr>'Scouting Output Backup'!cCargo</vt:lpstr>
      <vt:lpstr>cCargo</vt:lpstr>
      <vt:lpstr>'pick list'!climb</vt:lpstr>
      <vt:lpstr>'Scouting Output Backup'!climb</vt:lpstr>
      <vt:lpstr>climb</vt:lpstr>
      <vt:lpstr>'pick list'!climbThreshold</vt:lpstr>
      <vt:lpstr>'Scouting Output Backup'!climbThreshold</vt:lpstr>
      <vt:lpstr>climbThreshold</vt:lpstr>
      <vt:lpstr>'pick list'!cNoAuto</vt:lpstr>
      <vt:lpstr>'Scouting Output Backup'!cNoAuto</vt:lpstr>
      <vt:lpstr>cNoAuto</vt:lpstr>
      <vt:lpstr>'pick list'!cNoAutoThreshold</vt:lpstr>
      <vt:lpstr>'Scouting Output Backup'!cNoAutoThreshold</vt:lpstr>
      <vt:lpstr>cNoAutoThreshold</vt:lpstr>
      <vt:lpstr>'Scouting Output Backup'!cNoCargo</vt:lpstr>
      <vt:lpstr>cNoCargo</vt:lpstr>
      <vt:lpstr>'Scouting Output Backup'!cNoCargoThreshold</vt:lpstr>
      <vt:lpstr>cNoCargoThreshold</vt:lpstr>
      <vt:lpstr>'pick list'!cPenalty</vt:lpstr>
      <vt:lpstr>'Scouting Output Backup'!cPenalty</vt:lpstr>
      <vt:lpstr>cPenalty</vt:lpstr>
      <vt:lpstr>'pick list'!cRocket23</vt:lpstr>
      <vt:lpstr>'Scouting Output Backup'!cRocket23</vt:lpstr>
      <vt:lpstr>cRocket23</vt:lpstr>
      <vt:lpstr>'pick list'!cSandstorm</vt:lpstr>
      <vt:lpstr>'Scouting Output Backup'!cSandstorm</vt:lpstr>
      <vt:lpstr>cSandstorm</vt:lpstr>
      <vt:lpstr>'pick list'!cTippedBroke</vt:lpstr>
      <vt:lpstr>'Scouting Output Backup'!cTippedBroke</vt:lpstr>
      <vt:lpstr>cTippedBroke</vt:lpstr>
      <vt:lpstr>'pick list'!doesNothing</vt:lpstr>
      <vt:lpstr>'Scouting Output Backup'!doesNothing</vt:lpstr>
      <vt:lpstr>doesNothing</vt:lpstr>
      <vt:lpstr>'pick list'!doesNothingThreshold</vt:lpstr>
      <vt:lpstr>'Scouting Output Backup'!doesNothingThreshold</vt:lpstr>
      <vt:lpstr>doesNothingThreshold</vt:lpstr>
      <vt:lpstr>'pick list'!dropHatch</vt:lpstr>
      <vt:lpstr>'Scouting Output Backup'!dropHatch</vt:lpstr>
      <vt:lpstr>dropHatch</vt:lpstr>
      <vt:lpstr>'pick list'!hatch</vt:lpstr>
      <vt:lpstr>'Scouting Output Backup'!hatch</vt:lpstr>
      <vt:lpstr>hatch</vt:lpstr>
      <vt:lpstr>'pick list'!hDropHatch</vt:lpstr>
      <vt:lpstr>'Scouting Output Backup'!hDropHatch</vt:lpstr>
      <vt:lpstr>hDropHatch</vt:lpstr>
      <vt:lpstr>'pick list'!hFloorHatch</vt:lpstr>
      <vt:lpstr>'Scouting Output Backup'!hFloorHatch</vt:lpstr>
      <vt:lpstr>hFloorHatch</vt:lpstr>
      <vt:lpstr>'pick list'!hFloorHatchThreshold</vt:lpstr>
      <vt:lpstr>'Scouting Output Backup'!hFloorHatchThreshold</vt:lpstr>
      <vt:lpstr>hFloorHatchThreshold</vt:lpstr>
      <vt:lpstr>'pick list'!hHatch</vt:lpstr>
      <vt:lpstr>'Scouting Output Backup'!hHatch</vt:lpstr>
      <vt:lpstr>hHatch</vt:lpstr>
      <vt:lpstr>'pick list'!hNoAuto</vt:lpstr>
      <vt:lpstr>'Scouting Output Backup'!hNoAuto</vt:lpstr>
      <vt:lpstr>hNoAuto</vt:lpstr>
      <vt:lpstr>'pick list'!hNoAutoThreshold</vt:lpstr>
      <vt:lpstr>'Scouting Output Backup'!hNoAutoThreshold</vt:lpstr>
      <vt:lpstr>hNoAutoThreshold</vt:lpstr>
      <vt:lpstr>'Scouting Output Backup'!hNoHatch</vt:lpstr>
      <vt:lpstr>hNoHatch</vt:lpstr>
      <vt:lpstr>'Scouting Output Backup'!hNoHatchThreshold</vt:lpstr>
      <vt:lpstr>hNoHatchThreshold</vt:lpstr>
      <vt:lpstr>'pick list'!hPenalty</vt:lpstr>
      <vt:lpstr>'Scouting Output Backup'!hPenalty</vt:lpstr>
      <vt:lpstr>hPenalty</vt:lpstr>
      <vt:lpstr>'pick list'!hRocket23</vt:lpstr>
      <vt:lpstr>'Scouting Output Backup'!hRocket23</vt:lpstr>
      <vt:lpstr>hRocket23</vt:lpstr>
      <vt:lpstr>'pick list'!hSandstorm</vt:lpstr>
      <vt:lpstr>'Scouting Output Backup'!hSandstorm</vt:lpstr>
      <vt:lpstr>hSandstorm</vt:lpstr>
      <vt:lpstr>'pick list'!hTippedBroke</vt:lpstr>
      <vt:lpstr>'Scouting Output Backup'!hTippedBroke</vt:lpstr>
      <vt:lpstr>hTippedBroke</vt:lpstr>
      <vt:lpstr>'pick list'!noAuto</vt:lpstr>
      <vt:lpstr>'Scouting Output Backup'!noAuto</vt:lpstr>
      <vt:lpstr>noAuto</vt:lpstr>
      <vt:lpstr>'pick list'!noAutoThreshold</vt:lpstr>
      <vt:lpstr>'Scouting Output Backup'!noAutoThreshold</vt:lpstr>
      <vt:lpstr>noAutoThreshold</vt:lpstr>
      <vt:lpstr>'pick list'!penalty</vt:lpstr>
      <vt:lpstr>'Scouting Output Backup'!penalty</vt:lpstr>
      <vt:lpstr>penalty</vt:lpstr>
      <vt:lpstr>'pick list'!rocket23</vt:lpstr>
      <vt:lpstr>'Scouting Output Backup'!rocket23</vt:lpstr>
      <vt:lpstr>rocket23</vt:lpstr>
      <vt:lpstr>'Scouting Output Backup'!rocket2and3</vt:lpstr>
      <vt:lpstr>rocket2and3</vt:lpstr>
      <vt:lpstr>'Scouting Output Backup'!sandstorm</vt:lpstr>
      <vt:lpstr>sandstorm</vt:lpstr>
      <vt:lpstr>'Scouting Output Backup'!Second_Desirability</vt:lpstr>
      <vt:lpstr>Second_Desirability</vt:lpstr>
      <vt:lpstr>'pick list'!tippedBroke</vt:lpstr>
      <vt:lpstr>'Scouting Output Backup'!tippedBroke</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Riaz</cp:lastModifiedBy>
  <cp:lastPrinted>2019-03-03T03:36:04Z</cp:lastPrinted>
  <dcterms:created xsi:type="dcterms:W3CDTF">2019-02-05T20:52:46Z</dcterms:created>
  <dcterms:modified xsi:type="dcterms:W3CDTF">2019-03-24T17:18:29Z</dcterms:modified>
</cp:coreProperties>
</file>