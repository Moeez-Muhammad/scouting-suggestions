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2006A1F0-6E6F-4D91-A89F-D28D6990971F}" xr6:coauthVersionLast="41" xr6:coauthVersionMax="41" xr10:uidLastSave="{00000000-0000-0000-0000-000000000000}"/>
  <bookViews>
    <workbookView xWindow="-120" yWindow="-120" windowWidth="29040" windowHeight="16440" tabRatio="803" activeTab="6"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 name="Template Formulas" sheetId="14" r:id="rId11"/>
  </sheets>
  <functionGroups builtInGroupCount="19"/>
  <externalReferences>
    <externalReference r:id="rId12"/>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3" i="14" l="1"/>
  <c r="AI3" i="14"/>
  <c r="AH3" i="14"/>
  <c r="AM3" i="14" s="1"/>
  <c r="AG3" i="14"/>
  <c r="AF3" i="14"/>
  <c r="AE3" i="14"/>
  <c r="AD3" i="14"/>
  <c r="AC3" i="14"/>
  <c r="AB3" i="14"/>
  <c r="AA3" i="14"/>
  <c r="Z3" i="14"/>
  <c r="Y3" i="14"/>
  <c r="X3" i="14"/>
  <c r="W3" i="14" a="1"/>
  <c r="W3" i="14" s="1"/>
  <c r="V3" i="14"/>
  <c r="U3" i="14"/>
  <c r="T3" i="14"/>
  <c r="S3" i="14"/>
  <c r="R3" i="14" a="1"/>
  <c r="R3" i="14" s="1"/>
  <c r="Q3" i="14" a="1"/>
  <c r="Q3" i="14" s="1"/>
  <c r="P3" i="14"/>
  <c r="O3" i="14"/>
  <c r="N3" i="14"/>
  <c r="M3" i="14"/>
  <c r="L3" i="14" a="1"/>
  <c r="L3" i="14" s="1"/>
  <c r="K3" i="14"/>
  <c r="J3" i="14"/>
  <c r="I3" i="14"/>
  <c r="H3" i="14"/>
  <c r="G3" i="14" a="1"/>
  <c r="G3" i="14" s="1"/>
  <c r="F3" i="14" a="1"/>
  <c r="F3" i="14" s="1"/>
  <c r="E3" i="14"/>
  <c r="D3" i="14"/>
  <c r="B19" i="6"/>
  <c r="B18" i="6"/>
  <c r="B17" i="6"/>
  <c r="B11" i="6"/>
  <c r="B10" i="6"/>
  <c r="C3" i="14" l="1"/>
  <c r="AK3" i="14" s="1"/>
  <c r="AL3" i="14"/>
  <c r="A12" i="13"/>
  <c r="A11" i="13"/>
  <c r="A10" i="13"/>
  <c r="A6" i="13"/>
  <c r="A5" i="13"/>
  <c r="A4" i="13"/>
  <c r="B9" i="6" l="1"/>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P9" i="8"/>
  <c r="Q9" i="8"/>
  <c r="F9" i="8"/>
  <c r="AA9" i="8"/>
  <c r="R9" i="8"/>
  <c r="U9" i="8"/>
  <c r="Y9" i="8"/>
  <c r="I9" i="8"/>
  <c r="C9" i="8"/>
  <c r="B9" i="8"/>
  <c r="S9" i="8"/>
  <c r="V9" i="8"/>
  <c r="X9" i="8"/>
  <c r="N9" i="8"/>
  <c r="W9" i="8"/>
  <c r="T9" i="8"/>
  <c r="H9" i="8"/>
  <c r="G9" i="8"/>
  <c r="J9" i="8"/>
  <c r="K9" i="8"/>
  <c r="Z9" i="8"/>
  <c r="M9" i="8"/>
  <c r="O9" i="8"/>
  <c r="L9" i="8"/>
  <c r="E9" i="8"/>
  <c r="AB10" i="8"/>
  <c r="H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D10" i="8"/>
  <c r="I10" i="8"/>
  <c r="X10" i="8"/>
  <c r="E10" i="8"/>
  <c r="O10" i="8"/>
  <c r="V10" i="8"/>
  <c r="AB11" i="8"/>
  <c r="M11" i="8"/>
  <c r="M10" i="8"/>
  <c r="W10" i="8"/>
  <c r="K10" i="8"/>
  <c r="N10" i="8"/>
  <c r="T10" i="8"/>
  <c r="L10" i="8"/>
  <c r="Q10" i="8"/>
  <c r="Y10" i="8"/>
  <c r="F10" i="8"/>
  <c r="C10" i="8"/>
  <c r="Z10" i="8"/>
  <c r="U10" i="8"/>
  <c r="J10" i="8"/>
  <c r="G10" i="8"/>
  <c r="AA10" i="8"/>
  <c r="B10" i="8"/>
  <c r="P10" i="8"/>
  <c r="R10" i="8"/>
  <c r="S10" i="8"/>
  <c r="E20" i="6" l="1"/>
  <c r="D20" i="6"/>
  <c r="D12" i="6"/>
  <c r="E12" i="6"/>
  <c r="AD11" i="8"/>
  <c r="AC11" i="8"/>
  <c r="O11" i="8"/>
  <c r="AA11" i="8"/>
  <c r="T11" i="8"/>
  <c r="S11" i="8"/>
  <c r="B11" i="8"/>
  <c r="L11" i="8"/>
  <c r="V11" i="8"/>
  <c r="D11" i="8"/>
  <c r="X11" i="8"/>
  <c r="Z11" i="8"/>
  <c r="J11" i="8"/>
  <c r="R11" i="8"/>
  <c r="Y11" i="8"/>
  <c r="K11" i="8"/>
  <c r="I11" i="8"/>
  <c r="U11" i="8"/>
  <c r="P11" i="8"/>
  <c r="F11" i="8"/>
  <c r="N11" i="8"/>
  <c r="AB12" i="8"/>
  <c r="H11" i="8"/>
  <c r="C11" i="8"/>
  <c r="G11" i="8"/>
  <c r="Q11" i="8"/>
  <c r="E11" i="8"/>
  <c r="W11" i="8"/>
  <c r="F12" i="8"/>
  <c r="AD12" i="8" l="1"/>
  <c r="AC12" i="8"/>
  <c r="L12" i="8"/>
  <c r="X12" i="8"/>
  <c r="AA12" i="8"/>
  <c r="G13" i="8"/>
  <c r="T12" i="8"/>
  <c r="AB13" i="8"/>
  <c r="P12" i="8"/>
  <c r="Q12" i="8"/>
  <c r="H12" i="8"/>
  <c r="I12" i="8"/>
  <c r="B12" i="8"/>
  <c r="C12" i="8"/>
  <c r="O12" i="8"/>
  <c r="Y12" i="8"/>
  <c r="M12" i="8"/>
  <c r="K12" i="8"/>
  <c r="N12" i="8"/>
  <c r="D12" i="8"/>
  <c r="J12" i="8"/>
  <c r="S12" i="8"/>
  <c r="U12" i="8"/>
  <c r="W12" i="8"/>
  <c r="R12" i="8"/>
  <c r="V12" i="8"/>
  <c r="E12" i="8"/>
  <c r="G12" i="8"/>
  <c r="Z12" i="8"/>
  <c r="AD13" i="8" l="1"/>
  <c r="AC13" i="8"/>
  <c r="L13" i="8"/>
  <c r="F13" i="8"/>
  <c r="P13" i="8"/>
  <c r="U13" i="8"/>
  <c r="J13" i="8"/>
  <c r="V13" i="8"/>
  <c r="B14" i="8"/>
  <c r="C13" i="8"/>
  <c r="AA13" i="8"/>
  <c r="N13" i="8"/>
  <c r="B13" i="8"/>
  <c r="K13" i="8"/>
  <c r="D13" i="8"/>
  <c r="Z13" i="8"/>
  <c r="T13" i="8"/>
  <c r="W13" i="8"/>
  <c r="M13" i="8"/>
  <c r="S13" i="8"/>
  <c r="I13" i="8"/>
  <c r="O13" i="8"/>
  <c r="X13" i="8"/>
  <c r="R13" i="8"/>
  <c r="H13" i="8"/>
  <c r="Y13" i="8"/>
  <c r="Q13" i="8"/>
  <c r="E13" i="8"/>
  <c r="AB14" i="8"/>
  <c r="AD14" i="8" l="1"/>
  <c r="AC14" i="8"/>
  <c r="G14" i="8"/>
  <c r="V14" i="8"/>
  <c r="K14" i="8"/>
  <c r="U14" i="8"/>
  <c r="R14" i="8"/>
  <c r="X14" i="8"/>
  <c r="M14" i="8"/>
  <c r="L14" i="8"/>
  <c r="S14" i="8"/>
  <c r="T14" i="8"/>
  <c r="E14" i="8"/>
  <c r="O14" i="8"/>
  <c r="AA14" i="8"/>
  <c r="J14" i="8"/>
  <c r="P14" i="8"/>
  <c r="F14" i="8"/>
  <c r="W14" i="8"/>
  <c r="N14" i="8"/>
  <c r="Q14" i="8"/>
  <c r="D14" i="8"/>
  <c r="Z14" i="8"/>
  <c r="C14" i="8"/>
  <c r="H14" i="8"/>
  <c r="Y14" i="8"/>
  <c r="N15" i="8"/>
  <c r="I14" i="8"/>
  <c r="AB15" i="8"/>
  <c r="AD15" i="8" l="1"/>
  <c r="AC15" i="8"/>
  <c r="W15" i="8"/>
  <c r="Q15" i="8"/>
  <c r="M15" i="8"/>
  <c r="H15" i="8"/>
  <c r="U15" i="8"/>
  <c r="X15" i="8"/>
  <c r="B15" i="8"/>
  <c r="O15" i="8"/>
  <c r="L15" i="8"/>
  <c r="AA15" i="8"/>
  <c r="D15" i="8"/>
  <c r="R15" i="8"/>
  <c r="G15" i="8"/>
  <c r="V15" i="8"/>
  <c r="T15" i="8"/>
  <c r="S15" i="8"/>
  <c r="Z15" i="8"/>
  <c r="K15" i="8"/>
  <c r="I15" i="8"/>
  <c r="Y15" i="8"/>
  <c r="P15" i="8"/>
  <c r="F15" i="8"/>
  <c r="E15" i="8"/>
  <c r="C15" i="8"/>
  <c r="AB16" i="8"/>
  <c r="J15" i="8"/>
  <c r="AA16" i="8"/>
  <c r="AD16" i="8" l="1"/>
  <c r="AC16" i="8"/>
  <c r="I16" i="8"/>
  <c r="W16" i="8"/>
  <c r="Y16" i="8"/>
  <c r="B16" i="8"/>
  <c r="G16" i="8"/>
  <c r="L16" i="8"/>
  <c r="D16" i="8"/>
  <c r="E16" i="8"/>
  <c r="V16" i="8"/>
  <c r="J16" i="8"/>
  <c r="Z16" i="8"/>
  <c r="X16" i="8"/>
  <c r="S16" i="8"/>
  <c r="R16" i="8"/>
  <c r="C16" i="8"/>
  <c r="P16" i="8"/>
  <c r="H16" i="8"/>
  <c r="K16" i="8"/>
  <c r="Q16" i="8"/>
  <c r="O16" i="8"/>
  <c r="M16" i="8"/>
  <c r="F16" i="8"/>
  <c r="N16" i="8"/>
  <c r="U16" i="8"/>
  <c r="N17" i="8"/>
  <c r="AB17" i="8"/>
  <c r="T16" i="8"/>
  <c r="AD17" i="8" l="1"/>
  <c r="AC17" i="8"/>
  <c r="M17" i="8"/>
  <c r="B17" i="8"/>
  <c r="X17" i="8"/>
  <c r="O17" i="8"/>
  <c r="R17" i="8"/>
  <c r="Y17" i="8"/>
  <c r="C17" i="8"/>
  <c r="U17" i="8"/>
  <c r="H17" i="8"/>
  <c r="W17" i="8"/>
  <c r="P17" i="8"/>
  <c r="E17" i="8"/>
  <c r="Q17" i="8"/>
  <c r="D17" i="8"/>
  <c r="F17" i="8"/>
  <c r="V17" i="8"/>
  <c r="J17" i="8"/>
  <c r="L17" i="8"/>
  <c r="I17" i="8"/>
  <c r="S17" i="8"/>
  <c r="T17" i="8"/>
  <c r="AA17" i="8"/>
  <c r="G18" i="8"/>
  <c r="K17" i="8"/>
  <c r="Z17" i="8"/>
  <c r="G17" i="8"/>
  <c r="AB18" i="8"/>
  <c r="AD18" i="8" l="1"/>
  <c r="AC18" i="8"/>
  <c r="W18" i="8"/>
  <c r="U18" i="8"/>
  <c r="AA18" i="8"/>
  <c r="V18" i="8"/>
  <c r="B18" i="8"/>
  <c r="I18" i="8"/>
  <c r="H18" i="8"/>
  <c r="X18" i="8"/>
  <c r="M18" i="8"/>
  <c r="P18" i="8"/>
  <c r="L18" i="8"/>
  <c r="E18" i="8"/>
  <c r="Z18" i="8"/>
  <c r="T18" i="8"/>
  <c r="J18" i="8"/>
  <c r="Q18" i="8"/>
  <c r="K18" i="8"/>
  <c r="E19" i="8"/>
  <c r="C18" i="8"/>
  <c r="O18" i="8"/>
  <c r="S18" i="8"/>
  <c r="Y18" i="8"/>
  <c r="D18" i="8"/>
  <c r="R18" i="8"/>
  <c r="F18" i="8"/>
  <c r="N18" i="8"/>
  <c r="AB19" i="8"/>
  <c r="AD19" i="8" l="1"/>
  <c r="AC19" i="8"/>
  <c r="V19" i="8"/>
  <c r="AA19" i="8"/>
  <c r="U19" i="8"/>
  <c r="J19" i="8"/>
  <c r="B19" i="8"/>
  <c r="S19" i="8"/>
  <c r="I19" i="8"/>
  <c r="X19" i="8"/>
  <c r="D19" i="8"/>
  <c r="F19" i="8"/>
  <c r="M19" i="8"/>
  <c r="G19" i="8"/>
  <c r="C19" i="8"/>
  <c r="K19" i="8"/>
  <c r="Y20" i="8"/>
  <c r="O19" i="8"/>
  <c r="H19" i="8"/>
  <c r="R19" i="8"/>
  <c r="L19" i="8"/>
  <c r="Z19" i="8"/>
  <c r="Q19" i="8"/>
  <c r="T19" i="8"/>
  <c r="N19" i="8"/>
  <c r="W19" i="8"/>
  <c r="Y19" i="8"/>
  <c r="P19" i="8"/>
  <c r="AB20" i="8"/>
  <c r="AD20" i="8" l="1"/>
  <c r="AC20" i="8"/>
  <c r="M20" i="8"/>
  <c r="X20" i="8"/>
  <c r="C20" i="8"/>
  <c r="N20" i="8"/>
  <c r="F20" i="8"/>
  <c r="W20" i="8"/>
  <c r="S20" i="8"/>
  <c r="K20" i="8"/>
  <c r="T20" i="8"/>
  <c r="G20" i="8"/>
  <c r="H20" i="8"/>
  <c r="I20" i="8"/>
  <c r="P20" i="8"/>
  <c r="Z20" i="8"/>
  <c r="D20" i="8"/>
  <c r="U20" i="8"/>
  <c r="J20" i="8"/>
  <c r="R20" i="8"/>
  <c r="O20" i="8"/>
  <c r="Q20" i="8"/>
  <c r="V20" i="8"/>
  <c r="AA21" i="8"/>
  <c r="B20" i="8"/>
  <c r="L20" i="8"/>
  <c r="E20" i="8"/>
  <c r="AA20" i="8"/>
  <c r="AB21" i="8"/>
  <c r="AD21" i="8" l="1"/>
  <c r="AC21" i="8"/>
  <c r="T21" i="8"/>
  <c r="I21" i="8"/>
  <c r="G21" i="8"/>
  <c r="R21" i="8"/>
  <c r="P21" i="8"/>
  <c r="O21" i="8"/>
  <c r="W21" i="8"/>
  <c r="N22" i="8"/>
  <c r="F21" i="8"/>
  <c r="Q21" i="8"/>
  <c r="H21" i="8"/>
  <c r="Y21" i="8"/>
  <c r="X21" i="8"/>
  <c r="V21" i="8"/>
  <c r="D21" i="8"/>
  <c r="B21" i="8"/>
  <c r="S21" i="8"/>
  <c r="E21" i="8"/>
  <c r="L21" i="8"/>
  <c r="AB22" i="8"/>
  <c r="U21" i="8"/>
  <c r="C21" i="8"/>
  <c r="M21" i="8"/>
  <c r="J21" i="8"/>
  <c r="Z21" i="8"/>
  <c r="K21" i="8"/>
  <c r="N21" i="8"/>
  <c r="AD22" i="8" l="1"/>
  <c r="AC22" i="8"/>
  <c r="D22" i="8"/>
  <c r="X22" i="8"/>
  <c r="P22" i="8"/>
  <c r="E22" i="8"/>
  <c r="M22" i="8"/>
  <c r="O22" i="8"/>
  <c r="Z22" i="8"/>
  <c r="L22" i="8"/>
  <c r="H22" i="8"/>
  <c r="B22" i="8"/>
  <c r="R22" i="8"/>
  <c r="G22" i="8"/>
  <c r="Q22" i="8"/>
  <c r="J22" i="8"/>
  <c r="K22" i="8"/>
  <c r="W22" i="8"/>
  <c r="AA22" i="8"/>
  <c r="I22" i="8"/>
  <c r="F22" i="8"/>
  <c r="AB23" i="8"/>
  <c r="T22" i="8"/>
  <c r="S22" i="8"/>
  <c r="Y22" i="8"/>
  <c r="U22" i="8"/>
  <c r="Y23" i="8"/>
  <c r="V22" i="8"/>
  <c r="C22" i="8"/>
  <c r="AD23" i="8" l="1"/>
  <c r="AC23" i="8"/>
  <c r="Q23" i="8"/>
  <c r="P23" i="8"/>
  <c r="X23" i="8"/>
  <c r="AA23" i="8"/>
  <c r="W23" i="8"/>
  <c r="T23" i="8"/>
  <c r="B23" i="8"/>
  <c r="C23" i="8"/>
  <c r="S23" i="8"/>
  <c r="D23" i="8"/>
  <c r="O23" i="8"/>
  <c r="I23" i="8"/>
  <c r="G23" i="8"/>
  <c r="U23" i="8"/>
  <c r="V23" i="8"/>
  <c r="Z23" i="8"/>
  <c r="R23" i="8"/>
  <c r="F23" i="8"/>
  <c r="M23" i="8"/>
  <c r="J23" i="8"/>
  <c r="L23" i="8"/>
  <c r="H23" i="8"/>
  <c r="K23" i="8"/>
  <c r="N23" i="8"/>
  <c r="E23" i="8"/>
  <c r="F24" i="8"/>
  <c r="AB24" i="8"/>
  <c r="AD24" i="8" l="1"/>
  <c r="AC24" i="8"/>
  <c r="N24" i="8"/>
  <c r="S24" i="8"/>
  <c r="W24" i="8"/>
  <c r="P24" i="8"/>
  <c r="E24" i="8"/>
  <c r="G24" i="8"/>
  <c r="O24" i="8"/>
  <c r="H24" i="8"/>
  <c r="B24" i="8"/>
  <c r="T24" i="8"/>
  <c r="L24" i="8"/>
  <c r="R24" i="8"/>
  <c r="M24" i="8"/>
  <c r="D24" i="8"/>
  <c r="U24" i="8"/>
  <c r="I24" i="8"/>
  <c r="V24" i="8"/>
  <c r="J24" i="8"/>
  <c r="H25" i="8"/>
  <c r="X24" i="8"/>
  <c r="AA24" i="8"/>
  <c r="Q24" i="8"/>
  <c r="K24" i="8"/>
  <c r="C24" i="8"/>
  <c r="Y24" i="8"/>
  <c r="Z24" i="8"/>
  <c r="AB25" i="8"/>
  <c r="AD25" i="8" l="1"/>
  <c r="AC25" i="8"/>
  <c r="I25" i="8"/>
  <c r="P25" i="8"/>
  <c r="M25" i="8"/>
  <c r="W25" i="8"/>
  <c r="R25" i="8"/>
  <c r="J25" i="8"/>
  <c r="K25" i="8"/>
  <c r="V25" i="8"/>
  <c r="Z25" i="8"/>
  <c r="C25" i="8"/>
  <c r="X25" i="8"/>
  <c r="X26" i="8"/>
  <c r="U25" i="8"/>
  <c r="AA25" i="8"/>
  <c r="D25" i="8"/>
  <c r="F25" i="8"/>
  <c r="B25" i="8"/>
  <c r="Y25" i="8"/>
  <c r="Q25" i="8"/>
  <c r="S25" i="8"/>
  <c r="G25" i="8"/>
  <c r="L25" i="8"/>
  <c r="O25" i="8"/>
  <c r="N25" i="8"/>
  <c r="E25" i="8"/>
  <c r="T25" i="8"/>
  <c r="AB26" i="8"/>
  <c r="AD26" i="8" l="1"/>
  <c r="AC26" i="8"/>
  <c r="H26" i="8"/>
  <c r="K26" i="8"/>
  <c r="P26" i="8"/>
  <c r="N26" i="8"/>
  <c r="Y26" i="8"/>
  <c r="F26" i="8"/>
  <c r="B26" i="8"/>
  <c r="B27" i="8"/>
  <c r="S26" i="8"/>
  <c r="G26" i="8"/>
  <c r="M26" i="8"/>
  <c r="T26" i="8"/>
  <c r="O26" i="8"/>
  <c r="L26" i="8"/>
  <c r="V26" i="8"/>
  <c r="I26" i="8"/>
  <c r="Q26" i="8"/>
  <c r="E26" i="8"/>
  <c r="C26" i="8"/>
  <c r="U26" i="8"/>
  <c r="Z26" i="8"/>
  <c r="R26" i="8"/>
  <c r="D26" i="8"/>
  <c r="AA26" i="8"/>
  <c r="J26" i="8"/>
  <c r="W26" i="8"/>
  <c r="AB27" i="8"/>
  <c r="AD27" i="8" l="1"/>
  <c r="AC27" i="8"/>
  <c r="Q27" i="8"/>
  <c r="W27" i="8"/>
  <c r="L27" i="8"/>
  <c r="T27" i="8"/>
  <c r="I27" i="8"/>
  <c r="P28" i="8"/>
  <c r="N27" i="8"/>
  <c r="D27" i="8"/>
  <c r="M27" i="8"/>
  <c r="S27" i="8"/>
  <c r="O27" i="8"/>
  <c r="K27" i="8"/>
  <c r="P27" i="8"/>
  <c r="J27" i="8"/>
  <c r="Y28" i="8"/>
  <c r="V27" i="8"/>
  <c r="N28" i="8"/>
  <c r="U27" i="8"/>
  <c r="AA27" i="8"/>
  <c r="I28" i="8"/>
  <c r="F28" i="8"/>
  <c r="C27" i="8"/>
  <c r="X28" i="8"/>
  <c r="X27" i="8"/>
  <c r="Z27" i="8"/>
  <c r="F27" i="8"/>
  <c r="R27" i="8"/>
  <c r="H27" i="8"/>
  <c r="E27" i="8"/>
  <c r="Y27" i="8"/>
  <c r="G27" i="8"/>
  <c r="AB28" i="8"/>
  <c r="U28" i="8"/>
  <c r="AD28" i="8" l="1"/>
  <c r="AC28" i="8"/>
  <c r="L28" i="8"/>
  <c r="G28" i="8"/>
  <c r="H28" i="8"/>
  <c r="Q28" i="8"/>
  <c r="J28" i="8"/>
  <c r="V28" i="8"/>
  <c r="M28" i="8"/>
  <c r="T28" i="8"/>
  <c r="C28" i="8"/>
  <c r="E28" i="8"/>
  <c r="R28" i="8"/>
  <c r="AA28" i="8"/>
  <c r="O28" i="8"/>
  <c r="Z28" i="8"/>
  <c r="AB29" i="8"/>
  <c r="G29" i="8"/>
  <c r="K28" i="8"/>
  <c r="D28" i="8"/>
  <c r="S28" i="8"/>
  <c r="B28" i="8"/>
  <c r="W28" i="8"/>
  <c r="AD29" i="8" l="1"/>
  <c r="AC29" i="8"/>
  <c r="Q29" i="8"/>
  <c r="K29" i="8"/>
  <c r="V29" i="8"/>
  <c r="H29" i="8"/>
  <c r="F29" i="8"/>
  <c r="Z29" i="8"/>
  <c r="AB30" i="8"/>
  <c r="E29" i="8"/>
  <c r="T29" i="8"/>
  <c r="Y29" i="8"/>
  <c r="J29" i="8"/>
  <c r="C29" i="8"/>
  <c r="X29" i="8"/>
  <c r="R29" i="8"/>
  <c r="S29" i="8"/>
  <c r="D29" i="8"/>
  <c r="M29" i="8"/>
  <c r="W29" i="8"/>
  <c r="N29" i="8"/>
  <c r="I29" i="8"/>
  <c r="U29" i="8"/>
  <c r="L29" i="8"/>
  <c r="H30" i="8"/>
  <c r="O29" i="8"/>
  <c r="B29" i="8"/>
  <c r="AA29" i="8"/>
  <c r="P29" i="8"/>
  <c r="AD30" i="8" l="1"/>
  <c r="AC30" i="8"/>
  <c r="S30" i="8"/>
  <c r="Y30" i="8"/>
  <c r="B30" i="8"/>
  <c r="V30" i="8"/>
  <c r="I30" i="8"/>
  <c r="C30" i="8"/>
  <c r="M31" i="8"/>
  <c r="K30" i="8"/>
  <c r="L30" i="8"/>
  <c r="AB31" i="8"/>
  <c r="AA30" i="8"/>
  <c r="P30" i="8"/>
  <c r="D30" i="8"/>
  <c r="U30" i="8"/>
  <c r="O30" i="8"/>
  <c r="W30" i="8"/>
  <c r="G30" i="8"/>
  <c r="Z30" i="8"/>
  <c r="Q30" i="8"/>
  <c r="R30" i="8"/>
  <c r="X30" i="8"/>
  <c r="T30" i="8"/>
  <c r="J30" i="8"/>
  <c r="N30" i="8"/>
  <c r="F30" i="8"/>
  <c r="E30" i="8"/>
  <c r="M30" i="8"/>
  <c r="AD31" i="8" l="1"/>
  <c r="AC31" i="8"/>
  <c r="L31" i="8"/>
  <c r="W31" i="8"/>
  <c r="F31" i="8"/>
  <c r="H31" i="8"/>
  <c r="E31" i="8"/>
  <c r="AB32" i="8"/>
  <c r="P31" i="8"/>
  <c r="N31" i="8"/>
  <c r="Z31" i="8"/>
  <c r="V31" i="8"/>
  <c r="U31" i="8"/>
  <c r="C31" i="8"/>
  <c r="D31" i="8"/>
  <c r="K31" i="8"/>
  <c r="R31" i="8"/>
  <c r="G31" i="8"/>
  <c r="AA31" i="8"/>
  <c r="T31" i="8"/>
  <c r="X31" i="8"/>
  <c r="S31" i="8"/>
  <c r="Y31" i="8"/>
  <c r="O31" i="8"/>
  <c r="I31" i="8"/>
  <c r="AA32" i="8"/>
  <c r="B31" i="8"/>
  <c r="Q31" i="8"/>
  <c r="J31" i="8"/>
  <c r="AD32" i="8" l="1"/>
  <c r="AC32" i="8"/>
  <c r="G32" i="8"/>
  <c r="Z32" i="8"/>
  <c r="L32" i="8"/>
  <c r="M32" i="8"/>
  <c r="I32" i="8"/>
  <c r="E32" i="8"/>
  <c r="N32" i="8"/>
  <c r="AB33" i="8"/>
  <c r="W32" i="8"/>
  <c r="H32" i="8"/>
  <c r="J32" i="8"/>
  <c r="U32" i="8"/>
  <c r="B32" i="8"/>
  <c r="S32" i="8"/>
  <c r="F32" i="8"/>
  <c r="R32" i="8"/>
  <c r="T32" i="8"/>
  <c r="O32" i="8"/>
  <c r="Y32" i="8"/>
  <c r="P32" i="8"/>
  <c r="D32" i="8"/>
  <c r="Q32" i="8"/>
  <c r="C32" i="8"/>
  <c r="AA33" i="8"/>
  <c r="X32" i="8"/>
  <c r="V32" i="8"/>
  <c r="K32" i="8"/>
  <c r="AD33" i="8" l="1"/>
  <c r="AC33" i="8"/>
  <c r="F33" i="8"/>
  <c r="K33" i="8"/>
  <c r="X33" i="8"/>
  <c r="S33" i="8"/>
  <c r="N33" i="8"/>
  <c r="I33" i="8"/>
  <c r="J33" i="8"/>
  <c r="T33" i="8"/>
  <c r="U33" i="8"/>
  <c r="R33" i="8"/>
  <c r="E33" i="8"/>
  <c r="H33" i="8"/>
  <c r="C33" i="8"/>
  <c r="Y33" i="8"/>
  <c r="D33" i="8"/>
  <c r="B33" i="8"/>
  <c r="O33" i="8"/>
  <c r="G33" i="8"/>
  <c r="V33" i="8"/>
  <c r="M33" i="8"/>
  <c r="P33" i="8"/>
  <c r="N34" i="8"/>
  <c r="Z33" i="8"/>
  <c r="L33" i="8"/>
  <c r="AB34" i="8"/>
  <c r="Q33" i="8"/>
  <c r="M34" i="8"/>
  <c r="O34" i="8"/>
  <c r="W33" i="8"/>
  <c r="AD34" i="8" l="1"/>
  <c r="AC34" i="8"/>
  <c r="R34" i="8"/>
  <c r="Y34" i="8"/>
  <c r="Q34" i="8"/>
  <c r="H34" i="8"/>
  <c r="K34" i="8"/>
  <c r="G34" i="8"/>
  <c r="J34" i="8"/>
  <c r="S35" i="8"/>
  <c r="B34" i="8"/>
  <c r="S34" i="8"/>
  <c r="I34" i="8"/>
  <c r="P34" i="8"/>
  <c r="C34" i="8"/>
  <c r="D34" i="8"/>
  <c r="X34" i="8"/>
  <c r="F34" i="8"/>
  <c r="L34" i="8"/>
  <c r="Z34" i="8"/>
  <c r="W34" i="8"/>
  <c r="E34" i="8"/>
  <c r="AA34" i="8"/>
  <c r="T34" i="8"/>
  <c r="V34" i="8"/>
  <c r="U34" i="8"/>
  <c r="AB35" i="8"/>
  <c r="AC35" i="8" l="1"/>
  <c r="AD35" i="8"/>
  <c r="Z35" i="8"/>
  <c r="L36" i="8"/>
  <c r="M35" i="8"/>
  <c r="J35" i="8"/>
  <c r="Y35" i="8"/>
  <c r="E35" i="8"/>
  <c r="F35" i="8"/>
  <c r="AB36" i="8"/>
  <c r="I35" i="8"/>
  <c r="U35" i="8"/>
  <c r="X35" i="8"/>
  <c r="C35" i="8"/>
  <c r="V35" i="8"/>
  <c r="P35" i="8"/>
  <c r="K35" i="8"/>
  <c r="L35" i="8"/>
  <c r="D35" i="8"/>
  <c r="AA35" i="8"/>
  <c r="N35" i="8"/>
  <c r="W35" i="8"/>
  <c r="H35" i="8"/>
  <c r="G35" i="8"/>
  <c r="B35" i="8"/>
  <c r="T35" i="8"/>
  <c r="Q35" i="8"/>
  <c r="Q36" i="8"/>
  <c r="R35" i="8"/>
  <c r="K36" i="8"/>
  <c r="O35" i="8"/>
  <c r="AD36" i="8" l="1"/>
  <c r="AC36" i="8"/>
  <c r="N36" i="8"/>
  <c r="M36" i="8"/>
  <c r="V36" i="8"/>
  <c r="AA36" i="8"/>
  <c r="E36" i="8"/>
  <c r="J36" i="8"/>
  <c r="F36" i="8"/>
  <c r="Y36" i="8"/>
  <c r="D36" i="8"/>
  <c r="B36" i="8"/>
  <c r="C36" i="8"/>
  <c r="H36" i="8"/>
  <c r="W36" i="8"/>
  <c r="P36" i="8"/>
  <c r="O36" i="8"/>
  <c r="S36" i="8"/>
  <c r="Z36" i="8"/>
  <c r="I36" i="8"/>
  <c r="T36" i="8"/>
  <c r="G36" i="8"/>
  <c r="X36" i="8"/>
  <c r="AB37" i="8"/>
  <c r="R36" i="8"/>
  <c r="AA37" i="8"/>
  <c r="U36" i="8"/>
  <c r="AC37" i="8" l="1"/>
  <c r="AD37" i="8"/>
  <c r="V37" i="8"/>
  <c r="Z37" i="8"/>
  <c r="X37" i="8"/>
  <c r="W37" i="8"/>
  <c r="R37" i="8"/>
  <c r="H37" i="8"/>
  <c r="AB38" i="8"/>
  <c r="T37" i="8"/>
  <c r="M37" i="8"/>
  <c r="U37" i="8"/>
  <c r="K37" i="8"/>
  <c r="J37" i="8"/>
  <c r="D37" i="8"/>
  <c r="S37" i="8"/>
  <c r="G38" i="8"/>
  <c r="P37" i="8"/>
  <c r="N37" i="8"/>
  <c r="Q37" i="8"/>
  <c r="I37" i="8"/>
  <c r="C37" i="8"/>
  <c r="F37" i="8"/>
  <c r="L37" i="8"/>
  <c r="G37" i="8"/>
  <c r="Y37" i="8"/>
  <c r="O37" i="8"/>
  <c r="B37" i="8"/>
  <c r="E37" i="8"/>
  <c r="AD38" i="8" l="1"/>
  <c r="AC38" i="8"/>
  <c r="N38" i="8"/>
  <c r="M38" i="8"/>
  <c r="I38" i="8"/>
  <c r="B38" i="8"/>
  <c r="Y38" i="8"/>
  <c r="F39" i="8"/>
  <c r="T38" i="8"/>
  <c r="V38" i="8"/>
  <c r="C39" i="8"/>
  <c r="AB39" i="8"/>
  <c r="X38" i="8"/>
  <c r="S39" i="8"/>
  <c r="W38" i="8"/>
  <c r="H38" i="8"/>
  <c r="L39" i="8"/>
  <c r="Q38" i="8"/>
  <c r="C38" i="8"/>
  <c r="J38" i="8"/>
  <c r="AA38" i="8"/>
  <c r="O38" i="8"/>
  <c r="R38" i="8"/>
  <c r="E38" i="8"/>
  <c r="D38" i="8"/>
  <c r="F38" i="8"/>
  <c r="U38" i="8"/>
  <c r="L38" i="8"/>
  <c r="P38" i="8"/>
  <c r="S38" i="8"/>
  <c r="Z38" i="8"/>
  <c r="K38" i="8"/>
  <c r="AD39" i="8" l="1"/>
  <c r="AC39" i="8"/>
  <c r="Z39" i="8"/>
  <c r="O39" i="8"/>
  <c r="J39" i="8"/>
  <c r="R39" i="8"/>
  <c r="D39" i="8"/>
  <c r="T39" i="8"/>
  <c r="AA39" i="8"/>
  <c r="V39" i="8"/>
  <c r="K39" i="8"/>
  <c r="AB40" i="8"/>
  <c r="E39" i="8"/>
  <c r="B39" i="8"/>
  <c r="U39" i="8"/>
  <c r="G39" i="8"/>
  <c r="N39" i="8"/>
  <c r="D40" i="8"/>
  <c r="Q39" i="8"/>
  <c r="M39" i="8"/>
  <c r="P39" i="8"/>
  <c r="W39" i="8"/>
  <c r="H39" i="8"/>
  <c r="Y39" i="8"/>
  <c r="I39" i="8"/>
  <c r="X39" i="8"/>
  <c r="AD40" i="8" l="1"/>
  <c r="AC40" i="8"/>
  <c r="H40" i="8"/>
  <c r="S41" i="8"/>
  <c r="L40" i="8"/>
  <c r="G40" i="8"/>
  <c r="M40" i="8"/>
  <c r="Z40" i="8"/>
  <c r="R40" i="8"/>
  <c r="U40" i="8"/>
  <c r="V40" i="8"/>
  <c r="B40" i="8"/>
  <c r="Y40" i="8"/>
  <c r="W40" i="8"/>
  <c r="E40" i="8"/>
  <c r="Q40" i="8"/>
  <c r="I40" i="8"/>
  <c r="O40" i="8"/>
  <c r="AB41" i="8"/>
  <c r="K40" i="8"/>
  <c r="P40" i="8"/>
  <c r="C40" i="8"/>
  <c r="T40" i="8"/>
  <c r="F40" i="8"/>
  <c r="N40" i="8"/>
  <c r="S40" i="8"/>
  <c r="X40" i="8"/>
  <c r="J40" i="8"/>
  <c r="AA40" i="8"/>
  <c r="AD41" i="8" l="1"/>
  <c r="AC41" i="8"/>
  <c r="G41" i="8"/>
  <c r="AB42" i="8"/>
  <c r="O41" i="8"/>
  <c r="Y41" i="8"/>
  <c r="C41" i="8"/>
  <c r="Q41" i="8"/>
  <c r="I41" i="8"/>
  <c r="I42" i="8"/>
  <c r="Z41" i="8"/>
  <c r="D42" i="8"/>
  <c r="K42" i="8"/>
  <c r="N41" i="8"/>
  <c r="L41" i="8"/>
  <c r="V41" i="8"/>
  <c r="C42" i="8"/>
  <c r="D41" i="8"/>
  <c r="R42" i="8"/>
  <c r="B41" i="8"/>
  <c r="U41" i="8"/>
  <c r="R41" i="8"/>
  <c r="T41" i="8"/>
  <c r="W41" i="8"/>
  <c r="J41" i="8"/>
  <c r="K41" i="8"/>
  <c r="H41" i="8"/>
  <c r="M41" i="8"/>
  <c r="P41" i="8"/>
  <c r="AA41" i="8"/>
  <c r="F41" i="8"/>
  <c r="X41" i="8"/>
  <c r="E41" i="8"/>
  <c r="AD42" i="8" l="1"/>
  <c r="AC42" i="8"/>
  <c r="AA42" i="8"/>
  <c r="W42" i="8"/>
  <c r="P42" i="8"/>
  <c r="AB43" i="8"/>
  <c r="H42" i="8"/>
  <c r="T42" i="8"/>
  <c r="S43" i="8"/>
  <c r="E42" i="8"/>
  <c r="F42" i="8"/>
  <c r="X42" i="8"/>
  <c r="O42" i="8"/>
  <c r="N42" i="8"/>
  <c r="S42" i="8"/>
  <c r="M42" i="8"/>
  <c r="G42" i="8"/>
  <c r="L42" i="8"/>
  <c r="Q42" i="8"/>
  <c r="Y42" i="8"/>
  <c r="V42" i="8"/>
  <c r="B42" i="8"/>
  <c r="Z42" i="8"/>
  <c r="U42" i="8"/>
  <c r="J42" i="8"/>
  <c r="AC43" i="8" l="1"/>
  <c r="AD43" i="8"/>
  <c r="AA43" i="8"/>
  <c r="Y43" i="8"/>
  <c r="I43" i="8"/>
  <c r="W43" i="8"/>
  <c r="Z43" i="8"/>
  <c r="O43" i="8"/>
  <c r="V43" i="8"/>
  <c r="N43" i="8"/>
  <c r="G43" i="8"/>
  <c r="H43" i="8"/>
  <c r="X43" i="8"/>
  <c r="K43" i="8"/>
  <c r="E43" i="8"/>
  <c r="J43" i="8"/>
  <c r="D43" i="8"/>
  <c r="C43" i="8"/>
  <c r="P43" i="8"/>
  <c r="R43" i="8"/>
  <c r="T43" i="8"/>
  <c r="F43" i="8"/>
  <c r="M43" i="8"/>
  <c r="U43" i="8"/>
  <c r="Q43" i="8"/>
  <c r="B43" i="8"/>
  <c r="L43" i="8"/>
</calcChain>
</file>

<file path=xl/sharedStrings.xml><?xml version="1.0" encoding="utf-8"?>
<sst xmlns="http://schemas.openxmlformats.org/spreadsheetml/2006/main" count="962" uniqueCount="379">
  <si>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</si>
  <si>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</si>
  <si>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</si>
  <si>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</si>
  <si>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</si>
  <si>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</si>
  <si>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</si>
  <si>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</si>
  <si>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</si>
  <si>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</si>
  <si>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</si>
  <si>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</si>
  <si>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</si>
  <si>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</si>
  <si>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</si>
  <si>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</si>
  <si>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</si>
  <si>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</si>
  <si>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</si>
  <si>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</si>
  <si>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</si>
  <si>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</si>
  <si>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</si>
  <si>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</si>
  <si>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</si>
  <si>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</si>
  <si>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</si>
  <si>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</si>
  <si>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</si>
  <si>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</si>
  <si>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</si>
  <si>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</si>
  <si>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</si>
  <si>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</si>
  <si>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</si>
  <si>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</si>
  <si>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</si>
  <si>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</si>
  <si>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</si>
  <si>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</si>
  <si>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</si>
  <si>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</si>
  <si>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</si>
  <si>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</si>
  <si>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</si>
  <si>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</si>
  <si>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</si>
  <si>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</si>
  <si>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</si>
  <si>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</si>
  <si>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</si>
  <si>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</si>
  <si>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</si>
  <si>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</si>
  <si>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</si>
  <si>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</si>
  <si>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</si>
  <si>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</si>
  <si>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</si>
  <si>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</si>
  <si>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</si>
  <si>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</si>
  <si>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</si>
  <si>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</si>
  <si>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</si>
  <si>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</si>
  <si>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</si>
  <si>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</si>
  <si>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</si>
  <si>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</si>
  <si>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</si>
  <si>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</si>
  <si>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</si>
  <si>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</si>
  <si>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</si>
  <si>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</si>
  <si>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</si>
  <si>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</si>
  <si>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</si>
  <si>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</si>
  <si>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</si>
  <si>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</si>
  <si>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</si>
  <si>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</si>
  <si>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</si>
  <si>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</si>
  <si>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</si>
  <si>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</si>
  <si>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</si>
  <si>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</si>
  <si>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</si>
  <si>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</si>
  <si>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</si>
  <si>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</si>
  <si>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</si>
  <si>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</si>
  <si>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</si>
  <si>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</si>
  <si>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</si>
  <si>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</si>
  <si>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</si>
  <si>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</si>
  <si>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</si>
  <si>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</si>
  <si>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</si>
  <si>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</si>
  <si>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</si>
  <si>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</si>
  <si>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</si>
  <si>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</si>
  <si>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</si>
  <si>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</si>
  <si>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</si>
  <si>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</si>
  <si>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</si>
  <si>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</si>
  <si>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</si>
  <si>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</si>
  <si>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</si>
  <si>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</si>
  <si>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</si>
  <si>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</si>
  <si>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</si>
  <si>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</si>
  <si>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</si>
  <si>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</si>
  <si>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</si>
  <si>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</si>
  <si>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</si>
  <si>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</si>
  <si>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</si>
  <si>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</si>
  <si>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</si>
  <si>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</si>
  <si>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</si>
  <si>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</si>
  <si>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</si>
  <si>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</si>
  <si>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</si>
  <si>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</si>
  <si>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</si>
  <si>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</si>
  <si>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</si>
  <si>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</si>
  <si>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</si>
  <si>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</si>
  <si>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</si>
  <si>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</si>
  <si>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</si>
  <si>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</si>
  <si>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</si>
  <si>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</si>
  <si>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</si>
  <si>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</si>
  <si>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</si>
  <si>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</si>
  <si>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</si>
  <si>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</si>
  <si>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</si>
  <si>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</si>
  <si>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</si>
  <si>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</si>
  <si>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</si>
  <si>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</si>
  <si>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</si>
  <si>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</si>
  <si>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</si>
  <si>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</si>
  <si>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</si>
  <si>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</si>
  <si>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</si>
  <si>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</si>
  <si>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</si>
  <si>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</si>
  <si>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</si>
  <si>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</si>
  <si>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</si>
  <si>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</si>
  <si>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</si>
  <si>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</si>
  <si>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</si>
  <si>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</si>
  <si>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</si>
  <si>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</si>
  <si>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</si>
  <si>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</si>
  <si>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</si>
  <si>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</si>
  <si>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</si>
  <si>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</si>
  <si>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</si>
  <si>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</si>
  <si>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</si>
  <si>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</si>
  <si>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</si>
  <si>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</si>
  <si>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</si>
  <si>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</si>
  <si>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</si>
  <si>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</si>
  <si>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</si>
  <si>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</si>
  <si>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</si>
  <si>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</si>
  <si>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</si>
  <si>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</si>
  <si>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</si>
  <si>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</si>
  <si>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</si>
  <si>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</si>
  <si>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</si>
  <si>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</si>
  <si>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</si>
  <si>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</si>
  <si>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</si>
  <si>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</si>
  <si>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</si>
  <si>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</si>
  <si>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</si>
  <si>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</si>
  <si>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</si>
  <si>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</si>
  <si>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</si>
  <si>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</si>
  <si>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</si>
  <si>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</si>
  <si>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</si>
  <si>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</si>
  <si>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</si>
  <si>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</si>
  <si>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</si>
  <si>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</si>
  <si>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</si>
  <si>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</si>
  <si>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</si>
  <si>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</si>
  <si>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</si>
  <si>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</si>
  <si>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</si>
  <si>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</si>
  <si>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</si>
  <si>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</si>
  <si>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</si>
  <si>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</si>
  <si>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</si>
  <si>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</si>
  <si>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</si>
  <si>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</si>
  <si>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</si>
  <si>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</si>
  <si>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</si>
  <si>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</si>
  <si>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</si>
  <si>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</si>
  <si>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</si>
  <si>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</si>
  <si>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</si>
  <si>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</si>
  <si>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</si>
  <si>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</si>
  <si>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</si>
  <si>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</si>
  <si>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</si>
  <si>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</si>
  <si>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</si>
  <si>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</si>
  <si>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</si>
  <si>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</si>
  <si>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</si>
  <si>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</si>
  <si>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</si>
  <si>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</si>
  <si>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</si>
  <si>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</si>
  <si>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</si>
  <si>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</si>
  <si>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</si>
  <si>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</si>
  <si>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</si>
  <si>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</si>
  <si>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</si>
  <si>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</si>
  <si>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</si>
  <si>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</si>
  <si>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</si>
  <si>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</si>
  <si>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</si>
  <si>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</si>
  <si>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</si>
  <si>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</si>
  <si>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</si>
  <si>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</si>
  <si>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</si>
  <si>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</si>
  <si>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</si>
  <si>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</si>
  <si>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</si>
  <si>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</si>
  <si>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</si>
  <si>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</si>
  <si>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</si>
  <si>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</si>
  <si>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</si>
  <si>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</si>
  <si>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</si>
  <si>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</si>
  <si>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</si>
  <si>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</si>
  <si>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</si>
  <si>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</si>
  <si>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</si>
  <si>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</si>
  <si>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</si>
  <si>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</si>
  <si>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</si>
  <si>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</si>
  <si>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</si>
  <si>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</si>
  <si>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</si>
  <si>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</si>
  <si>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</si>
  <si>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</si>
  <si>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</si>
  <si>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</si>
  <si>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</si>
  <si>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</si>
  <si>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</si>
  <si>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</si>
  <si>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</si>
  <si>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</si>
  <si>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</si>
  <si>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</si>
  <si>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</si>
  <si>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</si>
  <si>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</si>
  <si>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</si>
  <si>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</si>
  <si>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</si>
  <si>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</si>
  <si>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</si>
  <si>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</si>
  <si>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</si>
  <si>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</si>
  <si>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</si>
  <si>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</si>
  <si>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</si>
  <si>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</si>
  <si>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</si>
  <si>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</si>
  <si>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</si>
  <si>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</si>
  <si>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</si>
  <si>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</si>
  <si>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</si>
  <si>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 xml:space="preserve">_x000D_
</t>
  </si>
  <si>
    <t>Tiger Techs</t>
  </si>
  <si>
    <t>The Big Bang</t>
  </si>
  <si>
    <t>Merge Robotics</t>
  </si>
  <si>
    <t>ABSOLUTE ROBOTICS</t>
  </si>
  <si>
    <t>Allspark9</t>
  </si>
  <si>
    <t xml:space="preserve"> Full Metal Mustangs</t>
  </si>
  <si>
    <t>Irish Iron</t>
  </si>
  <si>
    <t>Celt-X</t>
  </si>
  <si>
    <t>BT Robotics</t>
  </si>
  <si>
    <t>Thistletown Scot Bots</t>
  </si>
  <si>
    <t>Aurobots</t>
  </si>
  <si>
    <t>Team MineKee</t>
  </si>
  <si>
    <t>Gearheads</t>
  </si>
  <si>
    <t>Agincourt Skunkworks</t>
  </si>
  <si>
    <t>Red Devils</t>
  </si>
  <si>
    <t>Cardinal Robotics</t>
  </si>
  <si>
    <t>Raider Robotics</t>
  </si>
  <si>
    <t>Richardson Stormbots</t>
  </si>
  <si>
    <t>Pink Titans</t>
  </si>
  <si>
    <t>PARAGON</t>
  </si>
  <si>
    <t>Cap Alpaca</t>
  </si>
  <si>
    <t>Romero Robotics</t>
  </si>
  <si>
    <t xml:space="preserve">SJB Odyssey </t>
  </si>
  <si>
    <t>EOM 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</si>
</sst>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7">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xf numFmtId="0" fontId="0" fillId="0" borderId="0" xfId="0" applyAlignment="1">
      <alignment vertical="center" wrapText="1"/>
    </xf>
  </cellXfs>
  <cellStyles count="3">
    <cellStyle name="Hyperlink" xfId="2" builtinId="8"/>
    <cellStyle name="Normal" xfId="0" builtinId="0"/>
    <cellStyle name="Normal 2" xfId="1" xr:uid="{C620A46E-9391-479E-A6E7-7B8F899801C0}"/>
  </cellStyles>
  <dxfs count="35">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8" t="s">
        <v>0</v>
      </c>
      <c r="B1" s="138"/>
      <c r="C1" s="138"/>
      <c r="D1" s="138" t="s">
        <v>9</v>
      </c>
      <c r="E1" s="138"/>
      <c r="F1" s="138"/>
      <c r="G1" s="138"/>
      <c r="H1" s="138"/>
      <c r="I1" s="138"/>
      <c r="J1" s="138"/>
      <c r="K1" s="138"/>
      <c r="L1" s="138"/>
      <c r="M1" s="138"/>
      <c r="N1" s="59"/>
      <c r="O1" s="59"/>
      <c r="P1" s="138" t="s">
        <v>1</v>
      </c>
      <c r="Q1" s="138"/>
      <c r="R1" s="138"/>
      <c r="S1" s="138"/>
      <c r="T1" s="138"/>
      <c r="U1" s="138"/>
      <c r="V1" s="138"/>
      <c r="W1" s="138"/>
      <c r="X1" s="138"/>
      <c r="Y1" s="138"/>
      <c r="Z1" s="138"/>
      <c r="AA1" s="138"/>
      <c r="AB1" s="138"/>
      <c r="AC1" s="138"/>
      <c r="AD1" s="138" t="s">
        <v>2</v>
      </c>
      <c r="AE1" s="138"/>
      <c r="AF1" s="138"/>
      <c r="AG1" s="138"/>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4"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4" sqref="B4"/>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39" t="s">
        <v>96</v>
      </c>
      <c r="B3" s="139"/>
      <c r="E3" s="127"/>
      <c r="G3" t="s">
        <v>243</v>
      </c>
    </row>
    <row r="4" spans="1:37" ht="21.95" customHeight="1">
      <c r="A4" t="s">
        <v>97</v>
      </c>
      <c r="B4" s="113" t="s">
        <v>91</v>
      </c>
    </row>
    <row r="5" spans="1:37" ht="15.75" thickBot="1"/>
    <row r="6" spans="1:37" ht="16.5" thickTop="1" thickBot="1">
      <c r="A6" s="85"/>
      <c r="B6" s="93"/>
      <c r="C6" s="146" t="s">
        <v>102</v>
      </c>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7"/>
    </row>
    <row r="7" spans="1:37" ht="15.75" thickTop="1">
      <c r="A7" s="91"/>
      <c r="B7" s="152" t="s">
        <v>0</v>
      </c>
      <c r="C7" s="147"/>
      <c r="D7" s="74"/>
      <c r="E7" s="74"/>
      <c r="F7" s="74"/>
      <c r="G7" s="143" t="s">
        <v>9</v>
      </c>
      <c r="H7" s="144"/>
      <c r="I7" s="144"/>
      <c r="J7" s="144"/>
      <c r="K7" s="144"/>
      <c r="L7" s="144"/>
      <c r="M7" s="144"/>
      <c r="N7" s="144"/>
      <c r="O7" s="144"/>
      <c r="P7" s="144"/>
      <c r="Q7" s="145"/>
      <c r="R7" s="143" t="s">
        <v>1</v>
      </c>
      <c r="S7" s="144"/>
      <c r="T7" s="144"/>
      <c r="U7" s="144"/>
      <c r="V7" s="144"/>
      <c r="W7" s="144"/>
      <c r="X7" s="144"/>
      <c r="Y7" s="144"/>
      <c r="Z7" s="144"/>
      <c r="AA7" s="144"/>
      <c r="AB7" s="144"/>
      <c r="AC7" s="144"/>
      <c r="AD7" s="144"/>
      <c r="AE7" s="145"/>
      <c r="AF7" s="143" t="s">
        <v>2</v>
      </c>
      <c r="AG7" s="144"/>
      <c r="AH7" s="144"/>
      <c r="AI7" s="144"/>
      <c r="AJ7" s="144"/>
      <c r="AK7" s="145"/>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139</v>
      </c>
      <c r="B10" s="90">
        <f>VLOOKUP($B$4,'EVENT DATA'!$B$5:$H$99,3,FALSE)</f>
        <v>6878</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140</v>
      </c>
      <c r="B11" s="90">
        <f>VLOOKUP($B$4,'EVENT DATA'!$B$5:$H$99,4,FALSE)</f>
        <v>7690</v>
      </c>
      <c r="C11" s="90" t="str">
        <f>VLOOKUP($B11, 'Scouting Output'!$A$3:$AE$81,2,FALSE)</f>
        <v>Iron Works Robotics</v>
      </c>
      <c r="D11" s="87">
        <f>VLOOKUP($B11,'Scouting Output'!$A$3:$AJ$42, COLUMN()  -  1,FALSE)</f>
        <v>7</v>
      </c>
      <c r="E11" s="88">
        <f>VLOOKUP($B11,'Scouting Output'!$A$3:$AJ$42, COLUMN()  -  1,FALSE)</f>
        <v>1.2727272727272727</v>
      </c>
      <c r="F11" s="86">
        <f>VLOOKUP($B11,'Scouting Output'!$A$3:$AJ$42, COLUMN()  -  1,FALSE)</f>
        <v>1.1818181818181819</v>
      </c>
      <c r="G11" s="87">
        <f>VLOOKUP($B11,'Scouting Output'!$A$3:$AJ$42, COLUMN()  -  1,FALSE)</f>
        <v>1</v>
      </c>
      <c r="H11" s="88">
        <f>VLOOKUP($B11,'Scouting Output'!$A$3:$AJ$42, COLUMN()  -  1,FALSE)</f>
        <v>1</v>
      </c>
      <c r="I11" s="88">
        <f>VLOOKUP($B11,'Scouting Output'!$A$3:$AJ$42, COLUMN()  -  1,FALSE)</f>
        <v>0</v>
      </c>
      <c r="J11" s="88">
        <f>VLOOKUP($B11,'Scouting Output'!$A$3:$AJ$42, COLUMN()  -  1,FALSE)</f>
        <v>9.0909090909090912E-2</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2</v>
      </c>
      <c r="S11" s="88">
        <f>VLOOKUP($B11,'Scouting Output'!$A$3:$AJ$42, COLUMN()  -  1,FALSE)</f>
        <v>2</v>
      </c>
      <c r="T11" s="88">
        <f>VLOOKUP($B11,'Scouting Output'!$A$3:$AJ$42, COLUMN()  -  1,FALSE)</f>
        <v>0.45454545454545453</v>
      </c>
      <c r="U11" s="88">
        <f>VLOOKUP($B11,'Scouting Output'!$A$3:$AJ$42, COLUMN()  -  1,FALSE)</f>
        <v>9.0909090909090912E-2</v>
      </c>
      <c r="V11" s="88">
        <f>VLOOKUP($B11,'Scouting Output'!$A$3:$AJ$42, COLUMN()  -  1,FALSE)</f>
        <v>0</v>
      </c>
      <c r="W11" s="88">
        <f>VLOOKUP($B11,'Scouting Output'!$A$3:$AJ$42, COLUMN()  -  1,FALSE)</f>
        <v>0</v>
      </c>
      <c r="X11" s="88">
        <f>VLOOKUP($B11,'Scouting Output'!$A$3:$AJ$42, COLUMN()  -  1,FALSE)</f>
        <v>0</v>
      </c>
      <c r="Y11" s="88">
        <f>VLOOKUP($B11,'Scouting Output'!$A$3:$AJ$42, COLUMN()  -  1,FALSE)</f>
        <v>0</v>
      </c>
      <c r="Z11" s="88">
        <f>VLOOKUP($B11,'Scouting Output'!$A$3:$AJ$42, COLUMN()  -  1,FALSE)</f>
        <v>0</v>
      </c>
      <c r="AA11" s="88">
        <f>VLOOKUP($B11,'Scouting Output'!$A$3:$AJ$42, COLUMN()  -  1,FALSE)</f>
        <v>0</v>
      </c>
      <c r="AB11" s="88">
        <f>VLOOKUP($B11,'Scouting Output'!$A$3:$AJ$42, COLUMN()  -  1,FALSE)</f>
        <v>0</v>
      </c>
      <c r="AC11" s="88">
        <f>VLOOKUP($B11,'Scouting Output'!$A$3:$AJ$42, COLUMN()  -  1,FALSE)</f>
        <v>1.8181818181818181</v>
      </c>
      <c r="AD11" s="88">
        <f>VLOOKUP($B11,'Scouting Output'!$A$3:$AJ$42, COLUMN()  -  1,FALSE)</f>
        <v>0</v>
      </c>
      <c r="AE11" s="86">
        <f>VLOOKUP($B11,'Scouting Output'!$A$3:$AJ$42, COLUMN()  -  1,FALSE)</f>
        <v>0.72727272727272729</v>
      </c>
      <c r="AF11" s="87">
        <f>VLOOKUP($B11,'Scouting Output'!$A$3:$AJ$42, COLUMN()  -  1,FALSE)</f>
        <v>0</v>
      </c>
      <c r="AG11" s="88">
        <f>VLOOKUP($B11,'Scouting Output'!$A$3:$AJ$42, COLUMN()  -  1,FALSE)</f>
        <v>0.36363636363636365</v>
      </c>
      <c r="AH11" s="88">
        <f>VLOOKUP($B11,'Scouting Output'!$A$3:$AJ$42, COLUMN()  -  1,FALSE)</f>
        <v>0</v>
      </c>
      <c r="AI11" s="88">
        <f>VLOOKUP($B11,'Scouting Output'!$A$3:$AJ$42, COLUMN()  -  1,FALSE)</f>
        <v>0</v>
      </c>
      <c r="AJ11" s="88">
        <f>VLOOKUP($B11,'Scouting Output'!$A$3:$AJ$42, COLUMN()  -  1,FALSE)</f>
        <v>1.2727272727272727</v>
      </c>
      <c r="AK11" s="86">
        <f>VLOOKUP($B11,'Scouting Output'!$A$3:$AJ$42, COLUMN()  -  1,FALSE)</f>
        <v>11</v>
      </c>
    </row>
    <row r="12" spans="1:37" ht="17.25" thickTop="1" thickBot="1">
      <c r="B12" s="29"/>
      <c r="C12" s="90" t="s">
        <v>242</v>
      </c>
      <c r="D12" s="88" t="e">
        <f>SUM($D9, $D10, $D11)</f>
        <v>#N/A</v>
      </c>
      <c r="E12" s="86" t="e">
        <f>SUM($E9, $E10, $E11)</f>
        <v>#N/A</v>
      </c>
    </row>
    <row r="13" spans="1:37" ht="16.5" thickTop="1" thickBot="1"/>
    <row r="14" spans="1:37" ht="16.5" thickTop="1" thickBot="1">
      <c r="A14" s="148" t="s">
        <v>98</v>
      </c>
      <c r="B14" s="149"/>
      <c r="C14" s="149"/>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50"/>
    </row>
    <row r="15" spans="1:37" ht="15.75" thickTop="1">
      <c r="A15" s="31"/>
      <c r="B15" s="151" t="s">
        <v>0</v>
      </c>
      <c r="C15" s="151"/>
      <c r="D15" s="119"/>
      <c r="E15" s="1"/>
      <c r="F15" s="1"/>
      <c r="G15" s="140" t="s">
        <v>9</v>
      </c>
      <c r="H15" s="141"/>
      <c r="I15" s="141"/>
      <c r="J15" s="141"/>
      <c r="K15" s="141"/>
      <c r="L15" s="141"/>
      <c r="M15" s="141"/>
      <c r="N15" s="141"/>
      <c r="O15" s="141"/>
      <c r="P15" s="82"/>
      <c r="Q15" s="30"/>
      <c r="R15" s="140" t="s">
        <v>1</v>
      </c>
      <c r="S15" s="141"/>
      <c r="T15" s="141"/>
      <c r="U15" s="141"/>
      <c r="V15" s="141"/>
      <c r="W15" s="141"/>
      <c r="X15" s="141"/>
      <c r="Y15" s="141"/>
      <c r="Z15" s="141"/>
      <c r="AA15" s="141"/>
      <c r="AB15" s="141"/>
      <c r="AC15" s="141"/>
      <c r="AD15" s="141"/>
      <c r="AE15" s="142"/>
      <c r="AF15" s="140" t="s">
        <v>2</v>
      </c>
      <c r="AG15" s="141"/>
      <c r="AH15" s="141"/>
      <c r="AI15" s="141"/>
      <c r="AJ15" s="141"/>
      <c r="AK15" s="142"/>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f>VLOOKUP($B$4,'EVENT DATA'!$B$5:$H$99,5,FALSE)</f>
        <v>4308</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f>VLOOKUP($B$4,'EVENT DATA'!$B$5:$H$99,6,FALSE)</f>
        <v>7710</v>
      </c>
      <c r="C18" s="81" t="str">
        <f>VLOOKUP($B18, 'Scouting Output'!A3:AJ51, 2,FALSE)</f>
        <v>Mowat Mustangs</v>
      </c>
      <c r="D18" s="27">
        <f>VLOOKUP($B18,'Scouting Output'!$A$3:$AJ$42, COLUMN()  -  1,FALSE)</f>
        <v>10.571428571428571</v>
      </c>
      <c r="E18" s="76">
        <f>VLOOKUP($B18,'Scouting Output'!$A$3:$AJ$42, COLUMN()  -  1,FALSE)</f>
        <v>2</v>
      </c>
      <c r="F18" s="76">
        <f>VLOOKUP($B18,'Scouting Output'!$A$3:$AJ$42, COLUMN()  -  1,FALSE)</f>
        <v>2</v>
      </c>
      <c r="G18" s="27">
        <f>VLOOKUP($B18,'Scouting Output'!$A$3:$AJ$42,COLUMN() - 1,FALSE)</f>
        <v>1</v>
      </c>
      <c r="H18" s="76">
        <f>VLOOKUP($B18,'Scouting Output'!$A$3:$AJ$42,COLUMN() - 1,FALSE)</f>
        <v>1</v>
      </c>
      <c r="I18" s="76">
        <f>VLOOKUP($B18,'Scouting Output'!$A$3:$AJ$42,COLUMN() - 1,FALSE)</f>
        <v>0.14285714285714285</v>
      </c>
      <c r="J18" s="76">
        <f>VLOOKUP($B18,'Scouting Output'!$A$3:$AJ$42,COLUMN() - 1,FALSE)</f>
        <v>0</v>
      </c>
      <c r="K18" s="76">
        <f>VLOOKUP($B18,'Scouting Output'!$A$3:$AJ$42,COLUMN() - 1,FALSE)</f>
        <v>0</v>
      </c>
      <c r="L18" s="76">
        <f>VLOOKUP($B18,'Scouting Output'!$A$3:$AJ$42,COLUMN() - 1,FALSE)</f>
        <v>0</v>
      </c>
      <c r="M18" s="76">
        <f>VLOOKUP($B18,'Scouting Output'!$A$3:$AJ$42,COLUMN() - 1,FALSE)</f>
        <v>0</v>
      </c>
      <c r="N18" s="76">
        <f>VLOOKUP($B18,'Scouting Output'!$A$3:$AJ$42,COLUMN() - 1,FALSE)</f>
        <v>0</v>
      </c>
      <c r="O18" s="76">
        <f>VLOOKUP($B18,'Scouting Output'!$A$3:$AJ$42,COLUMN() - 1,FALSE)</f>
        <v>0</v>
      </c>
      <c r="P18" s="76">
        <f>VLOOKUP($B18,'Scouting Output'!$A$3:$AJ$42,COLUMN() - 1,FALSE)</f>
        <v>0</v>
      </c>
      <c r="Q18" s="79">
        <f>VLOOKUP($B18,'Scouting Output'!$A$3:$AJ$42,COLUMN() - 1,FALSE)</f>
        <v>0</v>
      </c>
      <c r="R18" s="27">
        <f>VLOOKUP($B18,'Scouting Output'!$A$3:$AJ$42,COLUMN() - 1,FALSE)</f>
        <v>2</v>
      </c>
      <c r="S18" s="76">
        <f>VLOOKUP($B18,'Scouting Output'!$A$3:$AJ$42,COLUMN() - 1,FALSE)</f>
        <v>2</v>
      </c>
      <c r="T18" s="76">
        <f>VLOOKUP($B18,'Scouting Output'!$A$3:$AJ$42,COLUMN() - 1,FALSE)</f>
        <v>0.14285714285714285</v>
      </c>
      <c r="U18" s="76">
        <f>VLOOKUP($B18,'Scouting Output'!$A$3:$AJ$42,COLUMN() - 1,FALSE)</f>
        <v>0.7142857142857143</v>
      </c>
      <c r="V18" s="76">
        <f>VLOOKUP($B18,'Scouting Output'!$A$3:$AJ$42,COLUMN() - 1,FALSE)</f>
        <v>0</v>
      </c>
      <c r="W18" s="76">
        <f>VLOOKUP($B18,'Scouting Output'!$A$3:$AJ$42,COLUMN() - 1,FALSE)</f>
        <v>0</v>
      </c>
      <c r="X18" s="76">
        <f>VLOOKUP($B18,'Scouting Output'!$A$3:$AJ$42,COLUMN() - 1,FALSE)</f>
        <v>0</v>
      </c>
      <c r="Y18" s="76">
        <f>VLOOKUP($B18,'Scouting Output'!$A$3:$AJ$42,COLUMN() - 1,FALSE)</f>
        <v>0</v>
      </c>
      <c r="Z18" s="76">
        <f>VLOOKUP($B18,'Scouting Output'!$A$3:$AJ$42,COLUMN() - 1,FALSE)</f>
        <v>0</v>
      </c>
      <c r="AA18" s="76">
        <f>VLOOKUP($B18,'Scouting Output'!$A$3:$AJ$42,COLUMN() - 1,FALSE)</f>
        <v>0</v>
      </c>
      <c r="AB18" s="76">
        <f>VLOOKUP($B18,'Scouting Output'!$A$3:$AJ$42,COLUMN() - 1,FALSE)</f>
        <v>0</v>
      </c>
      <c r="AC18" s="76">
        <f>VLOOKUP($B18,'Scouting Output'!$A$3:$AJ$42,COLUMN() - 1,FALSE)</f>
        <v>9.8571428571428577</v>
      </c>
      <c r="AD18" s="76">
        <f>VLOOKUP($B18,'Scouting Output'!$A$3:$AJ$42,COLUMN() - 1,FALSE)</f>
        <v>0.14285714285714285</v>
      </c>
      <c r="AE18" s="79">
        <f>VLOOKUP($B18,'Scouting Output'!$A$3:$AJ$42,COLUMN() - 1,FALSE)</f>
        <v>0.7142857142857143</v>
      </c>
      <c r="AF18" s="27">
        <f>VLOOKUP($B18,'Scouting Output'!$A$3:$AJ$42,COLUMN() - 1,FALSE)</f>
        <v>0</v>
      </c>
      <c r="AG18" s="76">
        <f>VLOOKUP($B18,'Scouting Output'!$A$3:$AJ$42,COLUMN() - 1,FALSE)</f>
        <v>0</v>
      </c>
      <c r="AH18" s="76">
        <f>VLOOKUP($B18,'Scouting Output'!$A$3:$AJ$42,COLUMN() - 1,FALSE)</f>
        <v>0</v>
      </c>
      <c r="AI18" s="76">
        <f>VLOOKUP($B18,'Scouting Output'!$A$3:$AJ$42,COLUMN() - 1,FALSE)</f>
        <v>0</v>
      </c>
      <c r="AJ18" s="76">
        <f>VLOOKUP($B18,'Scouting Output'!$A$3:$AJ$42,COLUMN() - 1,FALSE)</f>
        <v>1</v>
      </c>
      <c r="AK18" s="79">
        <f>VLOOKUP($B18,'Scouting Output'!$A$3:$AJ$42,COLUMN() - 1,FALSE)</f>
        <v>7</v>
      </c>
    </row>
    <row r="19" spans="1:37" ht="20.85" customHeight="1" thickTop="1" thickBot="1">
      <c r="A19" s="27" t="s">
        <v>101</v>
      </c>
      <c r="B19" s="80">
        <f>VLOOKUP($B$4,'EVENT DATA'!$B$5:$H$99,7,FALSE)</f>
        <v>5719</v>
      </c>
      <c r="C19" s="81" t="e">
        <f>VLOOKUP($B19, 'Scouting Output'!$A$3:$AE$81,2,FALSE)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242</v>
      </c>
      <c r="D20" s="76" t="e">
        <f>SUM(D17, D18, D19)</f>
        <v>#N/A</v>
      </c>
      <c r="E20" s="79" t="e">
        <f>SUM(E17, E18, E19)</f>
        <v>#N/A</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3"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A5" sqref="A5"/>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8" t="s">
        <v>333</v>
      </c>
      <c r="C2" s="138"/>
      <c r="D2" s="138"/>
      <c r="E2" s="138"/>
      <c r="F2" s="138"/>
      <c r="G2" s="138"/>
      <c r="H2" s="138"/>
      <c r="I2" s="138"/>
      <c r="J2" s="138"/>
      <c r="K2" s="138"/>
      <c r="L2" s="138"/>
      <c r="M2" s="153" t="s">
        <v>329</v>
      </c>
      <c r="N2" s="138"/>
      <c r="O2" s="138"/>
      <c r="P2" s="138"/>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6"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6"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5</v>
      </c>
      <c r="D10" s="76">
        <f>VLOOKUP(A10,'Scouting Output'!$A$3:$AJ$42, 18, FALSE)</f>
        <v>2</v>
      </c>
      <c r="E10" s="76">
        <f>SUM(VLOOKUP($A10,'Scouting Output'!$A$3:$AJ$42,19,FALSE), VLOOKUP($A10,'Scouting Output'!$A$3:$AJ$42,20,FALSE))</f>
        <v>0.4</v>
      </c>
      <c r="F10" s="76">
        <f>SUM(VLOOKUP($A10,'Scouting Output'!$A$3:$AJ$42,21,FALSE), VLOOKUP($A10,'Scouting Output'!$A$3:$AJ$42,22,FALSE))</f>
        <v>0</v>
      </c>
      <c r="G10" s="76">
        <f>VLOOKUP(A10,'Scouting Output'!$A$3:$AJ$42, 23, FALSE)</f>
        <v>5</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1</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8"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f>VLOOKUP($B$1,'EVENT DATA'!$B$5:$H$99,7,FALSE)</f>
        <v>5076</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8"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339</v>
      </c>
      <c r="B13" t="e">
        <f>SUM(B10:B12)</f>
        <v>#N/A</v>
      </c>
      <c r="G13" s="82"/>
      <c r="M13" s="4"/>
    </row>
    <row r="14" spans="1:16">
      <c r="M14" s="4"/>
    </row>
  </sheetData>
  <mergeCells count="2">
    <mergeCell ref="M2:P2"/>
    <mergeCell ref="B2:L2"/>
  </mergeCells>
  <conditionalFormatting sqref="A4:A7">
    <cfRule type="cellIs" dxfId="32" priority="3" operator="equal">
      <formula>6135</formula>
    </cfRule>
  </conditionalFormatting>
  <conditionalFormatting sqref="A10:A12">
    <cfRule type="cellIs" dxfId="31"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zoomScale="75" zoomScaleNormal="50" workbookViewId="0">
      <pane xSplit="2" ySplit="2" topLeftCell="C3" activePane="bottomRight" state="frozen"/>
      <selection pane="topRight" activeCell="C1" sqref="C1"/>
      <selection pane="bottomLeft" activeCell="A3" sqref="A3"/>
      <selection pane="bottomRight" activeCell="C34" sqref="C34"/>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1" t="s">
        <v>0</v>
      </c>
      <c r="B1" s="151"/>
      <c r="G1" s="154" t="s">
        <v>9</v>
      </c>
      <c r="H1" s="151"/>
      <c r="I1" s="151"/>
      <c r="J1" s="151"/>
      <c r="K1" s="151"/>
      <c r="L1" s="151"/>
      <c r="M1" s="151"/>
      <c r="N1" s="151"/>
      <c r="O1" s="151"/>
      <c r="P1" s="155"/>
      <c r="Q1" s="153" t="s">
        <v>1</v>
      </c>
      <c r="R1" s="138"/>
      <c r="S1" s="138"/>
      <c r="T1" s="138"/>
      <c r="U1" s="138"/>
      <c r="V1" s="138"/>
      <c r="W1" s="138"/>
      <c r="X1" s="138"/>
      <c r="Y1" s="138"/>
      <c r="Z1" s="138"/>
      <c r="AA1" s="138"/>
      <c r="AB1" s="138"/>
      <c r="AC1" s="138"/>
      <c r="AD1" s="156"/>
      <c r="AE1" s="153" t="s">
        <v>2</v>
      </c>
      <c r="AF1" s="138"/>
      <c r="AG1" s="138"/>
      <c r="AH1" s="138"/>
      <c r="AI1" s="156"/>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8" t="s">
        <v>252</v>
      </c>
      <c r="AQ13" s="138"/>
      <c r="AS13" s="138" t="s">
        <v>117</v>
      </c>
      <c r="AT13" s="138"/>
      <c r="AV13" s="138" t="s">
        <v>116</v>
      </c>
      <c r="AW13" s="138"/>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30" priority="5" operator="containsText" text="threshold">
      <formula>NOT(ISERROR(SEARCH("threshold",AP14)))</formula>
    </cfRule>
  </conditionalFormatting>
  <conditionalFormatting sqref="AP14:AW28">
    <cfRule type="cellIs" dxfId="29" priority="4" operator="lessThan">
      <formula>0</formula>
    </cfRule>
  </conditionalFormatting>
  <conditionalFormatting sqref="A3:AM42">
    <cfRule type="expression" dxfId="28" priority="6">
      <formula>IF($AJ3=0,TRUE,FALSE)</formula>
    </cfRule>
  </conditionalFormatting>
  <conditionalFormatting sqref="F1:F1048576">
    <cfRule type="cellIs" dxfId="27" priority="1" operator="greaterThan">
      <formula>$AQ$20</formula>
    </cfRule>
    <cfRule type="cellIs" dxfId="26"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5" priority="22">
      <formula>IF($A1=$I$2,TRUE,FALSE)</formula>
    </cfRule>
  </conditionalFormatting>
  <conditionalFormatting sqref="F2:G41">
    <cfRule type="cellIs" dxfId="24" priority="20" operator="between">
      <formula>1.45</formula>
      <formula>2.45</formula>
    </cfRule>
  </conditionalFormatting>
  <conditionalFormatting sqref="C1:E1048576">
    <cfRule type="cellIs" dxfId="23" priority="19" operator="lessThan">
      <formula>0</formula>
    </cfRule>
  </conditionalFormatting>
  <conditionalFormatting sqref="L1:Q41 R1:S1">
    <cfRule type="expression" dxfId="22" priority="14" stopIfTrue="1">
      <formula>IF($A1=$I$2,TRUE,FALSE)</formula>
    </cfRule>
    <cfRule type="expression" dxfId="21" priority="15">
      <formula>IF($A1=$I$2,TRUE,FALSE)</formula>
    </cfRule>
  </conditionalFormatting>
  <conditionalFormatting sqref="Q2:Q41">
    <cfRule type="cellIs" dxfId="20" priority="16" operator="between">
      <formula>1.45</formula>
      <formula>2.45</formula>
    </cfRule>
    <cfRule type="cellIs" dxfId="19" priority="17" operator="greaterThan">
      <formula>2.45</formula>
    </cfRule>
  </conditionalFormatting>
  <conditionalFormatting sqref="N1:P41">
    <cfRule type="cellIs" dxfId="18" priority="18" operator="lessThan">
      <formula>0</formula>
    </cfRule>
  </conditionalFormatting>
  <conditionalFormatting sqref="F2:F41">
    <cfRule type="cellIs" dxfId="17" priority="21" operator="greaterThan">
      <formula>2.45</formula>
    </cfRule>
  </conditionalFormatting>
  <conditionalFormatting sqref="Q1:Q1048576">
    <cfRule type="cellIs" dxfId="16" priority="13" operator="greaterThan">
      <formula>1.45</formula>
    </cfRule>
  </conditionalFormatting>
  <conditionalFormatting sqref="T1:Z1">
    <cfRule type="expression" dxfId="15" priority="8" stopIfTrue="1">
      <formula>IF($A1=$I$2,TRUE,FALSE)</formula>
    </cfRule>
    <cfRule type="expression" dxfId="14" priority="9">
      <formula>IF($A1=$I$2,TRUE,FALSE)</formula>
    </cfRule>
  </conditionalFormatting>
  <conditionalFormatting sqref="V1:X1">
    <cfRule type="cellIs" dxfId="13" priority="12" operator="lessThan">
      <formula>0</formula>
    </cfRule>
  </conditionalFormatting>
  <conditionalFormatting sqref="Y1">
    <cfRule type="cellIs" dxfId="12" priority="7" operator="greaterThan">
      <formula>1.45</formula>
    </cfRule>
  </conditionalFormatting>
  <conditionalFormatting sqref="T2:Y41">
    <cfRule type="expression" dxfId="11" priority="2" stopIfTrue="1">
      <formula>IF($A2=$I$2,TRUE,FALSE)</formula>
    </cfRule>
    <cfRule type="expression" dxfId="10" priority="3">
      <formula>IF($A2=$I$2,TRUE,FALSE)</formula>
    </cfRule>
  </conditionalFormatting>
  <conditionalFormatting sqref="Y2:Y41">
    <cfRule type="cellIs" dxfId="9" priority="4" operator="between">
      <formula>1.45</formula>
      <formula>2.45</formula>
    </cfRule>
    <cfRule type="cellIs" dxfId="8" priority="5" operator="greaterThan">
      <formula>2.45</formula>
    </cfRule>
  </conditionalFormatting>
  <conditionalFormatting sqref="V2:X41">
    <cfRule type="cellIs" dxfId="7" priority="6" operator="lessThan">
      <formula>0</formula>
    </cfRule>
  </conditionalFormatting>
  <conditionalFormatting sqref="Y2:Y41">
    <cfRule type="cellIs" dxfId="6"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8" t="s">
        <v>190</v>
      </c>
      <c r="B1" s="138"/>
      <c r="C1" s="113">
        <v>610</v>
      </c>
      <c r="E1" t="s">
        <v>178</v>
      </c>
    </row>
    <row r="2" spans="1:37">
      <c r="C2" s="157" t="s">
        <v>9</v>
      </c>
      <c r="D2" s="157"/>
      <c r="E2" s="157"/>
      <c r="F2" s="157"/>
      <c r="G2" s="157"/>
      <c r="H2" s="157"/>
      <c r="I2" s="157"/>
      <c r="J2" s="157"/>
      <c r="K2" s="157"/>
      <c r="L2" s="157" t="s">
        <v>1</v>
      </c>
      <c r="M2" s="157"/>
      <c r="N2" s="157"/>
      <c r="O2" s="157"/>
      <c r="P2" s="157"/>
      <c r="Q2" s="157"/>
      <c r="R2" s="157"/>
      <c r="S2" s="157"/>
      <c r="T2" s="157"/>
      <c r="U2" s="157"/>
      <c r="V2" s="157"/>
      <c r="W2" s="157"/>
      <c r="X2" s="157"/>
      <c r="Y2" s="157"/>
      <c r="Z2" s="157"/>
      <c r="AA2" s="157"/>
      <c r="AB2" s="157"/>
      <c r="AC2" s="157"/>
      <c r="AD2" s="157"/>
      <c r="AE2" s="157"/>
      <c r="AF2" s="157"/>
      <c r="AG2" s="157"/>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7" t="s">
        <v>9</v>
      </c>
      <c r="D6" s="157"/>
      <c r="E6" s="157"/>
      <c r="F6" s="157"/>
      <c r="G6" s="157"/>
      <c r="H6" s="157"/>
      <c r="I6" s="157"/>
      <c r="J6" s="157"/>
      <c r="K6" s="157"/>
      <c r="L6" s="157" t="s">
        <v>115</v>
      </c>
      <c r="M6" s="157"/>
      <c r="N6" s="157"/>
      <c r="O6" s="157"/>
      <c r="P6" s="157"/>
      <c r="Q6" s="157"/>
      <c r="R6" s="157"/>
      <c r="S6" s="157"/>
      <c r="T6" s="157"/>
      <c r="U6" s="157"/>
      <c r="V6" s="157"/>
      <c r="W6" s="157"/>
      <c r="X6" s="157"/>
      <c r="Y6" s="157"/>
      <c r="Z6" s="157"/>
      <c r="AA6" s="157"/>
      <c r="AB6" s="157"/>
      <c r="AC6" s="157"/>
      <c r="AD6" s="157"/>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P98"/>
  <sheetViews>
    <sheetView tabSelected="1" zoomScale="80" zoomScaleNormal="80" workbookViewId="0">
      <selection activeCell="L25" sqref="L25"/>
    </sheetView>
  </sheetViews>
  <sheetFormatPr defaultColWidth="9.140625" defaultRowHeight="15"/>
  <cols>
    <col min="1" max="1" width="20.7109375" style="7" customWidth="1"/>
    <col min="2" max="2" width="9.28515625" style="7" customWidth="1"/>
    <col min="3" max="12" width="9.140625" style="7"/>
    <col min="13" max="13" width="9.140625" style="7" customWidth="1"/>
    <col min="14" max="16384" width="9.140625" style="7"/>
  </cols>
  <sheetData>
    <row r="1" spans="1:16">
      <c r="A1" s="158" t="s">
        <v>24</v>
      </c>
      <c r="B1" s="158"/>
      <c r="C1" s="158"/>
      <c r="D1" s="158"/>
      <c r="E1" s="158"/>
      <c r="F1" s="158"/>
      <c r="G1" s="158"/>
      <c r="H1" s="158"/>
      <c r="I1" s="158"/>
      <c r="J1" s="158"/>
    </row>
    <row r="2" spans="1:16" ht="15.75" thickBot="1"/>
    <row r="3" spans="1:16" ht="15.75" customHeight="1">
      <c r="B3" s="8" t="s">
        <v>25</v>
      </c>
      <c r="C3" s="159" t="s">
        <v>26</v>
      </c>
      <c r="D3" s="160"/>
      <c r="E3" s="160"/>
      <c r="F3" s="159" t="s">
        <v>27</v>
      </c>
      <c r="G3" s="160"/>
      <c r="H3" s="160"/>
      <c r="I3" s="159" t="s">
        <v>28</v>
      </c>
      <c r="J3" s="161"/>
      <c r="L3" s="7" t="s">
        <v>294</v>
      </c>
      <c r="M3" s="7">
        <v>919</v>
      </c>
    </row>
    <row r="4" spans="1:16" s="14" customFormat="1" ht="16.5" customHeight="1">
      <c r="A4" s="9" t="s">
        <v>29</v>
      </c>
      <c r="B4" s="10"/>
      <c r="C4" s="11" t="s">
        <v>30</v>
      </c>
      <c r="D4" s="12" t="s">
        <v>31</v>
      </c>
      <c r="E4" s="12" t="s">
        <v>32</v>
      </c>
      <c r="F4" s="11" t="s">
        <v>33</v>
      </c>
      <c r="G4" s="12" t="s">
        <v>34</v>
      </c>
      <c r="H4" s="12" t="s">
        <v>35</v>
      </c>
      <c r="I4" s="11" t="s">
        <v>20</v>
      </c>
      <c r="J4" s="13" t="s">
        <v>21</v>
      </c>
      <c r="L4" s="136"/>
      <c r="M4" s="136"/>
    </row>
    <row r="5" spans="1:16" ht="14.45" customHeight="1">
      <c r="A5" s="122" t="s">
        <v>293</v>
      </c>
      <c r="B5" s="137" t="s">
        <v>36</v>
      </c>
      <c r="C5" s="15">
        <v>1285</v>
      </c>
      <c r="D5" s="16">
        <v>6162</v>
      </c>
      <c r="E5" s="16">
        <v>5406</v>
      </c>
      <c r="F5" s="17">
        <v>5036</v>
      </c>
      <c r="G5" s="18">
        <v>1334</v>
      </c>
      <c r="H5" s="18">
        <v>5076</v>
      </c>
      <c r="I5" s="15"/>
      <c r="J5" s="19"/>
      <c r="O5" s="7">
        <v>188</v>
      </c>
      <c r="P5" s="7" t="s">
        <v>197</v>
      </c>
    </row>
    <row r="6" spans="1:16" ht="14.45" customHeight="1">
      <c r="A6" s="123"/>
      <c r="B6" s="20" t="s">
        <v>37</v>
      </c>
      <c r="C6" s="15">
        <v>2706</v>
      </c>
      <c r="D6" s="16">
        <v>7710</v>
      </c>
      <c r="E6" s="16">
        <v>6342</v>
      </c>
      <c r="F6" s="17">
        <v>188</v>
      </c>
      <c r="G6" s="18">
        <v>7456</v>
      </c>
      <c r="H6" s="18">
        <v>4252</v>
      </c>
      <c r="I6" s="15"/>
      <c r="J6" s="19"/>
      <c r="O6" s="7">
        <v>610</v>
      </c>
      <c r="P6" s="7" t="s">
        <v>198</v>
      </c>
    </row>
    <row r="7" spans="1:16" ht="14.45" customHeight="1">
      <c r="A7" s="123"/>
      <c r="B7" s="20" t="s">
        <v>38</v>
      </c>
      <c r="C7" s="15">
        <v>1246</v>
      </c>
      <c r="D7" s="16">
        <v>5911</v>
      </c>
      <c r="E7" s="16">
        <v>7476</v>
      </c>
      <c r="F7" s="17">
        <v>4308</v>
      </c>
      <c r="G7" s="18">
        <v>6866</v>
      </c>
      <c r="H7" s="18">
        <v>5039</v>
      </c>
      <c r="I7" s="15"/>
      <c r="J7" s="19"/>
      <c r="O7" s="7">
        <v>746</v>
      </c>
      <c r="P7" s="7" t="s">
        <v>367</v>
      </c>
    </row>
    <row r="8" spans="1:16" ht="14.45" customHeight="1">
      <c r="A8" s="123"/>
      <c r="B8" s="20" t="s">
        <v>39</v>
      </c>
      <c r="C8" s="15">
        <v>7136</v>
      </c>
      <c r="D8" s="16">
        <v>746</v>
      </c>
      <c r="E8" s="16">
        <v>7520</v>
      </c>
      <c r="F8" s="17">
        <v>6867</v>
      </c>
      <c r="G8" s="18">
        <v>6397</v>
      </c>
      <c r="H8" s="18">
        <v>6878</v>
      </c>
      <c r="I8" s="15"/>
      <c r="J8" s="19"/>
      <c r="O8" s="7">
        <v>919</v>
      </c>
      <c r="P8" s="7" t="s">
        <v>355</v>
      </c>
    </row>
    <row r="9" spans="1:16" ht="14.45" customHeight="1">
      <c r="A9" s="123"/>
      <c r="B9" s="20" t="s">
        <v>40</v>
      </c>
      <c r="C9" s="15">
        <v>919</v>
      </c>
      <c r="D9" s="16">
        <v>5024</v>
      </c>
      <c r="E9" s="16">
        <v>5031</v>
      </c>
      <c r="F9" s="17">
        <v>7690</v>
      </c>
      <c r="G9" s="18">
        <v>4939</v>
      </c>
      <c r="H9" s="18">
        <v>5719</v>
      </c>
      <c r="I9" s="15"/>
      <c r="J9" s="19"/>
      <c r="O9" s="7">
        <v>1246</v>
      </c>
      <c r="P9" s="7" t="s">
        <v>368</v>
      </c>
    </row>
    <row r="10" spans="1:16" ht="14.45" customHeight="1">
      <c r="A10" s="123"/>
      <c r="B10" s="20" t="s">
        <v>41</v>
      </c>
      <c r="C10" s="15">
        <v>6866</v>
      </c>
      <c r="D10" s="16">
        <v>6342</v>
      </c>
      <c r="E10" s="16">
        <v>1246</v>
      </c>
      <c r="F10" s="17">
        <v>1285</v>
      </c>
      <c r="G10" s="18">
        <v>7136</v>
      </c>
      <c r="H10" s="18">
        <v>5911</v>
      </c>
      <c r="I10" s="15"/>
      <c r="J10" s="19"/>
      <c r="O10" s="7">
        <v>1285</v>
      </c>
      <c r="P10" s="7" t="s">
        <v>356</v>
      </c>
    </row>
    <row r="11" spans="1:16" ht="14.45" customHeight="1">
      <c r="A11" s="123"/>
      <c r="B11" s="20" t="s">
        <v>42</v>
      </c>
      <c r="C11" s="15">
        <v>6878</v>
      </c>
      <c r="D11" s="16">
        <v>7710</v>
      </c>
      <c r="E11" s="16">
        <v>5031</v>
      </c>
      <c r="F11" s="17">
        <v>746</v>
      </c>
      <c r="G11" s="18">
        <v>1334</v>
      </c>
      <c r="H11" s="18">
        <v>188</v>
      </c>
      <c r="I11" s="15"/>
      <c r="J11" s="19"/>
      <c r="O11" s="7">
        <v>1334</v>
      </c>
      <c r="P11" s="7" t="s">
        <v>369</v>
      </c>
    </row>
    <row r="12" spans="1:16" ht="14.45" customHeight="1">
      <c r="A12" s="123"/>
      <c r="B12" s="20" t="s">
        <v>43</v>
      </c>
      <c r="C12" s="15">
        <v>4308</v>
      </c>
      <c r="D12" s="16">
        <v>5036</v>
      </c>
      <c r="E12" s="16">
        <v>7690</v>
      </c>
      <c r="F12" s="17">
        <v>7476</v>
      </c>
      <c r="G12" s="18">
        <v>5076</v>
      </c>
      <c r="H12" s="18">
        <v>7520</v>
      </c>
      <c r="I12" s="15"/>
      <c r="J12" s="19"/>
      <c r="O12" s="7">
        <v>2200</v>
      </c>
      <c r="P12" s="7" t="s">
        <v>199</v>
      </c>
    </row>
    <row r="13" spans="1:16" ht="14.45" customHeight="1">
      <c r="A13" s="123"/>
      <c r="B13" s="20" t="s">
        <v>44</v>
      </c>
      <c r="C13" s="15">
        <v>4252</v>
      </c>
      <c r="D13" s="16">
        <v>4939</v>
      </c>
      <c r="E13" s="16">
        <v>5024</v>
      </c>
      <c r="F13" s="17">
        <v>7456</v>
      </c>
      <c r="G13" s="18">
        <v>5406</v>
      </c>
      <c r="H13" s="18">
        <v>919</v>
      </c>
      <c r="I13" s="15"/>
      <c r="J13" s="19"/>
      <c r="O13" s="7">
        <v>2386</v>
      </c>
      <c r="P13" s="7" t="s">
        <v>200</v>
      </c>
    </row>
    <row r="14" spans="1:16" ht="14.45" customHeight="1">
      <c r="A14" s="123"/>
      <c r="B14" s="20" t="s">
        <v>45</v>
      </c>
      <c r="C14" s="15">
        <v>2706</v>
      </c>
      <c r="D14" s="16">
        <v>6397</v>
      </c>
      <c r="E14" s="16">
        <v>5039</v>
      </c>
      <c r="F14" s="17">
        <v>6162</v>
      </c>
      <c r="G14" s="18">
        <v>6867</v>
      </c>
      <c r="H14" s="18">
        <v>5719</v>
      </c>
      <c r="I14" s="15"/>
      <c r="J14" s="19"/>
      <c r="O14" s="7">
        <v>2706</v>
      </c>
      <c r="P14" s="7" t="s">
        <v>357</v>
      </c>
    </row>
    <row r="15" spans="1:16" ht="14.45" customHeight="1">
      <c r="A15" s="123"/>
      <c r="B15" s="20" t="s">
        <v>46</v>
      </c>
      <c r="C15" s="15">
        <v>7476</v>
      </c>
      <c r="D15" s="16">
        <v>7690</v>
      </c>
      <c r="E15" s="16">
        <v>7136</v>
      </c>
      <c r="F15" s="17">
        <v>7710</v>
      </c>
      <c r="G15" s="18">
        <v>5406</v>
      </c>
      <c r="H15" s="18">
        <v>5076</v>
      </c>
      <c r="I15" s="15"/>
      <c r="J15" s="19"/>
      <c r="O15" s="7">
        <v>2708</v>
      </c>
      <c r="P15" s="7" t="s">
        <v>201</v>
      </c>
    </row>
    <row r="16" spans="1:16" ht="14.45" customHeight="1">
      <c r="A16" s="123"/>
      <c r="B16" s="20" t="s">
        <v>47</v>
      </c>
      <c r="C16" s="15">
        <v>5039</v>
      </c>
      <c r="D16" s="16">
        <v>7456</v>
      </c>
      <c r="E16" s="16">
        <v>1334</v>
      </c>
      <c r="F16" s="17">
        <v>919</v>
      </c>
      <c r="G16" s="18">
        <v>5719</v>
      </c>
      <c r="H16" s="18">
        <v>746</v>
      </c>
      <c r="I16" s="15"/>
      <c r="J16" s="19"/>
      <c r="O16" s="7">
        <v>2852</v>
      </c>
      <c r="P16" s="7" t="s">
        <v>202</v>
      </c>
    </row>
    <row r="17" spans="1:16" ht="14.45" customHeight="1">
      <c r="A17" s="123"/>
      <c r="B17" s="20" t="s">
        <v>48</v>
      </c>
      <c r="C17" s="15">
        <v>5024</v>
      </c>
      <c r="D17" s="16">
        <v>6878</v>
      </c>
      <c r="E17" s="16">
        <v>6162</v>
      </c>
      <c r="F17" s="17">
        <v>1285</v>
      </c>
      <c r="G17" s="18">
        <v>6866</v>
      </c>
      <c r="H17" s="18">
        <v>4252</v>
      </c>
      <c r="I17" s="15"/>
      <c r="J17" s="19"/>
      <c r="O17" s="7">
        <v>2994</v>
      </c>
      <c r="P17" s="7" t="s">
        <v>203</v>
      </c>
    </row>
    <row r="18" spans="1:16" ht="14.45" customHeight="1">
      <c r="A18" s="123"/>
      <c r="B18" s="20" t="s">
        <v>49</v>
      </c>
      <c r="C18" s="15">
        <v>5031</v>
      </c>
      <c r="D18" s="16">
        <v>6397</v>
      </c>
      <c r="E18" s="16">
        <v>4308</v>
      </c>
      <c r="F18" s="17">
        <v>6867</v>
      </c>
      <c r="G18" s="18">
        <v>7520</v>
      </c>
      <c r="H18" s="18">
        <v>6342</v>
      </c>
      <c r="I18" s="15"/>
      <c r="J18" s="19"/>
      <c r="O18" s="7">
        <v>3571</v>
      </c>
      <c r="P18" s="7" t="s">
        <v>204</v>
      </c>
    </row>
    <row r="19" spans="1:16" ht="14.45" customHeight="1">
      <c r="A19" s="123"/>
      <c r="B19" s="20" t="s">
        <v>50</v>
      </c>
      <c r="C19" s="15">
        <v>5036</v>
      </c>
      <c r="D19" s="16">
        <v>1246</v>
      </c>
      <c r="E19" s="16">
        <v>2706</v>
      </c>
      <c r="F19" s="17">
        <v>4939</v>
      </c>
      <c r="G19" s="18">
        <v>188</v>
      </c>
      <c r="H19" s="18">
        <v>5911</v>
      </c>
      <c r="I19" s="15"/>
      <c r="J19" s="19"/>
      <c r="O19" s="7">
        <v>4015</v>
      </c>
      <c r="P19" s="7" t="s">
        <v>205</v>
      </c>
    </row>
    <row r="20" spans="1:16" ht="14.45" customHeight="1">
      <c r="A20" s="123"/>
      <c r="B20" s="20" t="s">
        <v>51</v>
      </c>
      <c r="C20" s="15">
        <v>5719</v>
      </c>
      <c r="D20" s="16">
        <v>7136</v>
      </c>
      <c r="E20" s="16">
        <v>5406</v>
      </c>
      <c r="F20" s="17">
        <v>6878</v>
      </c>
      <c r="G20" s="18">
        <v>919</v>
      </c>
      <c r="H20" s="18">
        <v>7520</v>
      </c>
      <c r="I20" s="15"/>
      <c r="J20" s="19"/>
      <c r="O20" s="7">
        <v>4152</v>
      </c>
      <c r="P20" s="7" t="s">
        <v>206</v>
      </c>
    </row>
    <row r="21" spans="1:16" ht="14.45" customHeight="1">
      <c r="A21" s="123"/>
      <c r="B21" s="20" t="s">
        <v>52</v>
      </c>
      <c r="C21" s="15">
        <v>7690</v>
      </c>
      <c r="D21" s="16">
        <v>5039</v>
      </c>
      <c r="E21" s="16">
        <v>7710</v>
      </c>
      <c r="F21" s="17">
        <v>6342</v>
      </c>
      <c r="G21" s="18">
        <v>746</v>
      </c>
      <c r="H21" s="18">
        <v>5024</v>
      </c>
      <c r="I21" s="15"/>
      <c r="J21" s="19"/>
      <c r="O21" s="7">
        <v>4252</v>
      </c>
      <c r="P21" s="7" t="s">
        <v>370</v>
      </c>
    </row>
    <row r="22" spans="1:16" ht="14.45" customHeight="1">
      <c r="A22" s="123"/>
      <c r="B22" s="20" t="s">
        <v>53</v>
      </c>
      <c r="C22" s="15">
        <v>6397</v>
      </c>
      <c r="D22" s="16">
        <v>1285</v>
      </c>
      <c r="E22" s="16">
        <v>7476</v>
      </c>
      <c r="F22" s="17">
        <v>5911</v>
      </c>
      <c r="G22" s="18">
        <v>7456</v>
      </c>
      <c r="H22" s="18">
        <v>2706</v>
      </c>
      <c r="I22" s="15"/>
      <c r="J22" s="19"/>
      <c r="O22" s="7">
        <v>4308</v>
      </c>
      <c r="P22" s="7" t="s">
        <v>358</v>
      </c>
    </row>
    <row r="23" spans="1:16" ht="14.45" customHeight="1">
      <c r="A23" s="123"/>
      <c r="B23" s="20" t="s">
        <v>54</v>
      </c>
      <c r="C23" s="15">
        <v>1246</v>
      </c>
      <c r="D23" s="16">
        <v>5076</v>
      </c>
      <c r="E23" s="16">
        <v>4308</v>
      </c>
      <c r="F23" s="17">
        <v>4939</v>
      </c>
      <c r="G23" s="18">
        <v>6867</v>
      </c>
      <c r="H23" s="18">
        <v>188</v>
      </c>
      <c r="I23" s="15"/>
      <c r="J23" s="19"/>
      <c r="O23" s="7">
        <v>4476</v>
      </c>
      <c r="P23" s="7" t="s">
        <v>207</v>
      </c>
    </row>
    <row r="24" spans="1:16" ht="14.45" customHeight="1">
      <c r="A24" s="123"/>
      <c r="B24" s="20" t="s">
        <v>55</v>
      </c>
      <c r="C24" s="15">
        <v>5036</v>
      </c>
      <c r="D24" s="16">
        <v>6866</v>
      </c>
      <c r="E24" s="16">
        <v>6162</v>
      </c>
      <c r="F24" s="17">
        <v>1334</v>
      </c>
      <c r="G24" s="18">
        <v>4252</v>
      </c>
      <c r="H24" s="18">
        <v>5031</v>
      </c>
      <c r="I24" s="15"/>
      <c r="J24" s="19"/>
      <c r="O24" s="7">
        <v>4519</v>
      </c>
      <c r="P24" s="7" t="s">
        <v>208</v>
      </c>
    </row>
    <row r="25" spans="1:16" ht="14.45" customHeight="1">
      <c r="A25" s="123"/>
      <c r="B25" s="20" t="s">
        <v>56</v>
      </c>
      <c r="C25" s="15">
        <v>7710</v>
      </c>
      <c r="D25" s="16">
        <v>4939</v>
      </c>
      <c r="E25" s="16">
        <v>7476</v>
      </c>
      <c r="F25" s="17">
        <v>188</v>
      </c>
      <c r="G25" s="18">
        <v>1285</v>
      </c>
      <c r="H25" s="18">
        <v>919</v>
      </c>
      <c r="I25" s="15"/>
      <c r="J25" s="19"/>
      <c r="O25" s="7">
        <v>4525</v>
      </c>
      <c r="P25" s="7" t="s">
        <v>209</v>
      </c>
    </row>
    <row r="26" spans="1:16" ht="14.45" customHeight="1">
      <c r="A26" s="123"/>
      <c r="B26" s="20" t="s">
        <v>57</v>
      </c>
      <c r="C26" s="15">
        <v>5076</v>
      </c>
      <c r="D26" s="16">
        <v>5039</v>
      </c>
      <c r="E26" s="16">
        <v>746</v>
      </c>
      <c r="F26" s="17">
        <v>2706</v>
      </c>
      <c r="G26" s="18">
        <v>6878</v>
      </c>
      <c r="H26" s="18">
        <v>4308</v>
      </c>
      <c r="I26" s="15"/>
      <c r="J26" s="19"/>
      <c r="O26" s="7">
        <v>4704</v>
      </c>
      <c r="P26" s="7" t="s">
        <v>210</v>
      </c>
    </row>
    <row r="27" spans="1:16" ht="14.45" customHeight="1">
      <c r="A27" s="123"/>
      <c r="B27" s="20" t="s">
        <v>58</v>
      </c>
      <c r="C27" s="15">
        <v>6867</v>
      </c>
      <c r="D27" s="16">
        <v>5024</v>
      </c>
      <c r="E27" s="16">
        <v>6866</v>
      </c>
      <c r="F27" s="17">
        <v>5031</v>
      </c>
      <c r="G27" s="18">
        <v>6162</v>
      </c>
      <c r="H27" s="18">
        <v>1334</v>
      </c>
      <c r="I27" s="15"/>
      <c r="J27" s="19"/>
      <c r="O27" s="7">
        <v>4783</v>
      </c>
      <c r="P27" s="7" t="s">
        <v>211</v>
      </c>
    </row>
    <row r="28" spans="1:16" ht="14.45" customHeight="1">
      <c r="A28" s="123"/>
      <c r="B28" s="20" t="s">
        <v>59</v>
      </c>
      <c r="C28" s="15">
        <v>4252</v>
      </c>
      <c r="D28" s="16">
        <v>6342</v>
      </c>
      <c r="E28" s="16">
        <v>7690</v>
      </c>
      <c r="F28" s="17">
        <v>1246</v>
      </c>
      <c r="G28" s="18">
        <v>7136</v>
      </c>
      <c r="H28" s="18">
        <v>6397</v>
      </c>
      <c r="I28" s="15"/>
      <c r="J28" s="19"/>
      <c r="O28" s="7">
        <v>4907</v>
      </c>
      <c r="P28" s="7" t="s">
        <v>212</v>
      </c>
    </row>
    <row r="29" spans="1:16" ht="14.45" customHeight="1">
      <c r="A29" s="123"/>
      <c r="B29" s="20" t="s">
        <v>60</v>
      </c>
      <c r="C29" s="15">
        <v>5719</v>
      </c>
      <c r="D29" s="16">
        <v>7520</v>
      </c>
      <c r="E29" s="16">
        <v>7456</v>
      </c>
      <c r="F29" s="17">
        <v>5406</v>
      </c>
      <c r="G29" s="18">
        <v>5911</v>
      </c>
      <c r="H29" s="18">
        <v>5036</v>
      </c>
      <c r="I29" s="15"/>
      <c r="J29" s="19"/>
      <c r="O29" s="7">
        <v>4936</v>
      </c>
      <c r="P29" s="7" t="s">
        <v>213</v>
      </c>
    </row>
    <row r="30" spans="1:16" ht="14.45" customHeight="1">
      <c r="A30" s="123"/>
      <c r="B30" s="20" t="s">
        <v>61</v>
      </c>
      <c r="C30" s="15">
        <v>6867</v>
      </c>
      <c r="D30" s="16">
        <v>188</v>
      </c>
      <c r="E30" s="16">
        <v>5076</v>
      </c>
      <c r="F30" s="17">
        <v>5024</v>
      </c>
      <c r="G30" s="18">
        <v>1334</v>
      </c>
      <c r="H30" s="18">
        <v>7476</v>
      </c>
      <c r="I30" s="15"/>
      <c r="J30" s="19"/>
      <c r="O30" s="7">
        <v>4939</v>
      </c>
      <c r="P30" s="7" t="s">
        <v>359</v>
      </c>
    </row>
    <row r="31" spans="1:16" ht="14.45" customHeight="1">
      <c r="A31" s="123"/>
      <c r="B31" s="20" t="s">
        <v>62</v>
      </c>
      <c r="C31" s="15">
        <v>7520</v>
      </c>
      <c r="D31" s="16">
        <v>7710</v>
      </c>
      <c r="E31" s="16">
        <v>5036</v>
      </c>
      <c r="F31" s="17">
        <v>5406</v>
      </c>
      <c r="G31" s="18">
        <v>5039</v>
      </c>
      <c r="H31" s="18">
        <v>1246</v>
      </c>
      <c r="I31" s="15"/>
      <c r="J31" s="19"/>
      <c r="O31" s="7">
        <v>4946</v>
      </c>
      <c r="P31" s="7" t="s">
        <v>214</v>
      </c>
    </row>
    <row r="32" spans="1:16" ht="14.45" customHeight="1">
      <c r="A32" s="123"/>
      <c r="B32" s="20" t="s">
        <v>63</v>
      </c>
      <c r="C32" s="15">
        <v>7456</v>
      </c>
      <c r="D32" s="16">
        <v>919</v>
      </c>
      <c r="E32" s="16">
        <v>4308</v>
      </c>
      <c r="F32" s="17">
        <v>6866</v>
      </c>
      <c r="G32" s="18">
        <v>6342</v>
      </c>
      <c r="H32" s="18">
        <v>6878</v>
      </c>
      <c r="I32" s="15"/>
      <c r="J32" s="19"/>
      <c r="O32" s="7">
        <v>4951</v>
      </c>
      <c r="P32" s="7" t="s">
        <v>215</v>
      </c>
    </row>
    <row r="33" spans="1:16" ht="14.45" customHeight="1">
      <c r="A33" s="123"/>
      <c r="B33" s="20" t="s">
        <v>64</v>
      </c>
      <c r="C33" s="15">
        <v>5031</v>
      </c>
      <c r="D33" s="16">
        <v>746</v>
      </c>
      <c r="E33" s="16">
        <v>1285</v>
      </c>
      <c r="F33" s="17">
        <v>5911</v>
      </c>
      <c r="G33" s="18">
        <v>4252</v>
      </c>
      <c r="H33" s="18">
        <v>5719</v>
      </c>
      <c r="I33" s="15"/>
      <c r="J33" s="19"/>
      <c r="O33" s="7">
        <v>5024</v>
      </c>
      <c r="P33" s="7" t="s">
        <v>371</v>
      </c>
    </row>
    <row r="34" spans="1:16" ht="14.45" customHeight="1">
      <c r="A34" s="123"/>
      <c r="B34" s="20" t="s">
        <v>65</v>
      </c>
      <c r="C34" s="15">
        <v>7136</v>
      </c>
      <c r="D34" s="16">
        <v>2706</v>
      </c>
      <c r="E34" s="16">
        <v>4939</v>
      </c>
      <c r="F34" s="17">
        <v>7690</v>
      </c>
      <c r="G34" s="18">
        <v>6162</v>
      </c>
      <c r="H34" s="18">
        <v>6397</v>
      </c>
      <c r="I34" s="15"/>
      <c r="J34" s="19"/>
      <c r="O34" s="7">
        <v>5031</v>
      </c>
      <c r="P34" s="7" t="s">
        <v>360</v>
      </c>
    </row>
    <row r="35" spans="1:16" ht="14.45" customHeight="1">
      <c r="A35" s="123"/>
      <c r="B35" s="20" t="s">
        <v>66</v>
      </c>
      <c r="C35" s="15">
        <v>1334</v>
      </c>
      <c r="D35" s="16">
        <v>5719</v>
      </c>
      <c r="E35" s="16">
        <v>1285</v>
      </c>
      <c r="F35" s="17">
        <v>7520</v>
      </c>
      <c r="G35" s="18">
        <v>4308</v>
      </c>
      <c r="H35" s="18">
        <v>5911</v>
      </c>
      <c r="I35" s="15"/>
      <c r="J35" s="19"/>
      <c r="O35" s="7">
        <v>5036</v>
      </c>
      <c r="P35" s="7" t="s">
        <v>216</v>
      </c>
    </row>
    <row r="36" spans="1:16" ht="14.45" customHeight="1">
      <c r="A36" s="123"/>
      <c r="B36" s="20" t="s">
        <v>67</v>
      </c>
      <c r="C36" s="15">
        <v>5039</v>
      </c>
      <c r="D36" s="16">
        <v>6867</v>
      </c>
      <c r="E36" s="16">
        <v>746</v>
      </c>
      <c r="F36" s="17">
        <v>7136</v>
      </c>
      <c r="G36" s="18">
        <v>4252</v>
      </c>
      <c r="H36" s="18">
        <v>5036</v>
      </c>
      <c r="I36" s="15"/>
      <c r="J36" s="19"/>
      <c r="O36" s="7">
        <v>5039</v>
      </c>
      <c r="P36" s="7" t="s">
        <v>361</v>
      </c>
    </row>
    <row r="37" spans="1:16" ht="14.45" customHeight="1">
      <c r="A37" s="123"/>
      <c r="B37" s="20" t="s">
        <v>68</v>
      </c>
      <c r="C37" s="15">
        <v>6162</v>
      </c>
      <c r="D37" s="16">
        <v>188</v>
      </c>
      <c r="E37" s="16">
        <v>5406</v>
      </c>
      <c r="F37" s="17">
        <v>7690</v>
      </c>
      <c r="G37" s="18">
        <v>1246</v>
      </c>
      <c r="H37" s="18">
        <v>7456</v>
      </c>
      <c r="I37" s="15"/>
      <c r="J37" s="19"/>
      <c r="O37" s="176">
        <v>5076</v>
      </c>
      <c r="P37" s="7" t="s">
        <v>372</v>
      </c>
    </row>
    <row r="38" spans="1:16" ht="14.45" customHeight="1">
      <c r="A38" s="123"/>
      <c r="B38" s="20" t="s">
        <v>69</v>
      </c>
      <c r="C38" s="15">
        <v>6342</v>
      </c>
      <c r="D38" s="16">
        <v>7476</v>
      </c>
      <c r="E38" s="16">
        <v>919</v>
      </c>
      <c r="F38" s="17">
        <v>6878</v>
      </c>
      <c r="G38" s="18">
        <v>5031</v>
      </c>
      <c r="H38" s="18">
        <v>4939</v>
      </c>
      <c r="I38" s="15"/>
      <c r="J38" s="19"/>
      <c r="O38" s="7">
        <v>5406</v>
      </c>
      <c r="P38" s="7" t="s">
        <v>362</v>
      </c>
    </row>
    <row r="39" spans="1:16" ht="14.45" customHeight="1">
      <c r="A39" s="123"/>
      <c r="B39" s="20" t="s">
        <v>70</v>
      </c>
      <c r="C39" s="15">
        <v>5076</v>
      </c>
      <c r="D39" s="16">
        <v>2706</v>
      </c>
      <c r="E39" s="16">
        <v>6866</v>
      </c>
      <c r="F39" s="17">
        <v>6397</v>
      </c>
      <c r="G39" s="18">
        <v>5024</v>
      </c>
      <c r="H39" s="18">
        <v>7710</v>
      </c>
      <c r="I39" s="15"/>
      <c r="J39" s="19"/>
      <c r="O39" s="7">
        <v>5409</v>
      </c>
      <c r="P39" s="7" t="s">
        <v>217</v>
      </c>
    </row>
    <row r="40" spans="1:16" ht="14.45" customHeight="1">
      <c r="A40" s="123"/>
      <c r="B40" s="20" t="s">
        <v>71</v>
      </c>
      <c r="C40" s="15">
        <v>4308</v>
      </c>
      <c r="D40" s="16">
        <v>6342</v>
      </c>
      <c r="E40" s="16">
        <v>1334</v>
      </c>
      <c r="F40" s="17">
        <v>746</v>
      </c>
      <c r="G40" s="18">
        <v>7690</v>
      </c>
      <c r="H40" s="18">
        <v>5036</v>
      </c>
      <c r="I40" s="15"/>
      <c r="J40" s="19"/>
      <c r="O40" s="7">
        <v>5426</v>
      </c>
      <c r="P40" s="7" t="s">
        <v>218</v>
      </c>
    </row>
    <row r="41" spans="1:16" ht="14.45" customHeight="1">
      <c r="A41" s="123"/>
      <c r="B41" s="20" t="s">
        <v>72</v>
      </c>
      <c r="C41" s="15">
        <v>7710</v>
      </c>
      <c r="D41" s="16">
        <v>4252</v>
      </c>
      <c r="E41" s="16">
        <v>919</v>
      </c>
      <c r="F41" s="17">
        <v>5406</v>
      </c>
      <c r="G41" s="18">
        <v>5076</v>
      </c>
      <c r="H41" s="18">
        <v>7520</v>
      </c>
      <c r="I41" s="15"/>
      <c r="J41" s="19"/>
      <c r="O41" s="7">
        <v>5719</v>
      </c>
      <c r="P41" s="7" t="s">
        <v>373</v>
      </c>
    </row>
    <row r="42" spans="1:16" ht="14.45" customHeight="1">
      <c r="A42" s="123"/>
      <c r="B42" s="20" t="s">
        <v>73</v>
      </c>
      <c r="C42" s="15">
        <v>5911</v>
      </c>
      <c r="D42" s="16">
        <v>5031</v>
      </c>
      <c r="E42" s="16">
        <v>6867</v>
      </c>
      <c r="F42" s="17">
        <v>188</v>
      </c>
      <c r="G42" s="18">
        <v>7476</v>
      </c>
      <c r="H42" s="18">
        <v>2706</v>
      </c>
      <c r="I42" s="15"/>
      <c r="J42" s="19"/>
      <c r="O42" s="7">
        <v>5885</v>
      </c>
      <c r="P42" s="7" t="s">
        <v>219</v>
      </c>
    </row>
    <row r="43" spans="1:16" ht="14.45" customHeight="1">
      <c r="A43" s="123"/>
      <c r="B43" s="20" t="s">
        <v>74</v>
      </c>
      <c r="C43" s="15">
        <v>5719</v>
      </c>
      <c r="D43" s="16">
        <v>6866</v>
      </c>
      <c r="E43" s="16">
        <v>6397</v>
      </c>
      <c r="F43" s="17">
        <v>5039</v>
      </c>
      <c r="G43" s="18">
        <v>4939</v>
      </c>
      <c r="H43" s="18">
        <v>6162</v>
      </c>
      <c r="I43" s="15"/>
      <c r="J43" s="19"/>
      <c r="O43" s="7">
        <v>5911</v>
      </c>
      <c r="P43" s="7" t="s">
        <v>374</v>
      </c>
    </row>
    <row r="44" spans="1:16" ht="14.45" customHeight="1">
      <c r="A44" s="123"/>
      <c r="B44" s="20" t="s">
        <v>75</v>
      </c>
      <c r="C44" s="15">
        <v>5024</v>
      </c>
      <c r="D44" s="16">
        <v>7136</v>
      </c>
      <c r="E44" s="16">
        <v>7456</v>
      </c>
      <c r="F44" s="17">
        <v>1285</v>
      </c>
      <c r="G44" s="18">
        <v>1246</v>
      </c>
      <c r="H44" s="18">
        <v>6878</v>
      </c>
      <c r="I44" s="15"/>
      <c r="J44" s="19"/>
      <c r="O44" s="7">
        <v>6070</v>
      </c>
      <c r="P44" s="7" t="s">
        <v>220</v>
      </c>
    </row>
    <row r="45" spans="1:16" ht="14.45" customHeight="1">
      <c r="A45" s="123"/>
      <c r="B45" s="20" t="s">
        <v>76</v>
      </c>
      <c r="C45" s="15">
        <v>1334</v>
      </c>
      <c r="D45" s="16">
        <v>5406</v>
      </c>
      <c r="E45" s="16">
        <v>7690</v>
      </c>
      <c r="F45" s="17">
        <v>919</v>
      </c>
      <c r="G45" s="18">
        <v>2706</v>
      </c>
      <c r="H45" s="18">
        <v>5031</v>
      </c>
      <c r="I45" s="15"/>
      <c r="J45" s="19"/>
      <c r="O45" s="7">
        <v>6110</v>
      </c>
      <c r="P45" s="7" t="s">
        <v>221</v>
      </c>
    </row>
    <row r="46" spans="1:16" ht="14.45" customHeight="1">
      <c r="A46" s="123"/>
      <c r="B46" s="20" t="s">
        <v>77</v>
      </c>
      <c r="C46" s="15">
        <v>1246</v>
      </c>
      <c r="D46" s="16">
        <v>5719</v>
      </c>
      <c r="E46" s="16">
        <v>746</v>
      </c>
      <c r="F46" s="17">
        <v>7476</v>
      </c>
      <c r="G46" s="18">
        <v>4308</v>
      </c>
      <c r="H46" s="18">
        <v>4252</v>
      </c>
      <c r="I46" s="15"/>
      <c r="J46" s="19"/>
      <c r="O46" s="7">
        <v>6135</v>
      </c>
      <c r="P46" s="7" t="s">
        <v>222</v>
      </c>
    </row>
    <row r="47" spans="1:16" ht="14.45" customHeight="1">
      <c r="A47" s="123"/>
      <c r="B47" s="20" t="s">
        <v>78</v>
      </c>
      <c r="C47" s="15">
        <v>6878</v>
      </c>
      <c r="D47" s="16">
        <v>5036</v>
      </c>
      <c r="E47" s="16">
        <v>6867</v>
      </c>
      <c r="F47" s="17">
        <v>7710</v>
      </c>
      <c r="G47" s="18">
        <v>6162</v>
      </c>
      <c r="H47" s="18">
        <v>1285</v>
      </c>
      <c r="I47" s="15"/>
      <c r="J47" s="19"/>
      <c r="O47" s="7">
        <v>6162</v>
      </c>
      <c r="P47" s="7" t="s">
        <v>375</v>
      </c>
    </row>
    <row r="48" spans="1:16" ht="14.45" customHeight="1">
      <c r="A48" s="123"/>
      <c r="B48" s="20" t="s">
        <v>79</v>
      </c>
      <c r="C48" s="15">
        <v>6866</v>
      </c>
      <c r="D48" s="16">
        <v>7456</v>
      </c>
      <c r="E48" s="16">
        <v>4939</v>
      </c>
      <c r="F48" s="17">
        <v>5076</v>
      </c>
      <c r="G48" s="18">
        <v>5911</v>
      </c>
      <c r="H48" s="18">
        <v>6397</v>
      </c>
      <c r="I48" s="15"/>
      <c r="J48" s="19"/>
      <c r="O48" s="7">
        <v>6342</v>
      </c>
      <c r="P48" s="7" t="s">
        <v>363</v>
      </c>
    </row>
    <row r="49" spans="1:16" ht="14.45" customHeight="1">
      <c r="A49" s="123"/>
      <c r="B49" s="20" t="s">
        <v>80</v>
      </c>
      <c r="C49" s="15">
        <v>7520</v>
      </c>
      <c r="D49" s="16">
        <v>5024</v>
      </c>
      <c r="E49" s="16">
        <v>188</v>
      </c>
      <c r="F49" s="17">
        <v>6342</v>
      </c>
      <c r="G49" s="18">
        <v>5039</v>
      </c>
      <c r="H49" s="18">
        <v>7136</v>
      </c>
      <c r="I49" s="15"/>
      <c r="J49" s="19"/>
      <c r="O49" s="7">
        <v>6397</v>
      </c>
      <c r="P49" s="7" t="s">
        <v>376</v>
      </c>
    </row>
    <row r="50" spans="1:16" ht="14.45" customHeight="1">
      <c r="A50" s="123"/>
      <c r="B50" s="20" t="s">
        <v>81</v>
      </c>
      <c r="C50" s="15">
        <v>6162</v>
      </c>
      <c r="D50" s="16">
        <v>919</v>
      </c>
      <c r="E50" s="16">
        <v>5911</v>
      </c>
      <c r="F50" s="17">
        <v>5406</v>
      </c>
      <c r="G50" s="18">
        <v>4308</v>
      </c>
      <c r="H50" s="18">
        <v>6867</v>
      </c>
      <c r="I50" s="15"/>
      <c r="J50" s="19"/>
      <c r="O50" s="7">
        <v>6514</v>
      </c>
      <c r="P50" s="7" t="s">
        <v>223</v>
      </c>
    </row>
    <row r="51" spans="1:16" ht="14.45" customHeight="1">
      <c r="A51" s="123"/>
      <c r="B51" s="20" t="s">
        <v>82</v>
      </c>
      <c r="C51" s="15">
        <v>6342</v>
      </c>
      <c r="D51" s="16">
        <v>188</v>
      </c>
      <c r="E51" s="16">
        <v>6397</v>
      </c>
      <c r="F51" s="17">
        <v>746</v>
      </c>
      <c r="G51" s="18">
        <v>7476</v>
      </c>
      <c r="H51" s="18">
        <v>6866</v>
      </c>
      <c r="I51" s="15"/>
      <c r="J51" s="19"/>
      <c r="O51" s="7">
        <v>6859</v>
      </c>
      <c r="P51" s="7" t="s">
        <v>224</v>
      </c>
    </row>
    <row r="52" spans="1:16" ht="14.45" customHeight="1">
      <c r="A52" s="123"/>
      <c r="B52" s="20" t="s">
        <v>83</v>
      </c>
      <c r="C52" s="15">
        <v>4939</v>
      </c>
      <c r="D52" s="16">
        <v>5036</v>
      </c>
      <c r="E52" s="16">
        <v>1285</v>
      </c>
      <c r="F52" s="17">
        <v>7136</v>
      </c>
      <c r="G52" s="18">
        <v>1334</v>
      </c>
      <c r="H52" s="18">
        <v>7710</v>
      </c>
      <c r="I52" s="15"/>
      <c r="J52" s="19"/>
      <c r="O52" s="7">
        <v>6864</v>
      </c>
      <c r="P52" s="7" t="s">
        <v>225</v>
      </c>
    </row>
    <row r="53" spans="1:16" ht="14.45" customHeight="1">
      <c r="A53" s="123"/>
      <c r="B53" s="20" t="s">
        <v>84</v>
      </c>
      <c r="C53" s="15">
        <v>5719</v>
      </c>
      <c r="D53" s="16">
        <v>5031</v>
      </c>
      <c r="E53" s="16">
        <v>5039</v>
      </c>
      <c r="F53" s="17">
        <v>5076</v>
      </c>
      <c r="G53" s="18">
        <v>6878</v>
      </c>
      <c r="H53" s="18">
        <v>7456</v>
      </c>
      <c r="I53" s="15"/>
      <c r="J53" s="19"/>
      <c r="O53" s="7">
        <v>6866</v>
      </c>
      <c r="P53" s="7" t="s">
        <v>226</v>
      </c>
    </row>
    <row r="54" spans="1:16" ht="14.45" customHeight="1">
      <c r="A54" s="123"/>
      <c r="B54" s="20" t="s">
        <v>85</v>
      </c>
      <c r="C54" s="15">
        <v>4252</v>
      </c>
      <c r="D54" s="16">
        <v>7520</v>
      </c>
      <c r="E54" s="16">
        <v>1246</v>
      </c>
      <c r="F54" s="17">
        <v>5024</v>
      </c>
      <c r="G54" s="18">
        <v>7690</v>
      </c>
      <c r="H54" s="18">
        <v>2706</v>
      </c>
      <c r="I54" s="15"/>
      <c r="J54" s="19"/>
      <c r="O54" s="7">
        <v>6867</v>
      </c>
      <c r="P54" s="7" t="s">
        <v>227</v>
      </c>
    </row>
    <row r="55" spans="1:16" ht="14.45" customHeight="1">
      <c r="A55" s="123"/>
      <c r="B55" s="20" t="s">
        <v>86</v>
      </c>
      <c r="C55" s="15">
        <v>746</v>
      </c>
      <c r="D55" s="16">
        <v>5911</v>
      </c>
      <c r="E55" s="16">
        <v>7710</v>
      </c>
      <c r="F55" s="17">
        <v>4939</v>
      </c>
      <c r="G55" s="18">
        <v>5076</v>
      </c>
      <c r="H55" s="18">
        <v>6342</v>
      </c>
      <c r="I55" s="15"/>
      <c r="J55" s="19"/>
      <c r="O55" s="7">
        <v>6878</v>
      </c>
      <c r="P55" s="7" t="s">
        <v>377</v>
      </c>
    </row>
    <row r="56" spans="1:16" ht="14.45" customHeight="1">
      <c r="A56" s="123"/>
      <c r="B56" s="20" t="s">
        <v>87</v>
      </c>
      <c r="C56" s="15">
        <v>6878</v>
      </c>
      <c r="D56" s="16">
        <v>6867</v>
      </c>
      <c r="E56" s="16">
        <v>1334</v>
      </c>
      <c r="F56" s="17">
        <v>7520</v>
      </c>
      <c r="G56" s="18">
        <v>7690</v>
      </c>
      <c r="H56" s="18">
        <v>6866</v>
      </c>
      <c r="I56" s="15"/>
      <c r="J56" s="19"/>
      <c r="O56" s="7">
        <v>6975</v>
      </c>
      <c r="P56" s="7" t="s">
        <v>228</v>
      </c>
    </row>
    <row r="57" spans="1:16" ht="14.45" customHeight="1">
      <c r="A57" s="123"/>
      <c r="B57" s="20" t="s">
        <v>88</v>
      </c>
      <c r="C57" s="15">
        <v>6162</v>
      </c>
      <c r="D57" s="16">
        <v>1285</v>
      </c>
      <c r="E57" s="16">
        <v>7456</v>
      </c>
      <c r="F57" s="17">
        <v>919</v>
      </c>
      <c r="G57" s="18">
        <v>2706</v>
      </c>
      <c r="H57" s="18">
        <v>1246</v>
      </c>
      <c r="I57" s="15"/>
      <c r="J57" s="19"/>
      <c r="O57" s="7">
        <v>6987</v>
      </c>
      <c r="P57" s="7" t="s">
        <v>229</v>
      </c>
    </row>
    <row r="58" spans="1:16" ht="14.45" customHeight="1">
      <c r="A58" s="123"/>
      <c r="B58" s="20" t="s">
        <v>89</v>
      </c>
      <c r="C58" s="15">
        <v>188</v>
      </c>
      <c r="D58" s="16">
        <v>4308</v>
      </c>
      <c r="E58" s="16">
        <v>7136</v>
      </c>
      <c r="F58" s="17">
        <v>5036</v>
      </c>
      <c r="G58" s="18">
        <v>5719</v>
      </c>
      <c r="H58" s="18">
        <v>5024</v>
      </c>
      <c r="I58" s="15"/>
      <c r="J58" s="19"/>
      <c r="O58" s="7">
        <v>7136</v>
      </c>
      <c r="P58" s="7" t="s">
        <v>364</v>
      </c>
    </row>
    <row r="59" spans="1:16" ht="14.45" customHeight="1">
      <c r="A59" s="123"/>
      <c r="B59" s="20" t="s">
        <v>90</v>
      </c>
      <c r="C59" s="15">
        <v>6397</v>
      </c>
      <c r="D59" s="16">
        <v>5406</v>
      </c>
      <c r="E59" s="16">
        <v>4252</v>
      </c>
      <c r="F59" s="17">
        <v>5031</v>
      </c>
      <c r="G59" s="18">
        <v>7476</v>
      </c>
      <c r="H59" s="18">
        <v>5039</v>
      </c>
      <c r="I59" s="15"/>
      <c r="J59" s="19"/>
      <c r="O59" s="7">
        <v>7267</v>
      </c>
      <c r="P59" s="7" t="s">
        <v>230</v>
      </c>
    </row>
    <row r="60" spans="1:16" ht="14.45" customHeight="1">
      <c r="A60" s="123"/>
      <c r="B60" s="20" t="s">
        <v>91</v>
      </c>
      <c r="C60" s="15">
        <v>5911</v>
      </c>
      <c r="D60" s="16">
        <v>6878</v>
      </c>
      <c r="E60" s="16">
        <v>7690</v>
      </c>
      <c r="F60" s="17">
        <v>4308</v>
      </c>
      <c r="G60" s="18">
        <v>7710</v>
      </c>
      <c r="H60" s="18">
        <v>5719</v>
      </c>
      <c r="I60" s="15"/>
      <c r="J60" s="19"/>
      <c r="O60" s="7">
        <v>7456</v>
      </c>
      <c r="P60" s="7" t="s">
        <v>365</v>
      </c>
    </row>
    <row r="61" spans="1:16" ht="14.45" customHeight="1">
      <c r="A61" s="123"/>
      <c r="B61" s="20" t="s">
        <v>92</v>
      </c>
      <c r="C61" s="15">
        <v>2706</v>
      </c>
      <c r="D61" s="16">
        <v>7520</v>
      </c>
      <c r="E61" s="16">
        <v>4939</v>
      </c>
      <c r="F61" s="17">
        <v>4252</v>
      </c>
      <c r="G61" s="18">
        <v>746</v>
      </c>
      <c r="H61" s="18">
        <v>6162</v>
      </c>
      <c r="I61" s="15"/>
      <c r="J61" s="19"/>
      <c r="O61" s="7">
        <v>7476</v>
      </c>
      <c r="P61" s="7" t="s">
        <v>378</v>
      </c>
    </row>
    <row r="62" spans="1:16" ht="14.45" customHeight="1">
      <c r="A62" s="123"/>
      <c r="B62" s="20" t="s">
        <v>93</v>
      </c>
      <c r="C62" s="15">
        <v>7476</v>
      </c>
      <c r="D62" s="16">
        <v>5406</v>
      </c>
      <c r="E62" s="16">
        <v>6867</v>
      </c>
      <c r="F62" s="17">
        <v>7456</v>
      </c>
      <c r="G62" s="18">
        <v>1285</v>
      </c>
      <c r="H62" s="18">
        <v>6342</v>
      </c>
      <c r="I62" s="15"/>
      <c r="J62" s="19"/>
      <c r="O62" s="7">
        <v>7520</v>
      </c>
      <c r="P62" s="7" t="s">
        <v>366</v>
      </c>
    </row>
    <row r="63" spans="1:16" ht="14.45" customHeight="1">
      <c r="A63" s="123"/>
      <c r="B63" s="20" t="s">
        <v>94</v>
      </c>
      <c r="C63" s="15">
        <v>1334</v>
      </c>
      <c r="D63" s="16">
        <v>919</v>
      </c>
      <c r="E63" s="16">
        <v>5076</v>
      </c>
      <c r="F63" s="17">
        <v>6397</v>
      </c>
      <c r="G63" s="18">
        <v>1246</v>
      </c>
      <c r="H63" s="18">
        <v>5024</v>
      </c>
      <c r="I63" s="15"/>
      <c r="J63" s="19"/>
      <c r="O63" s="7">
        <v>7564</v>
      </c>
      <c r="P63" s="7" t="s">
        <v>231</v>
      </c>
    </row>
    <row r="64" spans="1:16" ht="14.45" customHeight="1">
      <c r="A64" s="123"/>
      <c r="B64" s="20" t="s">
        <v>95</v>
      </c>
      <c r="C64" s="15">
        <v>5039</v>
      </c>
      <c r="D64" s="16">
        <v>5036</v>
      </c>
      <c r="E64" s="16">
        <v>188</v>
      </c>
      <c r="F64" s="17">
        <v>6866</v>
      </c>
      <c r="G64" s="18">
        <v>5031</v>
      </c>
      <c r="H64" s="18">
        <v>7136</v>
      </c>
      <c r="I64" s="15"/>
      <c r="J64" s="19"/>
      <c r="O64" s="7">
        <v>7614</v>
      </c>
      <c r="P64" s="7" t="s">
        <v>232</v>
      </c>
    </row>
    <row r="65" spans="1:16" ht="14.45" customHeight="1">
      <c r="A65" s="123"/>
      <c r="B65" s="137"/>
      <c r="C65" s="15"/>
      <c r="D65" s="16"/>
      <c r="E65" s="16"/>
      <c r="F65" s="17"/>
      <c r="G65" s="18"/>
      <c r="H65" s="18"/>
      <c r="I65" s="15"/>
      <c r="J65" s="19"/>
      <c r="O65" s="7">
        <v>7690</v>
      </c>
      <c r="P65" s="7" t="s">
        <v>233</v>
      </c>
    </row>
    <row r="66" spans="1:16" ht="14.45" customHeight="1">
      <c r="A66" s="123"/>
      <c r="B66" s="20"/>
      <c r="C66" s="15"/>
      <c r="D66" s="16"/>
      <c r="E66" s="16"/>
      <c r="F66" s="17"/>
      <c r="G66" s="18"/>
      <c r="H66" s="18"/>
      <c r="I66" s="15"/>
      <c r="J66" s="19"/>
      <c r="O66" s="7">
        <v>7710</v>
      </c>
      <c r="P66" s="7" t="s">
        <v>234</v>
      </c>
    </row>
    <row r="67" spans="1:16" ht="14.45" customHeight="1">
      <c r="A67" s="123"/>
      <c r="B67" s="20"/>
      <c r="C67" s="15"/>
      <c r="D67" s="16"/>
      <c r="E67" s="16"/>
      <c r="F67" s="17"/>
      <c r="G67" s="18"/>
      <c r="H67" s="18"/>
      <c r="I67" s="15"/>
      <c r="J67" s="19"/>
      <c r="O67" s="7">
        <v>7712</v>
      </c>
      <c r="P67" s="7" t="s">
        <v>235</v>
      </c>
    </row>
    <row r="68" spans="1:16" ht="14.45" customHeight="1">
      <c r="A68" s="123"/>
      <c r="B68" s="20"/>
      <c r="C68" s="15"/>
      <c r="D68" s="16"/>
      <c r="E68" s="16"/>
      <c r="F68" s="17"/>
      <c r="G68" s="18"/>
      <c r="H68" s="18"/>
      <c r="I68" s="15"/>
      <c r="J68" s="19"/>
      <c r="O68" s="7">
        <v>7735</v>
      </c>
      <c r="P68" s="7" t="s">
        <v>236</v>
      </c>
    </row>
    <row r="69" spans="1:16" ht="14.45" customHeight="1">
      <c r="A69" s="123"/>
      <c r="B69" s="20"/>
      <c r="C69" s="15"/>
      <c r="D69" s="16"/>
      <c r="E69" s="16"/>
      <c r="F69" s="17"/>
      <c r="G69" s="18"/>
      <c r="H69" s="18"/>
      <c r="I69" s="15"/>
      <c r="J69" s="19"/>
      <c r="O69" s="176" t="s">
        <v>354</v>
      </c>
    </row>
    <row r="70" spans="1:16" ht="14.45" customHeight="1">
      <c r="A70" s="123"/>
      <c r="B70" s="20"/>
      <c r="C70" s="15"/>
      <c r="D70" s="16"/>
      <c r="E70" s="16"/>
      <c r="F70" s="17"/>
      <c r="G70" s="18"/>
      <c r="H70" s="18"/>
      <c r="I70" s="15"/>
      <c r="J70" s="19"/>
    </row>
    <row r="71" spans="1:16" ht="14.45" customHeight="1">
      <c r="A71" s="123"/>
      <c r="B71" s="20"/>
      <c r="C71" s="15"/>
      <c r="D71" s="16"/>
      <c r="E71" s="16"/>
      <c r="F71" s="17"/>
      <c r="G71" s="18"/>
      <c r="H71" s="18"/>
      <c r="I71" s="15"/>
      <c r="J71" s="19"/>
    </row>
    <row r="72" spans="1:16" ht="14.45" customHeight="1">
      <c r="A72" s="123"/>
      <c r="B72" s="20"/>
      <c r="C72" s="15"/>
      <c r="D72" s="16"/>
      <c r="E72" s="16"/>
      <c r="F72" s="17"/>
      <c r="G72" s="18"/>
      <c r="H72" s="18"/>
      <c r="I72" s="15"/>
      <c r="J72" s="19"/>
    </row>
    <row r="73" spans="1:16" ht="14.45" customHeight="1">
      <c r="A73" s="123"/>
      <c r="B73" s="20"/>
      <c r="C73" s="15"/>
      <c r="D73" s="16"/>
      <c r="E73" s="16"/>
      <c r="F73" s="17"/>
      <c r="G73" s="18"/>
      <c r="H73" s="18"/>
      <c r="I73" s="15"/>
      <c r="J73" s="19"/>
    </row>
    <row r="74" spans="1:16" ht="14.45" customHeight="1">
      <c r="A74" s="123"/>
      <c r="B74" s="20"/>
      <c r="C74" s="15"/>
      <c r="D74" s="16"/>
      <c r="E74" s="16"/>
      <c r="F74" s="17"/>
      <c r="G74" s="18"/>
      <c r="H74" s="18"/>
      <c r="I74" s="15"/>
      <c r="J74" s="19"/>
    </row>
    <row r="75" spans="1:16" ht="14.45" customHeight="1">
      <c r="A75" s="123"/>
      <c r="B75" s="20"/>
      <c r="C75" s="15"/>
      <c r="D75" s="16"/>
      <c r="E75" s="16"/>
      <c r="F75" s="17"/>
      <c r="G75" s="18"/>
      <c r="H75" s="18"/>
      <c r="I75" s="15"/>
      <c r="J75" s="19"/>
    </row>
    <row r="76" spans="1:16" ht="14.45" customHeight="1">
      <c r="A76" s="123"/>
      <c r="B76" s="20"/>
      <c r="C76" s="15"/>
      <c r="D76" s="16"/>
      <c r="E76" s="16"/>
      <c r="F76" s="17"/>
      <c r="G76" s="18"/>
      <c r="H76" s="18"/>
      <c r="I76" s="15"/>
      <c r="J76" s="19"/>
    </row>
    <row r="77" spans="1:16" ht="14.45" customHeight="1">
      <c r="A77" s="123"/>
      <c r="B77" s="20"/>
      <c r="C77" s="15"/>
      <c r="D77" s="16"/>
      <c r="E77" s="16"/>
      <c r="F77" s="17"/>
      <c r="G77" s="18"/>
      <c r="H77" s="18"/>
      <c r="I77" s="15"/>
      <c r="J77" s="19"/>
    </row>
    <row r="78" spans="1:16" ht="14.45" customHeight="1">
      <c r="A78" s="123"/>
      <c r="B78" s="20"/>
      <c r="C78" s="15"/>
      <c r="D78" s="16"/>
      <c r="E78" s="16"/>
      <c r="F78" s="17"/>
      <c r="G78" s="18"/>
      <c r="H78" s="18"/>
      <c r="I78" s="15"/>
      <c r="J78" s="19"/>
    </row>
    <row r="79" spans="1:16" ht="14.45" customHeight="1">
      <c r="A79" s="123"/>
      <c r="B79" s="20"/>
      <c r="C79" s="15"/>
      <c r="D79" s="16"/>
      <c r="E79" s="16"/>
      <c r="F79" s="17"/>
      <c r="G79" s="18"/>
      <c r="H79" s="18"/>
      <c r="I79" s="15"/>
      <c r="J79" s="19"/>
    </row>
    <row r="80" spans="1:16"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137"/>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5" priority="4" operator="equal">
      <formula>6135</formula>
    </cfRule>
  </conditionalFormatting>
  <conditionalFormatting sqref="F1:H1048576">
    <cfRule type="cellIs" dxfId="4" priority="3" operator="equal">
      <formula>6135</formula>
    </cfRule>
  </conditionalFormatting>
  <conditionalFormatting sqref="C1:H1048576">
    <cfRule type="cellIs" dxfId="3"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2" t="s">
        <v>150</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row>
    <row r="2" spans="1:27">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c r="A3" s="151" t="s">
        <v>0</v>
      </c>
      <c r="B3" s="151"/>
      <c r="C3" s="151"/>
      <c r="D3" s="1"/>
      <c r="E3" s="1"/>
      <c r="F3" s="1"/>
      <c r="G3" s="151" t="s">
        <v>9</v>
      </c>
      <c r="H3" s="151"/>
      <c r="I3" s="151"/>
      <c r="J3" s="151"/>
      <c r="K3" s="151"/>
      <c r="L3" s="151"/>
      <c r="M3" s="151"/>
      <c r="N3" s="138" t="s">
        <v>1</v>
      </c>
      <c r="O3" s="138"/>
      <c r="P3" s="138"/>
      <c r="Q3" s="138"/>
      <c r="R3" s="138"/>
      <c r="S3" s="138"/>
      <c r="T3" s="138"/>
      <c r="U3" s="138"/>
      <c r="V3" s="138"/>
      <c r="W3" s="138"/>
      <c r="X3" s="138"/>
      <c r="Y3" s="138" t="s">
        <v>2</v>
      </c>
      <c r="Z3" s="138"/>
      <c r="AA3" s="138"/>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3" t="s">
        <v>172</v>
      </c>
      <c r="C16" s="163"/>
      <c r="D16" s="163"/>
      <c r="E16" s="163"/>
      <c r="F16" s="163"/>
      <c r="G16" s="163"/>
      <c r="H16" s="163"/>
      <c r="I16" s="163"/>
      <c r="J16" s="163"/>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3" t="s">
        <v>196</v>
      </c>
      <c r="C28" s="163"/>
      <c r="D28" s="163"/>
      <c r="E28" s="163"/>
      <c r="F28" s="163"/>
      <c r="G28" s="163"/>
      <c r="H28" s="163"/>
      <c r="I28" s="163"/>
      <c r="J28" s="163"/>
      <c r="K28" s="163"/>
      <c r="L28" s="163"/>
    </row>
    <row r="29" spans="1:12" ht="21" customHeight="1">
      <c r="B29" t="s">
        <v>173</v>
      </c>
    </row>
    <row r="32" spans="1:12">
      <c r="A32" s="30" t="s">
        <v>156</v>
      </c>
    </row>
    <row r="33" spans="1:12">
      <c r="B33" t="s">
        <v>174</v>
      </c>
    </row>
    <row r="34" spans="1:12" ht="18.2" customHeight="1">
      <c r="B34" t="s">
        <v>175</v>
      </c>
    </row>
    <row r="35" spans="1:12" ht="32.1" customHeight="1">
      <c r="B35" s="139" t="s">
        <v>176</v>
      </c>
      <c r="C35" s="139"/>
      <c r="D35" s="139"/>
      <c r="E35" s="139"/>
      <c r="F35" s="139"/>
      <c r="G35" s="139"/>
      <c r="H35" s="139"/>
      <c r="I35" s="139"/>
      <c r="J35" s="139"/>
      <c r="K35" s="139"/>
      <c r="L35" s="139"/>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39" t="s">
        <v>185</v>
      </c>
      <c r="D49" s="139"/>
      <c r="E49" s="139"/>
      <c r="F49" s="139"/>
      <c r="G49" s="139"/>
      <c r="H49" s="139"/>
      <c r="I49" s="139"/>
      <c r="J49" s="139"/>
      <c r="K49" s="139"/>
      <c r="L49" s="139"/>
      <c r="M49" s="139"/>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4" t="s">
        <v>163</v>
      </c>
      <c r="B65" s="164"/>
      <c r="C65" s="164"/>
      <c r="D65" s="164"/>
      <c r="E65" s="164"/>
      <c r="F65" s="164"/>
      <c r="G65" s="164"/>
      <c r="H65" s="164"/>
      <c r="I65" s="164"/>
      <c r="J65" s="164"/>
      <c r="K65" s="164"/>
      <c r="L65" s="164"/>
      <c r="M65" s="164"/>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73" t="s">
        <v>103</v>
      </c>
      <c r="C3" s="174"/>
      <c r="D3" s="175"/>
      <c r="E3" s="95" t="s">
        <v>20</v>
      </c>
      <c r="F3" s="95" t="s">
        <v>104</v>
      </c>
      <c r="G3" s="173" t="s">
        <v>105</v>
      </c>
      <c r="H3" s="174"/>
      <c r="I3" s="174"/>
      <c r="J3" s="175"/>
      <c r="K3" s="96" t="s">
        <v>6</v>
      </c>
      <c r="L3" s="45"/>
      <c r="N3" s="40"/>
      <c r="O3" s="173" t="s">
        <v>103</v>
      </c>
      <c r="P3" s="174"/>
      <c r="Q3" s="175"/>
      <c r="R3" s="95" t="s">
        <v>20</v>
      </c>
      <c r="S3" s="95" t="s">
        <v>104</v>
      </c>
      <c r="T3" s="173" t="s">
        <v>105</v>
      </c>
      <c r="U3" s="174"/>
      <c r="V3" s="174"/>
      <c r="W3" s="175"/>
      <c r="X3" s="96" t="s">
        <v>6</v>
      </c>
      <c r="Y3" s="38"/>
      <c r="Z3" s="41"/>
      <c r="AA3" s="41"/>
      <c r="AB3" s="41"/>
      <c r="AC3" s="41"/>
      <c r="AD3" s="41"/>
      <c r="AE3" s="41"/>
    </row>
    <row r="4" spans="1:31" ht="15.95" customHeight="1">
      <c r="A4" s="39"/>
      <c r="B4" s="168" t="s">
        <v>106</v>
      </c>
      <c r="C4" s="169"/>
      <c r="D4" s="170"/>
      <c r="E4" s="70" t="s">
        <v>111</v>
      </c>
      <c r="F4" s="107" t="s">
        <v>112</v>
      </c>
      <c r="G4" s="42" t="s">
        <v>107</v>
      </c>
      <c r="H4" s="43" t="s">
        <v>108</v>
      </c>
      <c r="I4" s="43" t="s">
        <v>109</v>
      </c>
      <c r="J4" s="44" t="s">
        <v>110</v>
      </c>
      <c r="K4" s="97" t="s">
        <v>5</v>
      </c>
      <c r="L4" s="45"/>
      <c r="N4" s="94"/>
      <c r="O4" s="168" t="s">
        <v>106</v>
      </c>
      <c r="P4" s="169"/>
      <c r="Q4" s="170"/>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1" t="s">
        <v>117</v>
      </c>
      <c r="D6" s="171"/>
      <c r="E6" s="171"/>
      <c r="F6" s="171"/>
      <c r="G6" s="171" t="s">
        <v>116</v>
      </c>
      <c r="H6" s="172"/>
      <c r="I6" s="172"/>
      <c r="J6" s="172"/>
      <c r="K6" s="97" t="s">
        <v>118</v>
      </c>
      <c r="L6" s="45"/>
      <c r="N6" s="45"/>
      <c r="O6" s="99" t="s">
        <v>115</v>
      </c>
      <c r="P6" s="171" t="s">
        <v>117</v>
      </c>
      <c r="Q6" s="171"/>
      <c r="R6" s="171"/>
      <c r="S6" s="171"/>
      <c r="T6" s="171" t="s">
        <v>116</v>
      </c>
      <c r="U6" s="172"/>
      <c r="V6" s="172"/>
      <c r="W6" s="172"/>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65" t="s">
        <v>125</v>
      </c>
      <c r="C10" s="63">
        <v>1</v>
      </c>
      <c r="D10" s="64">
        <v>2</v>
      </c>
      <c r="E10" s="43">
        <v>3</v>
      </c>
      <c r="F10" s="44">
        <v>4</v>
      </c>
      <c r="G10" s="42">
        <v>1</v>
      </c>
      <c r="H10" s="43">
        <v>2</v>
      </c>
      <c r="I10" s="43">
        <v>3</v>
      </c>
      <c r="J10" s="44">
        <v>4</v>
      </c>
      <c r="K10" s="96" t="s">
        <v>122</v>
      </c>
      <c r="L10" s="94"/>
      <c r="N10" s="38"/>
      <c r="O10" s="165" t="s">
        <v>125</v>
      </c>
      <c r="P10" s="63">
        <v>1</v>
      </c>
      <c r="Q10" s="64">
        <v>2</v>
      </c>
      <c r="R10" s="43">
        <v>3</v>
      </c>
      <c r="S10" s="44">
        <v>4</v>
      </c>
      <c r="T10" s="42">
        <v>1</v>
      </c>
      <c r="U10" s="43">
        <v>2</v>
      </c>
      <c r="V10" s="43">
        <v>3</v>
      </c>
      <c r="W10" s="44">
        <v>4</v>
      </c>
      <c r="X10" s="96" t="s">
        <v>122</v>
      </c>
      <c r="Y10" s="38"/>
    </row>
    <row r="11" spans="1:31" ht="15.95" customHeight="1" thickBot="1">
      <c r="A11" s="56"/>
      <c r="B11" s="166"/>
      <c r="C11" s="65">
        <v>5</v>
      </c>
      <c r="D11" s="66">
        <v>6</v>
      </c>
      <c r="E11" s="61">
        <v>7</v>
      </c>
      <c r="F11" s="62">
        <v>8</v>
      </c>
      <c r="G11" s="60">
        <v>5</v>
      </c>
      <c r="H11" s="61">
        <v>6</v>
      </c>
      <c r="I11" s="61">
        <v>7</v>
      </c>
      <c r="J11" s="62">
        <v>8</v>
      </c>
      <c r="K11" s="101" t="s">
        <v>126</v>
      </c>
      <c r="L11" s="40"/>
      <c r="N11" s="38"/>
      <c r="O11" s="166"/>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67" t="s">
        <v>128</v>
      </c>
      <c r="G12" s="167"/>
      <c r="H12" s="68">
        <v>2</v>
      </c>
      <c r="I12" s="68">
        <v>3</v>
      </c>
      <c r="J12" s="69"/>
      <c r="K12" s="104" t="s">
        <v>122</v>
      </c>
      <c r="L12" s="38"/>
      <c r="N12" s="38"/>
      <c r="O12" s="54" t="s">
        <v>127</v>
      </c>
      <c r="P12" s="67">
        <v>1</v>
      </c>
      <c r="Q12" s="68">
        <v>2</v>
      </c>
      <c r="R12" s="68">
        <v>3</v>
      </c>
      <c r="S12" s="167" t="s">
        <v>128</v>
      </c>
      <c r="T12" s="167"/>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73" t="s">
        <v>103</v>
      </c>
      <c r="C16" s="174"/>
      <c r="D16" s="175"/>
      <c r="E16" s="95" t="s">
        <v>20</v>
      </c>
      <c r="F16" s="95" t="s">
        <v>104</v>
      </c>
      <c r="G16" s="173" t="s">
        <v>105</v>
      </c>
      <c r="H16" s="174"/>
      <c r="I16" s="174"/>
      <c r="J16" s="175"/>
      <c r="K16" s="96" t="s">
        <v>6</v>
      </c>
      <c r="L16" s="45"/>
      <c r="N16" s="40"/>
      <c r="O16" s="173" t="s">
        <v>103</v>
      </c>
      <c r="P16" s="174"/>
      <c r="Q16" s="175"/>
      <c r="R16" s="95" t="s">
        <v>20</v>
      </c>
      <c r="S16" s="95" t="s">
        <v>104</v>
      </c>
      <c r="T16" s="173" t="s">
        <v>105</v>
      </c>
      <c r="U16" s="174"/>
      <c r="V16" s="174"/>
      <c r="W16" s="175"/>
      <c r="X16" s="96" t="s">
        <v>6</v>
      </c>
      <c r="Y16" s="55"/>
    </row>
    <row r="17" spans="1:25" ht="15.95" customHeight="1">
      <c r="A17" s="39"/>
      <c r="B17" s="168" t="s">
        <v>106</v>
      </c>
      <c r="C17" s="169"/>
      <c r="D17" s="170"/>
      <c r="E17" s="70" t="s">
        <v>111</v>
      </c>
      <c r="F17" s="107" t="s">
        <v>112</v>
      </c>
      <c r="G17" s="42" t="s">
        <v>107</v>
      </c>
      <c r="H17" s="43" t="s">
        <v>108</v>
      </c>
      <c r="I17" s="43" t="s">
        <v>109</v>
      </c>
      <c r="J17" s="44" t="s">
        <v>110</v>
      </c>
      <c r="K17" s="97" t="s">
        <v>5</v>
      </c>
      <c r="L17" s="45"/>
      <c r="N17" s="94"/>
      <c r="O17" s="168" t="s">
        <v>106</v>
      </c>
      <c r="P17" s="169"/>
      <c r="Q17" s="170"/>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1" t="s">
        <v>117</v>
      </c>
      <c r="D19" s="171"/>
      <c r="E19" s="171"/>
      <c r="F19" s="171"/>
      <c r="G19" s="171" t="s">
        <v>116</v>
      </c>
      <c r="H19" s="172"/>
      <c r="I19" s="172"/>
      <c r="J19" s="172"/>
      <c r="K19" s="97" t="s">
        <v>118</v>
      </c>
      <c r="L19" s="45"/>
      <c r="N19" s="45"/>
      <c r="O19" s="99" t="s">
        <v>115</v>
      </c>
      <c r="P19" s="171" t="s">
        <v>117</v>
      </c>
      <c r="Q19" s="171"/>
      <c r="R19" s="171"/>
      <c r="S19" s="171"/>
      <c r="T19" s="171" t="s">
        <v>116</v>
      </c>
      <c r="U19" s="172"/>
      <c r="V19" s="172"/>
      <c r="W19" s="172"/>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65" t="s">
        <v>125</v>
      </c>
      <c r="C23" s="63">
        <v>1</v>
      </c>
      <c r="D23" s="64">
        <v>2</v>
      </c>
      <c r="E23" s="43">
        <v>3</v>
      </c>
      <c r="F23" s="44">
        <v>4</v>
      </c>
      <c r="G23" s="42">
        <v>1</v>
      </c>
      <c r="H23" s="43">
        <v>2</v>
      </c>
      <c r="I23" s="43">
        <v>3</v>
      </c>
      <c r="J23" s="44">
        <v>4</v>
      </c>
      <c r="K23" s="96" t="s">
        <v>122</v>
      </c>
      <c r="L23" s="38"/>
      <c r="N23" s="38"/>
      <c r="O23" s="165" t="s">
        <v>125</v>
      </c>
      <c r="P23" s="63">
        <v>1</v>
      </c>
      <c r="Q23" s="64">
        <v>2</v>
      </c>
      <c r="R23" s="43">
        <v>3</v>
      </c>
      <c r="S23" s="44">
        <v>4</v>
      </c>
      <c r="T23" s="42">
        <v>1</v>
      </c>
      <c r="U23" s="43">
        <v>2</v>
      </c>
      <c r="V23" s="43">
        <v>3</v>
      </c>
      <c r="W23" s="44">
        <v>4</v>
      </c>
      <c r="X23" s="96" t="s">
        <v>122</v>
      </c>
      <c r="Y23" s="38"/>
    </row>
    <row r="24" spans="1:25" ht="15.95" customHeight="1" thickBot="1">
      <c r="A24" s="53"/>
      <c r="B24" s="166"/>
      <c r="C24" s="65">
        <v>5</v>
      </c>
      <c r="D24" s="66">
        <v>6</v>
      </c>
      <c r="E24" s="61">
        <v>7</v>
      </c>
      <c r="F24" s="62">
        <v>8</v>
      </c>
      <c r="G24" s="60">
        <v>5</v>
      </c>
      <c r="H24" s="61">
        <v>6</v>
      </c>
      <c r="I24" s="61">
        <v>7</v>
      </c>
      <c r="J24" s="62">
        <v>8</v>
      </c>
      <c r="K24" s="101" t="s">
        <v>126</v>
      </c>
      <c r="L24" s="38"/>
      <c r="N24" s="38"/>
      <c r="O24" s="166"/>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67" t="s">
        <v>128</v>
      </c>
      <c r="G25" s="167"/>
      <c r="H25" s="68">
        <v>2</v>
      </c>
      <c r="I25" s="68">
        <v>3</v>
      </c>
      <c r="J25" s="69"/>
      <c r="K25" s="104" t="s">
        <v>122</v>
      </c>
      <c r="L25" s="57"/>
      <c r="N25" s="57"/>
      <c r="O25" s="54" t="s">
        <v>127</v>
      </c>
      <c r="P25" s="67">
        <v>1</v>
      </c>
      <c r="Q25" s="68">
        <v>2</v>
      </c>
      <c r="R25" s="68">
        <v>3</v>
      </c>
      <c r="S25" s="167" t="s">
        <v>128</v>
      </c>
      <c r="T25" s="167"/>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73" t="s">
        <v>103</v>
      </c>
      <c r="C29" s="174"/>
      <c r="D29" s="175"/>
      <c r="E29" s="95" t="s">
        <v>20</v>
      </c>
      <c r="F29" s="95" t="s">
        <v>104</v>
      </c>
      <c r="G29" s="173" t="s">
        <v>105</v>
      </c>
      <c r="H29" s="174"/>
      <c r="I29" s="174"/>
      <c r="J29" s="175"/>
      <c r="K29" s="96" t="s">
        <v>6</v>
      </c>
      <c r="L29" s="45"/>
      <c r="N29" s="40"/>
      <c r="O29" s="173" t="s">
        <v>103</v>
      </c>
      <c r="P29" s="174"/>
      <c r="Q29" s="175"/>
      <c r="R29" s="95" t="s">
        <v>20</v>
      </c>
      <c r="S29" s="95" t="s">
        <v>104</v>
      </c>
      <c r="T29" s="173" t="s">
        <v>105</v>
      </c>
      <c r="U29" s="174"/>
      <c r="V29" s="174"/>
      <c r="W29" s="175"/>
      <c r="X29" s="96" t="s">
        <v>6</v>
      </c>
      <c r="Y29" s="55"/>
    </row>
    <row r="30" spans="1:25" ht="15.95" customHeight="1">
      <c r="A30" s="39"/>
      <c r="B30" s="168" t="s">
        <v>106</v>
      </c>
      <c r="C30" s="169"/>
      <c r="D30" s="170"/>
      <c r="E30" s="70" t="s">
        <v>111</v>
      </c>
      <c r="F30" s="107" t="s">
        <v>112</v>
      </c>
      <c r="G30" s="42" t="s">
        <v>107</v>
      </c>
      <c r="H30" s="43" t="s">
        <v>108</v>
      </c>
      <c r="I30" s="43" t="s">
        <v>109</v>
      </c>
      <c r="J30" s="44" t="s">
        <v>110</v>
      </c>
      <c r="K30" s="97" t="s">
        <v>5</v>
      </c>
      <c r="L30" s="45"/>
      <c r="N30" s="94"/>
      <c r="O30" s="168" t="s">
        <v>106</v>
      </c>
      <c r="P30" s="169"/>
      <c r="Q30" s="170"/>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1" t="s">
        <v>117</v>
      </c>
      <c r="D32" s="171"/>
      <c r="E32" s="171"/>
      <c r="F32" s="171"/>
      <c r="G32" s="171" t="s">
        <v>116</v>
      </c>
      <c r="H32" s="172"/>
      <c r="I32" s="172"/>
      <c r="J32" s="172"/>
      <c r="K32" s="97" t="s">
        <v>118</v>
      </c>
      <c r="L32" s="45"/>
      <c r="N32" s="45"/>
      <c r="O32" s="99" t="s">
        <v>115</v>
      </c>
      <c r="P32" s="171" t="s">
        <v>117</v>
      </c>
      <c r="Q32" s="171"/>
      <c r="R32" s="171"/>
      <c r="S32" s="171"/>
      <c r="T32" s="171" t="s">
        <v>116</v>
      </c>
      <c r="U32" s="172"/>
      <c r="V32" s="172"/>
      <c r="W32" s="172"/>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65" t="s">
        <v>125</v>
      </c>
      <c r="C36" s="63">
        <v>1</v>
      </c>
      <c r="D36" s="64">
        <v>2</v>
      </c>
      <c r="E36" s="43">
        <v>3</v>
      </c>
      <c r="F36" s="44">
        <v>4</v>
      </c>
      <c r="G36" s="42">
        <v>1</v>
      </c>
      <c r="H36" s="43">
        <v>2</v>
      </c>
      <c r="I36" s="43">
        <v>3</v>
      </c>
      <c r="J36" s="44">
        <v>4</v>
      </c>
      <c r="K36" s="96" t="s">
        <v>122</v>
      </c>
      <c r="L36" s="38"/>
      <c r="N36" s="38"/>
      <c r="O36" s="165" t="s">
        <v>125</v>
      </c>
      <c r="P36" s="63">
        <v>1</v>
      </c>
      <c r="Q36" s="64">
        <v>2</v>
      </c>
      <c r="R36" s="43">
        <v>3</v>
      </c>
      <c r="S36" s="44">
        <v>4</v>
      </c>
      <c r="T36" s="42">
        <v>1</v>
      </c>
      <c r="U36" s="43">
        <v>2</v>
      </c>
      <c r="V36" s="43">
        <v>3</v>
      </c>
      <c r="W36" s="44">
        <v>4</v>
      </c>
      <c r="X36" s="96" t="s">
        <v>122</v>
      </c>
      <c r="Y36" s="38"/>
    </row>
    <row r="37" spans="1:25" ht="15.95" customHeight="1" thickBot="1">
      <c r="A37" s="53"/>
      <c r="B37" s="166"/>
      <c r="C37" s="65">
        <v>5</v>
      </c>
      <c r="D37" s="66">
        <v>6</v>
      </c>
      <c r="E37" s="61">
        <v>7</v>
      </c>
      <c r="F37" s="62">
        <v>8</v>
      </c>
      <c r="G37" s="60">
        <v>5</v>
      </c>
      <c r="H37" s="61">
        <v>6</v>
      </c>
      <c r="I37" s="61">
        <v>7</v>
      </c>
      <c r="J37" s="62">
        <v>8</v>
      </c>
      <c r="K37" s="101" t="s">
        <v>126</v>
      </c>
      <c r="L37" s="38"/>
      <c r="N37" s="38"/>
      <c r="O37" s="166"/>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67" t="s">
        <v>128</v>
      </c>
      <c r="G38" s="167"/>
      <c r="H38" s="68">
        <v>2</v>
      </c>
      <c r="I38" s="68">
        <v>3</v>
      </c>
      <c r="J38" s="69"/>
      <c r="K38" s="104" t="s">
        <v>122</v>
      </c>
      <c r="L38" s="38"/>
      <c r="N38" s="38"/>
      <c r="O38" s="54" t="s">
        <v>127</v>
      </c>
      <c r="P38" s="67">
        <v>1</v>
      </c>
      <c r="Q38" s="68">
        <v>2</v>
      </c>
      <c r="R38" s="68">
        <v>3</v>
      </c>
      <c r="S38" s="167" t="s">
        <v>128</v>
      </c>
      <c r="T38" s="167"/>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73" t="s">
        <v>103</v>
      </c>
      <c r="C42" s="174"/>
      <c r="D42" s="175"/>
      <c r="E42" s="95" t="s">
        <v>20</v>
      </c>
      <c r="F42" s="95" t="s">
        <v>104</v>
      </c>
      <c r="G42" s="173" t="s">
        <v>105</v>
      </c>
      <c r="H42" s="174"/>
      <c r="I42" s="174"/>
      <c r="J42" s="175"/>
      <c r="K42" s="96" t="s">
        <v>6</v>
      </c>
      <c r="L42" s="45"/>
      <c r="N42" s="40"/>
      <c r="O42" s="173" t="s">
        <v>103</v>
      </c>
      <c r="P42" s="174"/>
      <c r="Q42" s="175"/>
      <c r="R42" s="95" t="s">
        <v>20</v>
      </c>
      <c r="S42" s="95" t="s">
        <v>104</v>
      </c>
      <c r="T42" s="173" t="s">
        <v>105</v>
      </c>
      <c r="U42" s="174"/>
      <c r="V42" s="174"/>
      <c r="W42" s="175"/>
      <c r="X42" s="96" t="s">
        <v>6</v>
      </c>
      <c r="Y42" s="55"/>
    </row>
    <row r="43" spans="1:25" ht="15.95" customHeight="1">
      <c r="A43" s="39"/>
      <c r="B43" s="168" t="s">
        <v>106</v>
      </c>
      <c r="C43" s="169"/>
      <c r="D43" s="170"/>
      <c r="E43" s="70" t="s">
        <v>111</v>
      </c>
      <c r="F43" s="107" t="s">
        <v>112</v>
      </c>
      <c r="G43" s="42" t="s">
        <v>107</v>
      </c>
      <c r="H43" s="43" t="s">
        <v>108</v>
      </c>
      <c r="I43" s="43" t="s">
        <v>109</v>
      </c>
      <c r="J43" s="44" t="s">
        <v>110</v>
      </c>
      <c r="K43" s="97" t="s">
        <v>5</v>
      </c>
      <c r="L43" s="45"/>
      <c r="N43" s="94"/>
      <c r="O43" s="168" t="s">
        <v>106</v>
      </c>
      <c r="P43" s="169"/>
      <c r="Q43" s="170"/>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1" t="s">
        <v>117</v>
      </c>
      <c r="D45" s="171"/>
      <c r="E45" s="171"/>
      <c r="F45" s="171"/>
      <c r="G45" s="171" t="s">
        <v>116</v>
      </c>
      <c r="H45" s="172"/>
      <c r="I45" s="172"/>
      <c r="J45" s="172"/>
      <c r="K45" s="97" t="s">
        <v>118</v>
      </c>
      <c r="L45" s="45"/>
      <c r="N45" s="45"/>
      <c r="O45" s="99" t="s">
        <v>115</v>
      </c>
      <c r="P45" s="171" t="s">
        <v>117</v>
      </c>
      <c r="Q45" s="171"/>
      <c r="R45" s="171"/>
      <c r="S45" s="171"/>
      <c r="T45" s="171" t="s">
        <v>116</v>
      </c>
      <c r="U45" s="172"/>
      <c r="V45" s="172"/>
      <c r="W45" s="172"/>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65" t="s">
        <v>125</v>
      </c>
      <c r="C49" s="63">
        <v>1</v>
      </c>
      <c r="D49" s="64">
        <v>2</v>
      </c>
      <c r="E49" s="43">
        <v>3</v>
      </c>
      <c r="F49" s="44">
        <v>4</v>
      </c>
      <c r="G49" s="42">
        <v>1</v>
      </c>
      <c r="H49" s="43">
        <v>2</v>
      </c>
      <c r="I49" s="43">
        <v>3</v>
      </c>
      <c r="J49" s="44">
        <v>4</v>
      </c>
      <c r="K49" s="96" t="s">
        <v>122</v>
      </c>
      <c r="L49" s="38"/>
      <c r="N49" s="38"/>
      <c r="O49" s="165" t="s">
        <v>125</v>
      </c>
      <c r="P49" s="63">
        <v>1</v>
      </c>
      <c r="Q49" s="64">
        <v>2</v>
      </c>
      <c r="R49" s="43">
        <v>3</v>
      </c>
      <c r="S49" s="44">
        <v>4</v>
      </c>
      <c r="T49" s="42">
        <v>1</v>
      </c>
      <c r="U49" s="43">
        <v>2</v>
      </c>
      <c r="V49" s="43">
        <v>3</v>
      </c>
      <c r="W49" s="44">
        <v>4</v>
      </c>
      <c r="X49" s="96" t="s">
        <v>122</v>
      </c>
      <c r="Y49" s="38"/>
    </row>
    <row r="50" spans="1:25" ht="15.95" customHeight="1" thickBot="1">
      <c r="A50" s="53"/>
      <c r="B50" s="166"/>
      <c r="C50" s="65">
        <v>5</v>
      </c>
      <c r="D50" s="66">
        <v>6</v>
      </c>
      <c r="E50" s="61">
        <v>7</v>
      </c>
      <c r="F50" s="62">
        <v>8</v>
      </c>
      <c r="G50" s="60">
        <v>5</v>
      </c>
      <c r="H50" s="61">
        <v>6</v>
      </c>
      <c r="I50" s="61">
        <v>7</v>
      </c>
      <c r="J50" s="62">
        <v>8</v>
      </c>
      <c r="K50" s="101" t="s">
        <v>126</v>
      </c>
      <c r="L50" s="38"/>
      <c r="N50" s="38"/>
      <c r="O50" s="166"/>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67" t="s">
        <v>128</v>
      </c>
      <c r="G51" s="167"/>
      <c r="H51" s="68">
        <v>2</v>
      </c>
      <c r="I51" s="68">
        <v>3</v>
      </c>
      <c r="J51" s="69"/>
      <c r="K51" s="104" t="s">
        <v>122</v>
      </c>
      <c r="L51" s="38"/>
      <c r="N51" s="38"/>
      <c r="O51" s="54" t="s">
        <v>127</v>
      </c>
      <c r="P51" s="67">
        <v>1</v>
      </c>
      <c r="Q51" s="68">
        <v>2</v>
      </c>
      <c r="R51" s="68">
        <v>3</v>
      </c>
      <c r="S51" s="167" t="s">
        <v>128</v>
      </c>
      <c r="T51" s="167"/>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T3:W3"/>
    <mergeCell ref="B4:D4"/>
    <mergeCell ref="O4:Q4"/>
    <mergeCell ref="B3:D3"/>
    <mergeCell ref="G3:J3"/>
    <mergeCell ref="O3:Q3"/>
    <mergeCell ref="C6:F6"/>
    <mergeCell ref="G6:J6"/>
    <mergeCell ref="P6:S6"/>
    <mergeCell ref="T6:W6"/>
    <mergeCell ref="B10:B11"/>
    <mergeCell ref="O10:O11"/>
    <mergeCell ref="T19:W19"/>
    <mergeCell ref="F12:G12"/>
    <mergeCell ref="S12:T12"/>
    <mergeCell ref="B16:D16"/>
    <mergeCell ref="G16:J16"/>
    <mergeCell ref="O16:Q16"/>
    <mergeCell ref="T16:W16"/>
    <mergeCell ref="B17:D17"/>
    <mergeCell ref="O17:Q17"/>
    <mergeCell ref="C19:F19"/>
    <mergeCell ref="G19:J19"/>
    <mergeCell ref="P19:S19"/>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B36:B37"/>
    <mergeCell ref="O36:O37"/>
    <mergeCell ref="F38:G38"/>
    <mergeCell ref="S38:T38"/>
    <mergeCell ref="B42:D42"/>
    <mergeCell ref="G42:J42"/>
    <mergeCell ref="O42:Q42"/>
    <mergeCell ref="T42:W42"/>
    <mergeCell ref="B49:B50"/>
    <mergeCell ref="O49:O50"/>
    <mergeCell ref="F51:G51"/>
    <mergeCell ref="S51:T51"/>
    <mergeCell ref="B43:D43"/>
    <mergeCell ref="O43:Q43"/>
    <mergeCell ref="C45:F45"/>
    <mergeCell ref="G45:J45"/>
    <mergeCell ref="P45:S45"/>
    <mergeCell ref="T45:W45"/>
  </mergeCells>
  <pageMargins left="0.7" right="0.7" top="0.75" bottom="0.75" header="0.3" footer="0.3"/>
  <pageSetup orientation="portrait" horizontalDpi="0" verticalDpi="0" copies="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B829-9CA3-4E96-9656-82AFA04AFBC7}">
  <sheetPr codeName="Sheet11"/>
  <dimension ref="C1:AM3"/>
  <sheetViews>
    <sheetView workbookViewId="0">
      <selection activeCell="C3" sqref="C3"/>
    </sheetView>
  </sheetViews>
  <sheetFormatPr defaultRowHeight="15"/>
  <sheetData>
    <row r="1" spans="3:39">
      <c r="C1" s="1"/>
      <c r="D1" s="1"/>
      <c r="E1" s="1"/>
      <c r="F1" s="1"/>
      <c r="G1" s="154" t="s">
        <v>9</v>
      </c>
      <c r="H1" s="151"/>
      <c r="I1" s="151"/>
      <c r="J1" s="151"/>
      <c r="K1" s="151"/>
      <c r="L1" s="151"/>
      <c r="M1" s="151"/>
      <c r="N1" s="151"/>
      <c r="O1" s="151"/>
      <c r="P1" s="155"/>
      <c r="Q1" s="153" t="s">
        <v>1</v>
      </c>
      <c r="R1" s="138"/>
      <c r="S1" s="138"/>
      <c r="T1" s="138"/>
      <c r="U1" s="138"/>
      <c r="V1" s="138"/>
      <c r="W1" s="138"/>
      <c r="X1" s="138"/>
      <c r="Y1" s="138"/>
      <c r="Z1" s="138"/>
      <c r="AA1" s="138"/>
      <c r="AB1" s="138"/>
      <c r="AC1" s="138"/>
      <c r="AD1" s="156"/>
      <c r="AE1" s="153" t="s">
        <v>2</v>
      </c>
      <c r="AF1" s="138"/>
      <c r="AG1" s="138"/>
      <c r="AH1" s="138"/>
      <c r="AI1" s="156"/>
      <c r="AJ1" s="4"/>
      <c r="AL1" s="1"/>
      <c r="AM1" s="1"/>
    </row>
    <row r="2" spans="3:39" ht="15.75" thickBot="1">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 t="shared" ref="AL3" si="0">SUM(hHatch * SUM($H3:$K3), hHatch * SUM($S3:$V3), hRocket23 * SUM($J3:$K3), hRocket23 * SUM($U3:$V3), hSandstorm * SUM($H3:$K3), hPenalty * $AH3, hDropHatch * $AI3,hTippedBroke * SUM($AE3:$AF3), IF($E3 &lt; hNoAutoThreshold, hNoAuto), IF($AG3 &gt; hFloorHatchThreshold, hFloorHatch))</f>
        <v>-1.5</v>
      </c>
      <c r="AM3">
        <f t="shared" ref="AM3" si="1">SUM(cCargo * SUM($M3:$P3), cCargo *SUM( $X3:$AA3), cRocket23 * SUM($O3:$P3, $Z3:$AA3),cSandstorm * SUM($M3:$P3), cPenalty * $AH3, cTippedBroke * SUM($AE3:$AF3), IF($E3 &lt; cNoAutoThreshold, cNoAuto, 0))</f>
        <v>-1</v>
      </c>
    </row>
  </sheetData>
  <mergeCells count="3">
    <mergeCell ref="G1:P1"/>
    <mergeCell ref="Q1:AD1"/>
    <mergeCell ref="AE1:AI1"/>
  </mergeCells>
  <conditionalFormatting sqref="C3:AM3">
    <cfRule type="expression" dxfId="2" priority="3">
      <formula>IF($AJ3=0,TRUE,FALSE)</formula>
    </cfRule>
  </conditionalFormatting>
  <conditionalFormatting sqref="F1:F3">
    <cfRule type="cellIs" dxfId="1" priority="1" operator="greaterThan">
      <formula>$AQ$20</formula>
    </cfRule>
    <cfRule type="cellIs" dxfId="0" priority="2" operator="greaterThan">
      <formula>$AQ$20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35</vt:i4>
      </vt:variant>
    </vt:vector>
  </HeadingPairs>
  <TitlesOfParts>
    <vt:vector size="46"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Template Formulas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2019-03-16T22:20:58Z</dcterms:modified>
</cp:coreProperties>
</file>