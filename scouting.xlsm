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248130A1-B92C-4F4F-AF85-AA7EE168052D}" xr6:coauthVersionLast="41" xr6:coauthVersionMax="41" xr10:uidLastSave="{00000000-0000-0000-0000-000000000000}"/>
  <bookViews>
    <workbookView xWindow="-120" yWindow="-120" windowWidth="29040" windowHeight="16440" tabRatio="803" firstSheet="2" activeTab="3" xr2:uid="{86C8F276-7FB8-4C6C-A12A-5132E1768D42}"/>
  </bookViews>
  <sheets>
    <sheet name="Raw Data" sheetId="2" r:id="rId1"/>
    <sheet name="Next Match Alliances" sheetId="6" r:id="rId2"/>
    <sheet name="Abbreviated NMA" sheetId="13" r:id="rId3"/>
    <sheet name="Scouting Output" sheetId="1" r:id="rId4"/>
    <sheet name="pick list" sheetId="12" r:id="rId5"/>
    <sheet name="Data Spitter" sheetId="8" r:id="rId6"/>
    <sheet name="EVENT DATA" sheetId="5" r:id="rId7"/>
    <sheet name="Data Validation" sheetId="3" r:id="rId8"/>
    <sheet name="How to use this spreadsheet" sheetId="11" r:id="rId9"/>
    <sheet name="Scouting Sheets" sheetId="7" r:id="rId10"/>
    <sheet name="Template Formulas" sheetId="14" r:id="rId11"/>
  </sheets>
  <functionGroups builtInGroupCount="19"/>
  <externalReferences>
    <externalReference r:id="rId12"/>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3" i="14" l="1"/>
  <c r="AI3" i="14"/>
  <c r="AH3" i="14"/>
  <c r="AM3" i="14" s="1"/>
  <c r="AG3" i="14"/>
  <c r="AF3" i="14"/>
  <c r="AE3" i="14"/>
  <c r="AD3" i="14"/>
  <c r="AC3" i="14"/>
  <c r="AB3" i="14"/>
  <c r="AA3" i="14"/>
  <c r="Z3" i="14"/>
  <c r="Y3" i="14"/>
  <c r="X3" i="14"/>
  <c r="W3" i="14" a="1"/>
  <c r="W3" i="14" s="1"/>
  <c r="V3" i="14"/>
  <c r="U3" i="14"/>
  <c r="T3" i="14"/>
  <c r="S3" i="14"/>
  <c r="R3" i="14" a="1"/>
  <c r="R3" i="14" s="1"/>
  <c r="Q3" i="14" a="1"/>
  <c r="Q3" i="14" s="1"/>
  <c r="P3" i="14"/>
  <c r="O3" i="14"/>
  <c r="N3" i="14"/>
  <c r="M3" i="14"/>
  <c r="L3" i="14" a="1"/>
  <c r="L3" i="14" s="1"/>
  <c r="K3" i="14"/>
  <c r="J3" i="14"/>
  <c r="I3" i="14"/>
  <c r="H3" i="14"/>
  <c r="G3" i="14" a="1"/>
  <c r="G3" i="14" s="1"/>
  <c r="F3" i="14" a="1"/>
  <c r="F3" i="14" s="1"/>
  <c r="E3" i="14"/>
  <c r="D3" i="14"/>
  <c r="B19" i="6"/>
  <c r="B18" i="6"/>
  <c r="B17" i="6"/>
  <c r="B11" i="6"/>
  <c r="B10" i="6"/>
  <c r="C3" i="14" l="1"/>
  <c r="AK3" i="14" s="1"/>
  <c r="AL3" i="14"/>
  <c r="A12" i="13"/>
  <c r="A11" i="13"/>
  <c r="A10" i="13"/>
  <c r="A6" i="13"/>
  <c r="A5" i="13"/>
  <c r="A4" i="13"/>
  <c r="B9" i="6" l="1"/>
  <c r="D2" i="6"/>
  <c r="T3" i="12"/>
  <c r="T4" i="12"/>
  <c r="T5" i="12"/>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U41" i="12"/>
  <c r="U40" i="12"/>
  <c r="U39" i="12"/>
  <c r="U38" i="12"/>
  <c r="U37" i="12"/>
  <c r="U36" i="12"/>
  <c r="U35" i="12"/>
  <c r="U34" i="12"/>
  <c r="U33" i="12"/>
  <c r="U32" i="12"/>
  <c r="U31" i="12"/>
  <c r="U30" i="12"/>
  <c r="U29" i="12"/>
  <c r="U28" i="12"/>
  <c r="U27" i="12"/>
  <c r="U26" i="12"/>
  <c r="U25" i="12"/>
  <c r="U24" i="12"/>
  <c r="U23" i="12"/>
  <c r="U22" i="12"/>
  <c r="U21" i="12"/>
  <c r="U20" i="12"/>
  <c r="U19" i="12"/>
  <c r="U18" i="12"/>
  <c r="U17" i="12"/>
  <c r="U16" i="12"/>
  <c r="U15" i="12"/>
  <c r="U14" i="12"/>
  <c r="U13" i="12"/>
  <c r="U12" i="12"/>
  <c r="U11" i="12"/>
  <c r="U10" i="12"/>
  <c r="U9" i="12"/>
  <c r="U8" i="12"/>
  <c r="U7" i="12"/>
  <c r="U6" i="12"/>
  <c r="U5" i="12"/>
  <c r="U4" i="12"/>
  <c r="U3" i="12"/>
  <c r="U2" i="12"/>
  <c r="T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2" i="12"/>
  <c r="L2" i="12"/>
  <c r="B9" i="13"/>
  <c r="O9" i="13"/>
  <c r="P9" i="13"/>
  <c r="N9" i="13"/>
  <c r="M9" i="13"/>
  <c r="D9" i="13"/>
  <c r="E9" i="13"/>
  <c r="F9" i="13"/>
  <c r="G9" i="13"/>
  <c r="H9" i="13"/>
  <c r="I9" i="13"/>
  <c r="J9" i="13"/>
  <c r="K9" i="13"/>
  <c r="L9" i="13"/>
  <c r="C9" i="13"/>
  <c r="L9" i="12" l="1"/>
  <c r="L8" i="12"/>
  <c r="L5" i="12"/>
  <c r="L38" i="12"/>
  <c r="L39" i="12"/>
  <c r="L21" i="12"/>
  <c r="L37" i="12"/>
  <c r="L20" i="12"/>
  <c r="L16" i="12"/>
  <c r="L7" i="12"/>
  <c r="L19" i="12"/>
  <c r="L31" i="12"/>
  <c r="L34" i="12"/>
  <c r="L30" i="12"/>
  <c r="L25" i="12"/>
  <c r="L17" i="12"/>
  <c r="L15" i="12"/>
  <c r="L3" i="12"/>
  <c r="L4" i="12"/>
  <c r="L11" i="12"/>
  <c r="L28" i="12"/>
  <c r="L32" i="12"/>
  <c r="L36" i="12"/>
  <c r="L18" i="12"/>
  <c r="L10" i="12"/>
  <c r="L27" i="12"/>
  <c r="L24" i="12"/>
  <c r="L22" i="12"/>
  <c r="L12" i="12"/>
  <c r="L29" i="12"/>
  <c r="L40" i="12"/>
  <c r="L33" i="12"/>
  <c r="L6" i="12"/>
  <c r="L26" i="12"/>
  <c r="L13" i="12"/>
  <c r="L35" i="12"/>
  <c r="L23" i="12"/>
  <c r="L41" i="12"/>
  <c r="L14" i="12"/>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3" i="1"/>
  <c r="K10" i="13" l="1"/>
  <c r="K11" i="13"/>
  <c r="K6" i="13"/>
  <c r="K5" i="13"/>
  <c r="K12" i="13"/>
  <c r="K4" i="13"/>
  <c r="E1" i="12"/>
  <c r="D1" i="12"/>
  <c r="B12" i="12"/>
  <c r="B3" i="12"/>
  <c r="B6" i="12"/>
  <c r="B15" i="12"/>
  <c r="B39" i="12"/>
  <c r="B24" i="12"/>
  <c r="B37" i="12"/>
  <c r="B23" i="12"/>
  <c r="B28" i="12"/>
  <c r="B2" i="12"/>
  <c r="B9" i="12"/>
  <c r="B13" i="12"/>
  <c r="B36" i="12"/>
  <c r="B40" i="12"/>
  <c r="B29" i="12"/>
  <c r="B18" i="12"/>
  <c r="B11" i="12"/>
  <c r="B4" i="12"/>
  <c r="B25" i="12"/>
  <c r="B27" i="12"/>
  <c r="B20" i="12"/>
  <c r="B14" i="12"/>
  <c r="B5" i="12"/>
  <c r="B32" i="12"/>
  <c r="B30" i="12"/>
  <c r="B7" i="12"/>
  <c r="B34" i="12"/>
  <c r="B26" i="12"/>
  <c r="B31" i="12"/>
  <c r="B22" i="12"/>
  <c r="B8" i="12"/>
  <c r="B33" i="12"/>
  <c r="B17" i="12"/>
  <c r="B21" i="12"/>
  <c r="B16" i="12"/>
  <c r="B19" i="12"/>
  <c r="B41" i="12"/>
  <c r="B35" i="12"/>
  <c r="B38" i="12"/>
  <c r="B10" i="12"/>
  <c r="A3" i="12"/>
  <c r="A6" i="12"/>
  <c r="A15" i="12"/>
  <c r="A39" i="12"/>
  <c r="A24" i="12"/>
  <c r="A37" i="12"/>
  <c r="A23" i="12"/>
  <c r="A28" i="12"/>
  <c r="A2" i="12"/>
  <c r="A9" i="12"/>
  <c r="A13" i="12"/>
  <c r="A36" i="12"/>
  <c r="A40" i="12"/>
  <c r="A29" i="12"/>
  <c r="A18" i="12"/>
  <c r="A11" i="12"/>
  <c r="A4" i="12"/>
  <c r="A25" i="12"/>
  <c r="A27" i="12"/>
  <c r="A20" i="12"/>
  <c r="A14" i="12"/>
  <c r="A5" i="12"/>
  <c r="A32" i="12"/>
  <c r="A30" i="12"/>
  <c r="A7" i="12"/>
  <c r="A34" i="12"/>
  <c r="A26" i="12"/>
  <c r="A31" i="12"/>
  <c r="A22" i="12"/>
  <c r="A8" i="12"/>
  <c r="A33" i="12"/>
  <c r="A17" i="12"/>
  <c r="A21" i="12"/>
  <c r="A16" i="12"/>
  <c r="A19" i="12"/>
  <c r="A41" i="12"/>
  <c r="A35" i="12"/>
  <c r="A38" i="12"/>
  <c r="A10" i="12"/>
  <c r="A12" i="12"/>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3" i="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AJ42" i="1"/>
  <c r="AI42" i="1"/>
  <c r="AH42" i="1"/>
  <c r="AG42" i="1"/>
  <c r="AF42" i="1"/>
  <c r="AE42" i="1"/>
  <c r="AD42" i="1"/>
  <c r="AA42" i="1"/>
  <c r="Z42" i="1"/>
  <c r="Y42" i="1"/>
  <c r="X42" i="1"/>
  <c r="W42" i="1" a="1"/>
  <c r="W42" i="1" s="1"/>
  <c r="V42" i="1"/>
  <c r="U42" i="1"/>
  <c r="T42" i="1"/>
  <c r="S42" i="1"/>
  <c r="R42" i="1" a="1"/>
  <c r="R42" i="1" s="1"/>
  <c r="P42" i="1"/>
  <c r="O42" i="1"/>
  <c r="N42" i="1"/>
  <c r="M42" i="1"/>
  <c r="L42" i="1" a="1"/>
  <c r="L42" i="1" s="1"/>
  <c r="K42" i="1"/>
  <c r="J42" i="1"/>
  <c r="I42" i="1"/>
  <c r="H42" i="1"/>
  <c r="G42" i="1" a="1"/>
  <c r="G42" i="1" s="1"/>
  <c r="AJ41" i="1"/>
  <c r="AI41" i="1"/>
  <c r="AH41" i="1"/>
  <c r="AG41" i="1"/>
  <c r="AF41" i="1"/>
  <c r="AE41" i="1"/>
  <c r="AD41" i="1"/>
  <c r="AA41" i="1"/>
  <c r="Z41" i="1"/>
  <c r="Y41" i="1"/>
  <c r="X41" i="1"/>
  <c r="W41" i="1" a="1"/>
  <c r="W41" i="1" s="1"/>
  <c r="V41" i="1"/>
  <c r="U41" i="1"/>
  <c r="T41" i="1"/>
  <c r="S41" i="1"/>
  <c r="R41" i="1" a="1"/>
  <c r="R41" i="1" s="1"/>
  <c r="P41" i="1"/>
  <c r="O41" i="1"/>
  <c r="N41" i="1"/>
  <c r="M41" i="1"/>
  <c r="L41" i="1" a="1"/>
  <c r="L41" i="1" s="1"/>
  <c r="K41" i="1"/>
  <c r="J41" i="1"/>
  <c r="I41" i="1"/>
  <c r="H41" i="1"/>
  <c r="G41" i="1" a="1"/>
  <c r="G41" i="1" s="1"/>
  <c r="AJ40" i="1"/>
  <c r="AI40" i="1"/>
  <c r="AH40" i="1"/>
  <c r="AG40" i="1"/>
  <c r="AF40" i="1"/>
  <c r="AE40" i="1"/>
  <c r="AD40" i="1"/>
  <c r="AA40" i="1"/>
  <c r="Z40" i="1"/>
  <c r="Y40" i="1"/>
  <c r="X40" i="1"/>
  <c r="W40" i="1" a="1"/>
  <c r="W40" i="1" s="1"/>
  <c r="V40" i="1"/>
  <c r="U40" i="1"/>
  <c r="T40" i="1"/>
  <c r="S40" i="1"/>
  <c r="R40" i="1" a="1"/>
  <c r="R40" i="1" s="1"/>
  <c r="P40" i="1"/>
  <c r="O40" i="1"/>
  <c r="N40" i="1"/>
  <c r="M40" i="1"/>
  <c r="L40" i="1" a="1"/>
  <c r="L40" i="1" s="1"/>
  <c r="K40" i="1"/>
  <c r="J40" i="1"/>
  <c r="I40" i="1"/>
  <c r="H40" i="1"/>
  <c r="G40" i="1" a="1"/>
  <c r="G40" i="1" s="1"/>
  <c r="AJ39" i="1"/>
  <c r="AI39" i="1"/>
  <c r="AH39" i="1"/>
  <c r="AG39" i="1"/>
  <c r="AF39" i="1"/>
  <c r="AE39" i="1"/>
  <c r="AD39" i="1"/>
  <c r="AA39" i="1"/>
  <c r="Z39" i="1"/>
  <c r="Y39" i="1"/>
  <c r="X39" i="1"/>
  <c r="W39" i="1" a="1"/>
  <c r="W39" i="1" s="1"/>
  <c r="V39" i="1"/>
  <c r="U39" i="1"/>
  <c r="T39" i="1"/>
  <c r="S39" i="1"/>
  <c r="R39" i="1" a="1"/>
  <c r="R39" i="1" s="1"/>
  <c r="P39" i="1"/>
  <c r="O39" i="1"/>
  <c r="N39" i="1"/>
  <c r="M39" i="1"/>
  <c r="L39" i="1" a="1"/>
  <c r="L39" i="1" s="1"/>
  <c r="K39" i="1"/>
  <c r="J39" i="1"/>
  <c r="I39" i="1"/>
  <c r="H39" i="1"/>
  <c r="G39" i="1" a="1"/>
  <c r="G39" i="1" s="1"/>
  <c r="AJ38" i="1"/>
  <c r="AI38" i="1"/>
  <c r="AH38" i="1"/>
  <c r="AG38" i="1"/>
  <c r="AF38" i="1"/>
  <c r="AE38" i="1"/>
  <c r="AD38" i="1"/>
  <c r="AA38" i="1"/>
  <c r="Z38" i="1"/>
  <c r="Y38" i="1"/>
  <c r="X38" i="1"/>
  <c r="W38" i="1" a="1"/>
  <c r="W38" i="1" s="1"/>
  <c r="V38" i="1"/>
  <c r="U38" i="1"/>
  <c r="T38" i="1"/>
  <c r="S38" i="1"/>
  <c r="R38" i="1" a="1"/>
  <c r="R38" i="1" s="1"/>
  <c r="P38" i="1"/>
  <c r="O38" i="1"/>
  <c r="N38" i="1"/>
  <c r="M38" i="1"/>
  <c r="L38" i="1" a="1"/>
  <c r="L38" i="1" s="1"/>
  <c r="K38" i="1"/>
  <c r="J38" i="1"/>
  <c r="I38" i="1"/>
  <c r="H38" i="1"/>
  <c r="G38" i="1" a="1"/>
  <c r="G38" i="1" s="1"/>
  <c r="AJ37" i="1"/>
  <c r="AI37" i="1"/>
  <c r="AH37" i="1"/>
  <c r="AG37" i="1"/>
  <c r="AF37" i="1"/>
  <c r="AE37" i="1"/>
  <c r="AD37" i="1"/>
  <c r="AA37" i="1"/>
  <c r="Z37" i="1"/>
  <c r="Y37" i="1"/>
  <c r="X37" i="1"/>
  <c r="W37" i="1" a="1"/>
  <c r="W37" i="1" s="1"/>
  <c r="V37" i="1"/>
  <c r="U37" i="1"/>
  <c r="T37" i="1"/>
  <c r="S37" i="1"/>
  <c r="R37" i="1" a="1"/>
  <c r="R37" i="1" s="1"/>
  <c r="P37" i="1"/>
  <c r="O37" i="1"/>
  <c r="N37" i="1"/>
  <c r="M37" i="1"/>
  <c r="L37" i="1" a="1"/>
  <c r="L37" i="1" s="1"/>
  <c r="K37" i="1"/>
  <c r="J37" i="1"/>
  <c r="I37" i="1"/>
  <c r="H37" i="1"/>
  <c r="G37" i="1" a="1"/>
  <c r="G37" i="1" s="1"/>
  <c r="AJ36" i="1"/>
  <c r="AI36" i="1"/>
  <c r="AH36" i="1"/>
  <c r="AG36" i="1"/>
  <c r="AF36" i="1"/>
  <c r="AE36" i="1"/>
  <c r="AD36" i="1"/>
  <c r="AA36" i="1"/>
  <c r="Z36" i="1"/>
  <c r="Y36" i="1"/>
  <c r="X36" i="1"/>
  <c r="W36" i="1" a="1"/>
  <c r="W36" i="1" s="1"/>
  <c r="V36" i="1"/>
  <c r="U36" i="1"/>
  <c r="T36" i="1"/>
  <c r="S36" i="1"/>
  <c r="R36" i="1" a="1"/>
  <c r="R36" i="1" s="1"/>
  <c r="P36" i="1"/>
  <c r="O36" i="1"/>
  <c r="N36" i="1"/>
  <c r="M36" i="1"/>
  <c r="L36" i="1" a="1"/>
  <c r="L36" i="1" s="1"/>
  <c r="K36" i="1"/>
  <c r="J36" i="1"/>
  <c r="I36" i="1"/>
  <c r="H36" i="1"/>
  <c r="G36" i="1" a="1"/>
  <c r="G36" i="1" s="1"/>
  <c r="AJ35" i="1"/>
  <c r="AI35" i="1"/>
  <c r="AH35" i="1"/>
  <c r="AG35" i="1"/>
  <c r="AF35" i="1"/>
  <c r="AE35" i="1"/>
  <c r="AD35" i="1"/>
  <c r="AA35" i="1"/>
  <c r="Z35" i="1"/>
  <c r="Y35" i="1"/>
  <c r="X35" i="1"/>
  <c r="W35" i="1" a="1"/>
  <c r="W35" i="1" s="1"/>
  <c r="V35" i="1"/>
  <c r="U35" i="1"/>
  <c r="T35" i="1"/>
  <c r="S35" i="1"/>
  <c r="R35" i="1" a="1"/>
  <c r="R35" i="1" s="1"/>
  <c r="P35" i="1"/>
  <c r="O35" i="1"/>
  <c r="N35" i="1"/>
  <c r="M35" i="1"/>
  <c r="L35" i="1" a="1"/>
  <c r="L35" i="1" s="1"/>
  <c r="K35" i="1"/>
  <c r="J35" i="1"/>
  <c r="I35" i="1"/>
  <c r="H35" i="1"/>
  <c r="G35" i="1" a="1"/>
  <c r="G35" i="1" s="1"/>
  <c r="AJ34" i="1"/>
  <c r="AI34" i="1"/>
  <c r="AH34" i="1"/>
  <c r="AG34" i="1"/>
  <c r="AF34" i="1"/>
  <c r="AE34" i="1"/>
  <c r="AD34" i="1"/>
  <c r="AA34" i="1"/>
  <c r="Z34" i="1"/>
  <c r="Y34" i="1"/>
  <c r="X34" i="1"/>
  <c r="W34" i="1" a="1"/>
  <c r="W34" i="1" s="1"/>
  <c r="V34" i="1"/>
  <c r="U34" i="1"/>
  <c r="T34" i="1"/>
  <c r="S34" i="1"/>
  <c r="R34" i="1" a="1"/>
  <c r="R34" i="1" s="1"/>
  <c r="P34" i="1"/>
  <c r="O34" i="1"/>
  <c r="N34" i="1"/>
  <c r="M34" i="1"/>
  <c r="L34" i="1" a="1"/>
  <c r="L34" i="1" s="1"/>
  <c r="K34" i="1"/>
  <c r="J34" i="1"/>
  <c r="I34" i="1"/>
  <c r="H34" i="1"/>
  <c r="G34" i="1" a="1"/>
  <c r="G34" i="1" s="1"/>
  <c r="AJ33" i="1"/>
  <c r="AI33" i="1"/>
  <c r="AH33" i="1"/>
  <c r="AG33" i="1"/>
  <c r="AF33" i="1"/>
  <c r="AE33" i="1"/>
  <c r="AD33" i="1"/>
  <c r="AA33" i="1"/>
  <c r="Z33" i="1"/>
  <c r="Y33" i="1"/>
  <c r="X33" i="1"/>
  <c r="W33" i="1" a="1"/>
  <c r="W33" i="1" s="1"/>
  <c r="V33" i="1"/>
  <c r="U33" i="1"/>
  <c r="T33" i="1"/>
  <c r="S33" i="1"/>
  <c r="R33" i="1" a="1"/>
  <c r="R33" i="1" s="1"/>
  <c r="P33" i="1"/>
  <c r="O33" i="1"/>
  <c r="N33" i="1"/>
  <c r="M33" i="1"/>
  <c r="L33" i="1" a="1"/>
  <c r="L33" i="1" s="1"/>
  <c r="K33" i="1"/>
  <c r="J33" i="1"/>
  <c r="I33" i="1"/>
  <c r="H33" i="1"/>
  <c r="G33" i="1" a="1"/>
  <c r="G33" i="1" s="1"/>
  <c r="AJ32" i="1"/>
  <c r="AI32" i="1"/>
  <c r="AH32" i="1"/>
  <c r="AG32" i="1"/>
  <c r="AF32" i="1"/>
  <c r="AE32" i="1"/>
  <c r="AD32" i="1"/>
  <c r="AA32" i="1"/>
  <c r="Z32" i="1"/>
  <c r="Y32" i="1"/>
  <c r="X32" i="1"/>
  <c r="W32" i="1" a="1"/>
  <c r="W32" i="1" s="1"/>
  <c r="V32" i="1"/>
  <c r="U32" i="1"/>
  <c r="T32" i="1"/>
  <c r="S32" i="1"/>
  <c r="R32" i="1" a="1"/>
  <c r="R32" i="1" s="1"/>
  <c r="P32" i="1"/>
  <c r="O32" i="1"/>
  <c r="N32" i="1"/>
  <c r="M32" i="1"/>
  <c r="L32" i="1" a="1"/>
  <c r="L32" i="1" s="1"/>
  <c r="K32" i="1"/>
  <c r="J32" i="1"/>
  <c r="I32" i="1"/>
  <c r="H32" i="1"/>
  <c r="G32" i="1" a="1"/>
  <c r="G32" i="1" s="1"/>
  <c r="AJ31" i="1"/>
  <c r="AI31" i="1"/>
  <c r="AH31" i="1"/>
  <c r="AG31" i="1"/>
  <c r="AF31" i="1"/>
  <c r="AE31" i="1"/>
  <c r="AD31" i="1"/>
  <c r="AA31" i="1"/>
  <c r="Z31" i="1"/>
  <c r="Y31" i="1"/>
  <c r="X31" i="1"/>
  <c r="W31" i="1" a="1"/>
  <c r="W31" i="1" s="1"/>
  <c r="V31" i="1"/>
  <c r="U31" i="1"/>
  <c r="T31" i="1"/>
  <c r="S31" i="1"/>
  <c r="R31" i="1" a="1"/>
  <c r="R31" i="1" s="1"/>
  <c r="P31" i="1"/>
  <c r="O31" i="1"/>
  <c r="N31" i="1"/>
  <c r="M31" i="1"/>
  <c r="L31" i="1" a="1"/>
  <c r="L31" i="1" s="1"/>
  <c r="K31" i="1"/>
  <c r="J31" i="1"/>
  <c r="I31" i="1"/>
  <c r="H31" i="1"/>
  <c r="G31" i="1" a="1"/>
  <c r="G31" i="1" s="1"/>
  <c r="AJ30" i="1"/>
  <c r="AI30" i="1"/>
  <c r="AH30" i="1"/>
  <c r="AG30" i="1"/>
  <c r="AF30" i="1"/>
  <c r="AE30" i="1"/>
  <c r="AD30" i="1"/>
  <c r="AA30" i="1"/>
  <c r="Z30" i="1"/>
  <c r="Y30" i="1"/>
  <c r="X30" i="1"/>
  <c r="W30" i="1" a="1"/>
  <c r="W30" i="1" s="1"/>
  <c r="V30" i="1"/>
  <c r="U30" i="1"/>
  <c r="T30" i="1"/>
  <c r="S30" i="1"/>
  <c r="R30" i="1" a="1"/>
  <c r="R30" i="1" s="1"/>
  <c r="P30" i="1"/>
  <c r="O30" i="1"/>
  <c r="N30" i="1"/>
  <c r="M30" i="1"/>
  <c r="L30" i="1" a="1"/>
  <c r="L30" i="1" s="1"/>
  <c r="K30" i="1"/>
  <c r="J30" i="1"/>
  <c r="I30" i="1"/>
  <c r="H30" i="1"/>
  <c r="G30" i="1" a="1"/>
  <c r="G30" i="1" s="1"/>
  <c r="AJ29" i="1"/>
  <c r="AI29" i="1"/>
  <c r="AH29" i="1"/>
  <c r="AG29" i="1"/>
  <c r="AF29" i="1"/>
  <c r="AE29" i="1"/>
  <c r="AD29" i="1"/>
  <c r="AA29" i="1"/>
  <c r="Z29" i="1"/>
  <c r="Y29" i="1"/>
  <c r="X29" i="1"/>
  <c r="W29" i="1" a="1"/>
  <c r="W29" i="1" s="1"/>
  <c r="V29" i="1"/>
  <c r="U29" i="1"/>
  <c r="T29" i="1"/>
  <c r="S29" i="1"/>
  <c r="R29" i="1" a="1"/>
  <c r="R29" i="1" s="1"/>
  <c r="P29" i="1"/>
  <c r="O29" i="1"/>
  <c r="N29" i="1"/>
  <c r="M29" i="1"/>
  <c r="L29" i="1" a="1"/>
  <c r="L29" i="1" s="1"/>
  <c r="K29" i="1"/>
  <c r="J29" i="1"/>
  <c r="I29" i="1"/>
  <c r="H29" i="1"/>
  <c r="G29" i="1" a="1"/>
  <c r="G29" i="1" s="1"/>
  <c r="AJ28" i="1"/>
  <c r="AI28" i="1"/>
  <c r="AH28" i="1"/>
  <c r="AG28" i="1"/>
  <c r="AF28" i="1"/>
  <c r="AE28" i="1"/>
  <c r="AD28" i="1"/>
  <c r="AA28" i="1"/>
  <c r="Z28" i="1"/>
  <c r="Y28" i="1"/>
  <c r="X28" i="1"/>
  <c r="W28" i="1" a="1"/>
  <c r="W28" i="1" s="1"/>
  <c r="V28" i="1"/>
  <c r="U28" i="1"/>
  <c r="T28" i="1"/>
  <c r="S28" i="1"/>
  <c r="R28" i="1" a="1"/>
  <c r="R28" i="1" s="1"/>
  <c r="P28" i="1"/>
  <c r="O28" i="1"/>
  <c r="N28" i="1"/>
  <c r="M28" i="1"/>
  <c r="L28" i="1" a="1"/>
  <c r="L28" i="1" s="1"/>
  <c r="K28" i="1"/>
  <c r="J28" i="1"/>
  <c r="I28" i="1"/>
  <c r="H28" i="1"/>
  <c r="G28" i="1" a="1"/>
  <c r="G28" i="1" s="1"/>
  <c r="AJ27" i="1"/>
  <c r="AI27" i="1"/>
  <c r="AH27" i="1"/>
  <c r="AG27" i="1"/>
  <c r="AF27" i="1"/>
  <c r="AE27" i="1"/>
  <c r="AD27" i="1"/>
  <c r="AA27" i="1"/>
  <c r="Z27" i="1"/>
  <c r="Y27" i="1"/>
  <c r="X27" i="1"/>
  <c r="W27" i="1" a="1"/>
  <c r="W27" i="1" s="1"/>
  <c r="V27" i="1"/>
  <c r="U27" i="1"/>
  <c r="T27" i="1"/>
  <c r="S27" i="1"/>
  <c r="R27" i="1" a="1"/>
  <c r="R27" i="1" s="1"/>
  <c r="P27" i="1"/>
  <c r="O27" i="1"/>
  <c r="N27" i="1"/>
  <c r="M27" i="1"/>
  <c r="L27" i="1" a="1"/>
  <c r="L27" i="1" s="1"/>
  <c r="K27" i="1"/>
  <c r="J27" i="1"/>
  <c r="I27" i="1"/>
  <c r="H27" i="1"/>
  <c r="G27" i="1" a="1"/>
  <c r="G27" i="1" s="1"/>
  <c r="AJ26" i="1"/>
  <c r="AI26" i="1"/>
  <c r="AH26" i="1"/>
  <c r="AG26" i="1"/>
  <c r="AF26" i="1"/>
  <c r="AE26" i="1"/>
  <c r="AD26" i="1"/>
  <c r="AA26" i="1"/>
  <c r="Z26" i="1"/>
  <c r="Y26" i="1"/>
  <c r="X26" i="1"/>
  <c r="W26" i="1" a="1"/>
  <c r="W26" i="1" s="1"/>
  <c r="V26" i="1"/>
  <c r="U26" i="1"/>
  <c r="T26" i="1"/>
  <c r="S26" i="1"/>
  <c r="R26" i="1" a="1"/>
  <c r="R26" i="1" s="1"/>
  <c r="P26" i="1"/>
  <c r="O26" i="1"/>
  <c r="N26" i="1"/>
  <c r="M26" i="1"/>
  <c r="L26" i="1" a="1"/>
  <c r="L26" i="1" s="1"/>
  <c r="K26" i="1"/>
  <c r="J26" i="1"/>
  <c r="I26" i="1"/>
  <c r="H26" i="1"/>
  <c r="G26" i="1" a="1"/>
  <c r="G26" i="1" s="1"/>
  <c r="AJ25" i="1"/>
  <c r="AI25" i="1"/>
  <c r="AH25" i="1"/>
  <c r="AG25" i="1"/>
  <c r="AF25" i="1"/>
  <c r="AE25" i="1"/>
  <c r="AD25" i="1"/>
  <c r="AA25" i="1"/>
  <c r="Z25" i="1"/>
  <c r="Y25" i="1"/>
  <c r="X25" i="1"/>
  <c r="W25" i="1" a="1"/>
  <c r="W25" i="1" s="1"/>
  <c r="V25" i="1"/>
  <c r="U25" i="1"/>
  <c r="T25" i="1"/>
  <c r="S25" i="1"/>
  <c r="R25" i="1" a="1"/>
  <c r="R25" i="1" s="1"/>
  <c r="P25" i="1"/>
  <c r="O25" i="1"/>
  <c r="N25" i="1"/>
  <c r="M25" i="1"/>
  <c r="L25" i="1" a="1"/>
  <c r="L25" i="1" s="1"/>
  <c r="K25" i="1"/>
  <c r="J25" i="1"/>
  <c r="I25" i="1"/>
  <c r="H25" i="1"/>
  <c r="G25" i="1" a="1"/>
  <c r="G25" i="1" s="1"/>
  <c r="AJ24" i="1"/>
  <c r="AI24" i="1"/>
  <c r="AH24" i="1"/>
  <c r="AG24" i="1"/>
  <c r="AF24" i="1"/>
  <c r="AE24" i="1"/>
  <c r="AD24" i="1"/>
  <c r="AA24" i="1"/>
  <c r="Z24" i="1"/>
  <c r="Y24" i="1"/>
  <c r="X24" i="1"/>
  <c r="W24" i="1" a="1"/>
  <c r="W24" i="1" s="1"/>
  <c r="V24" i="1"/>
  <c r="U24" i="1"/>
  <c r="T24" i="1"/>
  <c r="S24" i="1"/>
  <c r="R24" i="1" a="1"/>
  <c r="R24" i="1" s="1"/>
  <c r="P24" i="1"/>
  <c r="O24" i="1"/>
  <c r="N24" i="1"/>
  <c r="M24" i="1"/>
  <c r="L24" i="1" a="1"/>
  <c r="L24" i="1" s="1"/>
  <c r="K24" i="1"/>
  <c r="J24" i="1"/>
  <c r="I24" i="1"/>
  <c r="H24" i="1"/>
  <c r="G24" i="1" a="1"/>
  <c r="G24" i="1" s="1"/>
  <c r="AJ23" i="1"/>
  <c r="AI23" i="1"/>
  <c r="AH23" i="1"/>
  <c r="AG23" i="1"/>
  <c r="AF23" i="1"/>
  <c r="AE23" i="1"/>
  <c r="AD23" i="1"/>
  <c r="AA23" i="1"/>
  <c r="Z23" i="1"/>
  <c r="Y23" i="1"/>
  <c r="X23" i="1"/>
  <c r="W23" i="1" a="1"/>
  <c r="W23" i="1" s="1"/>
  <c r="V23" i="1"/>
  <c r="U23" i="1"/>
  <c r="T23" i="1"/>
  <c r="S23" i="1"/>
  <c r="R23" i="1" a="1"/>
  <c r="R23" i="1" s="1"/>
  <c r="P23" i="1"/>
  <c r="O23" i="1"/>
  <c r="N23" i="1"/>
  <c r="M23" i="1"/>
  <c r="L23" i="1" a="1"/>
  <c r="L23" i="1" s="1"/>
  <c r="K23" i="1"/>
  <c r="J23" i="1"/>
  <c r="I23" i="1"/>
  <c r="H23" i="1"/>
  <c r="G23" i="1" a="1"/>
  <c r="G23" i="1" s="1"/>
  <c r="AJ22" i="1"/>
  <c r="AI22" i="1"/>
  <c r="AH22" i="1"/>
  <c r="AG22" i="1"/>
  <c r="AF22" i="1"/>
  <c r="AE22" i="1"/>
  <c r="AD22" i="1"/>
  <c r="AA22" i="1"/>
  <c r="Z22" i="1"/>
  <c r="Y22" i="1"/>
  <c r="X22" i="1"/>
  <c r="W22" i="1" a="1"/>
  <c r="W22" i="1" s="1"/>
  <c r="V22" i="1"/>
  <c r="U22" i="1"/>
  <c r="T22" i="1"/>
  <c r="S22" i="1"/>
  <c r="R22" i="1" a="1"/>
  <c r="R22" i="1" s="1"/>
  <c r="P22" i="1"/>
  <c r="O22" i="1"/>
  <c r="N22" i="1"/>
  <c r="M22" i="1"/>
  <c r="L22" i="1" a="1"/>
  <c r="L22" i="1" s="1"/>
  <c r="K22" i="1"/>
  <c r="J22" i="1"/>
  <c r="I22" i="1"/>
  <c r="H22" i="1"/>
  <c r="G22" i="1" a="1"/>
  <c r="G22" i="1" s="1"/>
  <c r="AJ21" i="1"/>
  <c r="AI21" i="1"/>
  <c r="AH21" i="1"/>
  <c r="AG21" i="1"/>
  <c r="AF21" i="1"/>
  <c r="AE21" i="1"/>
  <c r="AD21" i="1"/>
  <c r="AA21" i="1"/>
  <c r="Z21" i="1"/>
  <c r="Y21" i="1"/>
  <c r="X21" i="1"/>
  <c r="W21" i="1" a="1"/>
  <c r="W21" i="1" s="1"/>
  <c r="V21" i="1"/>
  <c r="U21" i="1"/>
  <c r="T21" i="1"/>
  <c r="S21" i="1"/>
  <c r="R21" i="1" a="1"/>
  <c r="R21" i="1" s="1"/>
  <c r="P21" i="1"/>
  <c r="O21" i="1"/>
  <c r="N21" i="1"/>
  <c r="M21" i="1"/>
  <c r="L21" i="1" a="1"/>
  <c r="L21" i="1" s="1"/>
  <c r="K21" i="1"/>
  <c r="J21" i="1"/>
  <c r="I21" i="1"/>
  <c r="H21" i="1"/>
  <c r="G21" i="1" a="1"/>
  <c r="G21" i="1" s="1"/>
  <c r="AJ20" i="1"/>
  <c r="AI20" i="1"/>
  <c r="AH20" i="1"/>
  <c r="AG20" i="1"/>
  <c r="AF20" i="1"/>
  <c r="AE20" i="1"/>
  <c r="AD20" i="1"/>
  <c r="AA20" i="1"/>
  <c r="Z20" i="1"/>
  <c r="Y20" i="1"/>
  <c r="X20" i="1"/>
  <c r="W20" i="1" a="1"/>
  <c r="W20" i="1" s="1"/>
  <c r="V20" i="1"/>
  <c r="U20" i="1"/>
  <c r="T20" i="1"/>
  <c r="S20" i="1"/>
  <c r="R20" i="1" a="1"/>
  <c r="R20" i="1" s="1"/>
  <c r="P20" i="1"/>
  <c r="O20" i="1"/>
  <c r="N20" i="1"/>
  <c r="M20" i="1"/>
  <c r="L20" i="1" a="1"/>
  <c r="L20" i="1" s="1"/>
  <c r="K20" i="1"/>
  <c r="J20" i="1"/>
  <c r="I20" i="1"/>
  <c r="H20" i="1"/>
  <c r="G20" i="1" a="1"/>
  <c r="G20" i="1" s="1"/>
  <c r="AJ19" i="1"/>
  <c r="AI19" i="1"/>
  <c r="AH19" i="1"/>
  <c r="AG19" i="1"/>
  <c r="AF19" i="1"/>
  <c r="AE19" i="1"/>
  <c r="AD19" i="1"/>
  <c r="AA19" i="1"/>
  <c r="Z19" i="1"/>
  <c r="Y19" i="1"/>
  <c r="X19" i="1"/>
  <c r="W19" i="1" a="1"/>
  <c r="W19" i="1" s="1"/>
  <c r="V19" i="1"/>
  <c r="U19" i="1"/>
  <c r="T19" i="1"/>
  <c r="S19" i="1"/>
  <c r="R19" i="1" a="1"/>
  <c r="R19" i="1" s="1"/>
  <c r="P19" i="1"/>
  <c r="O19" i="1"/>
  <c r="N19" i="1"/>
  <c r="M19" i="1"/>
  <c r="L19" i="1" a="1"/>
  <c r="L19" i="1" s="1"/>
  <c r="K19" i="1"/>
  <c r="J19" i="1"/>
  <c r="I19" i="1"/>
  <c r="H19" i="1"/>
  <c r="G19" i="1" a="1"/>
  <c r="G19" i="1" s="1"/>
  <c r="AJ18" i="1"/>
  <c r="AI18" i="1"/>
  <c r="AH18" i="1"/>
  <c r="AG18" i="1"/>
  <c r="AF18" i="1"/>
  <c r="AE18" i="1"/>
  <c r="AD18" i="1"/>
  <c r="AA18" i="1"/>
  <c r="Z18" i="1"/>
  <c r="Y18" i="1"/>
  <c r="X18" i="1"/>
  <c r="W18" i="1" a="1"/>
  <c r="W18" i="1" s="1"/>
  <c r="V18" i="1"/>
  <c r="U18" i="1"/>
  <c r="T18" i="1"/>
  <c r="S18" i="1"/>
  <c r="R18" i="1" a="1"/>
  <c r="R18" i="1" s="1"/>
  <c r="P18" i="1"/>
  <c r="O18" i="1"/>
  <c r="N18" i="1"/>
  <c r="M18" i="1"/>
  <c r="L18" i="1" a="1"/>
  <c r="L18" i="1" s="1"/>
  <c r="K18" i="1"/>
  <c r="J18" i="1"/>
  <c r="I18" i="1"/>
  <c r="H18" i="1"/>
  <c r="G18" i="1" a="1"/>
  <c r="G18" i="1" s="1"/>
  <c r="AJ17" i="1"/>
  <c r="AI17" i="1"/>
  <c r="AH17" i="1"/>
  <c r="AG17" i="1"/>
  <c r="AF17" i="1"/>
  <c r="AE17" i="1"/>
  <c r="AD17" i="1"/>
  <c r="AA17" i="1"/>
  <c r="Z17" i="1"/>
  <c r="Y17" i="1"/>
  <c r="X17" i="1"/>
  <c r="W17" i="1" a="1"/>
  <c r="W17" i="1" s="1"/>
  <c r="V17" i="1"/>
  <c r="U17" i="1"/>
  <c r="T17" i="1"/>
  <c r="S17" i="1"/>
  <c r="R17" i="1" a="1"/>
  <c r="R17" i="1" s="1"/>
  <c r="P17" i="1"/>
  <c r="O17" i="1"/>
  <c r="N17" i="1"/>
  <c r="M17" i="1"/>
  <c r="L17" i="1" a="1"/>
  <c r="L17" i="1" s="1"/>
  <c r="K17" i="1"/>
  <c r="J17" i="1"/>
  <c r="I17" i="1"/>
  <c r="H17" i="1"/>
  <c r="G17" i="1" a="1"/>
  <c r="G17" i="1" s="1"/>
  <c r="AJ16" i="1"/>
  <c r="AI16" i="1"/>
  <c r="AH16" i="1"/>
  <c r="AG16" i="1"/>
  <c r="AF16" i="1"/>
  <c r="AE16" i="1"/>
  <c r="AD16" i="1"/>
  <c r="AA16" i="1"/>
  <c r="Z16" i="1"/>
  <c r="Y16" i="1"/>
  <c r="X16" i="1"/>
  <c r="W16" i="1" a="1"/>
  <c r="W16" i="1" s="1"/>
  <c r="V16" i="1"/>
  <c r="U16" i="1"/>
  <c r="T16" i="1"/>
  <c r="S16" i="1"/>
  <c r="R16" i="1" a="1"/>
  <c r="R16" i="1" s="1"/>
  <c r="P16" i="1"/>
  <c r="O16" i="1"/>
  <c r="N16" i="1"/>
  <c r="M16" i="1"/>
  <c r="L16" i="1" a="1"/>
  <c r="L16" i="1" s="1"/>
  <c r="K16" i="1"/>
  <c r="J16" i="1"/>
  <c r="I16" i="1"/>
  <c r="H16" i="1"/>
  <c r="G16" i="1" a="1"/>
  <c r="G16" i="1" s="1"/>
  <c r="AJ15" i="1"/>
  <c r="AI15" i="1"/>
  <c r="AH15" i="1"/>
  <c r="AG15" i="1"/>
  <c r="AF15" i="1"/>
  <c r="AE15" i="1"/>
  <c r="AD15" i="1"/>
  <c r="AA15" i="1"/>
  <c r="Z15" i="1"/>
  <c r="Y15" i="1"/>
  <c r="X15" i="1"/>
  <c r="W15" i="1" a="1"/>
  <c r="W15" i="1" s="1"/>
  <c r="V15" i="1"/>
  <c r="U15" i="1"/>
  <c r="T15" i="1"/>
  <c r="S15" i="1"/>
  <c r="R15" i="1" a="1"/>
  <c r="R15" i="1" s="1"/>
  <c r="P15" i="1"/>
  <c r="O15" i="1"/>
  <c r="N15" i="1"/>
  <c r="M15" i="1"/>
  <c r="L15" i="1" a="1"/>
  <c r="L15" i="1" s="1"/>
  <c r="K15" i="1"/>
  <c r="J15" i="1"/>
  <c r="I15" i="1"/>
  <c r="H15" i="1"/>
  <c r="G15" i="1" a="1"/>
  <c r="G15" i="1" s="1"/>
  <c r="AJ14" i="1"/>
  <c r="AI14" i="1"/>
  <c r="AH14" i="1"/>
  <c r="AG14" i="1"/>
  <c r="AF14" i="1"/>
  <c r="AE14" i="1"/>
  <c r="AD14" i="1"/>
  <c r="AA14" i="1"/>
  <c r="Z14" i="1"/>
  <c r="Y14" i="1"/>
  <c r="X14" i="1"/>
  <c r="W14" i="1" a="1"/>
  <c r="W14" i="1" s="1"/>
  <c r="V14" i="1"/>
  <c r="U14" i="1"/>
  <c r="T14" i="1"/>
  <c r="S14" i="1"/>
  <c r="R14" i="1" a="1"/>
  <c r="R14" i="1" s="1"/>
  <c r="P14" i="1"/>
  <c r="O14" i="1"/>
  <c r="N14" i="1"/>
  <c r="M14" i="1"/>
  <c r="L14" i="1" a="1"/>
  <c r="L14" i="1" s="1"/>
  <c r="K14" i="1"/>
  <c r="J14" i="1"/>
  <c r="I14" i="1"/>
  <c r="H14" i="1"/>
  <c r="G14" i="1" a="1"/>
  <c r="G14" i="1" s="1"/>
  <c r="AJ13" i="1"/>
  <c r="AI13" i="1"/>
  <c r="AH13" i="1"/>
  <c r="AG13" i="1"/>
  <c r="AF13" i="1"/>
  <c r="AE13" i="1"/>
  <c r="AD13" i="1"/>
  <c r="AA13" i="1"/>
  <c r="Z13" i="1"/>
  <c r="Y13" i="1"/>
  <c r="X13" i="1"/>
  <c r="W13" i="1" a="1"/>
  <c r="W13" i="1" s="1"/>
  <c r="V13" i="1"/>
  <c r="U13" i="1"/>
  <c r="T13" i="1"/>
  <c r="S13" i="1"/>
  <c r="R13" i="1" a="1"/>
  <c r="R13" i="1" s="1"/>
  <c r="P13" i="1"/>
  <c r="O13" i="1"/>
  <c r="N13" i="1"/>
  <c r="M13" i="1"/>
  <c r="L13" i="1" a="1"/>
  <c r="L13" i="1" s="1"/>
  <c r="K13" i="1"/>
  <c r="J13" i="1"/>
  <c r="I13" i="1"/>
  <c r="H13" i="1"/>
  <c r="G13" i="1" a="1"/>
  <c r="G13" i="1" s="1"/>
  <c r="AJ12" i="1"/>
  <c r="AI12" i="1"/>
  <c r="AH12" i="1"/>
  <c r="AG12" i="1"/>
  <c r="AF12" i="1"/>
  <c r="AE12" i="1"/>
  <c r="AD12" i="1"/>
  <c r="AA12" i="1"/>
  <c r="Z12" i="1"/>
  <c r="Y12" i="1"/>
  <c r="X12" i="1"/>
  <c r="W12" i="1" a="1"/>
  <c r="W12" i="1" s="1"/>
  <c r="V12" i="1"/>
  <c r="U12" i="1"/>
  <c r="T12" i="1"/>
  <c r="S12" i="1"/>
  <c r="R12" i="1" a="1"/>
  <c r="R12" i="1" s="1"/>
  <c r="P12" i="1"/>
  <c r="O12" i="1"/>
  <c r="N12" i="1"/>
  <c r="M12" i="1"/>
  <c r="L12" i="1" a="1"/>
  <c r="L12" i="1" s="1"/>
  <c r="K12" i="1"/>
  <c r="J12" i="1"/>
  <c r="I12" i="1"/>
  <c r="H12" i="1"/>
  <c r="G12" i="1" a="1"/>
  <c r="G12" i="1" s="1"/>
  <c r="AJ11" i="1"/>
  <c r="AI11" i="1"/>
  <c r="AH11" i="1"/>
  <c r="AG11" i="1"/>
  <c r="AF11" i="1"/>
  <c r="AE11" i="1"/>
  <c r="AD11" i="1"/>
  <c r="AA11" i="1"/>
  <c r="Z11" i="1"/>
  <c r="Y11" i="1"/>
  <c r="X11" i="1"/>
  <c r="W11" i="1" a="1"/>
  <c r="W11" i="1" s="1"/>
  <c r="V11" i="1"/>
  <c r="U11" i="1"/>
  <c r="T11" i="1"/>
  <c r="S11" i="1"/>
  <c r="R11" i="1" a="1"/>
  <c r="R11" i="1" s="1"/>
  <c r="P11" i="1"/>
  <c r="O11" i="1"/>
  <c r="N11" i="1"/>
  <c r="M11" i="1"/>
  <c r="L11" i="1" a="1"/>
  <c r="L11" i="1" s="1"/>
  <c r="K11" i="1"/>
  <c r="J11" i="1"/>
  <c r="I11" i="1"/>
  <c r="H11" i="1"/>
  <c r="G11" i="1" a="1"/>
  <c r="G11" i="1" s="1"/>
  <c r="AJ10" i="1"/>
  <c r="AI10" i="1"/>
  <c r="AH10" i="1"/>
  <c r="AG10" i="1"/>
  <c r="AF10" i="1"/>
  <c r="AE10" i="1"/>
  <c r="AD10" i="1"/>
  <c r="AA10" i="1"/>
  <c r="Z10" i="1"/>
  <c r="Y10" i="1"/>
  <c r="X10" i="1"/>
  <c r="W10" i="1" a="1"/>
  <c r="W10" i="1" s="1"/>
  <c r="V10" i="1"/>
  <c r="U10" i="1"/>
  <c r="T10" i="1"/>
  <c r="S10" i="1"/>
  <c r="R10" i="1" a="1"/>
  <c r="R10" i="1" s="1"/>
  <c r="P10" i="1"/>
  <c r="O10" i="1"/>
  <c r="N10" i="1"/>
  <c r="M10" i="1"/>
  <c r="L10" i="1" a="1"/>
  <c r="L10" i="1" s="1"/>
  <c r="K10" i="1"/>
  <c r="J10" i="1"/>
  <c r="I10" i="1"/>
  <c r="H10" i="1"/>
  <c r="G10" i="1" a="1"/>
  <c r="G10" i="1" s="1"/>
  <c r="AJ9" i="1"/>
  <c r="AI9" i="1"/>
  <c r="AH9" i="1"/>
  <c r="AG9" i="1"/>
  <c r="AF9" i="1"/>
  <c r="AE9" i="1"/>
  <c r="AD9" i="1"/>
  <c r="AA9" i="1"/>
  <c r="Z9" i="1"/>
  <c r="Y9" i="1"/>
  <c r="X9" i="1"/>
  <c r="W9" i="1" a="1"/>
  <c r="W9" i="1" s="1"/>
  <c r="V9" i="1"/>
  <c r="U9" i="1"/>
  <c r="T9" i="1"/>
  <c r="S9" i="1"/>
  <c r="R9" i="1" a="1"/>
  <c r="R9" i="1" s="1"/>
  <c r="P9" i="1"/>
  <c r="O9" i="1"/>
  <c r="N9" i="1"/>
  <c r="M9" i="1"/>
  <c r="L9" i="1" a="1"/>
  <c r="L9" i="1" s="1"/>
  <c r="K9" i="1"/>
  <c r="J9" i="1"/>
  <c r="I9" i="1"/>
  <c r="H9" i="1"/>
  <c r="G9" i="1" a="1"/>
  <c r="G9" i="1" s="1"/>
  <c r="AJ8" i="1"/>
  <c r="AI8" i="1"/>
  <c r="AH8" i="1"/>
  <c r="AG8" i="1"/>
  <c r="AF8" i="1"/>
  <c r="AE8" i="1"/>
  <c r="AD8" i="1"/>
  <c r="AA8" i="1"/>
  <c r="Z8" i="1"/>
  <c r="Y8" i="1"/>
  <c r="X8" i="1"/>
  <c r="W8" i="1" a="1"/>
  <c r="W8" i="1" s="1"/>
  <c r="V8" i="1"/>
  <c r="U8" i="1"/>
  <c r="T8" i="1"/>
  <c r="S8" i="1"/>
  <c r="R8" i="1" a="1"/>
  <c r="R8" i="1" s="1"/>
  <c r="P8" i="1"/>
  <c r="O8" i="1"/>
  <c r="N8" i="1"/>
  <c r="M8" i="1"/>
  <c r="L8" i="1" a="1"/>
  <c r="L8" i="1" s="1"/>
  <c r="K8" i="1"/>
  <c r="J8" i="1"/>
  <c r="I8" i="1"/>
  <c r="H8" i="1"/>
  <c r="G8" i="1" a="1"/>
  <c r="G8" i="1" s="1"/>
  <c r="AJ7" i="1"/>
  <c r="AI7" i="1"/>
  <c r="AH7" i="1"/>
  <c r="AG7" i="1"/>
  <c r="AF7" i="1"/>
  <c r="AE7" i="1"/>
  <c r="AD7" i="1"/>
  <c r="AA7" i="1"/>
  <c r="Z7" i="1"/>
  <c r="Y7" i="1"/>
  <c r="X7" i="1"/>
  <c r="W7" i="1" a="1"/>
  <c r="W7" i="1" s="1"/>
  <c r="V7" i="1"/>
  <c r="U7" i="1"/>
  <c r="T7" i="1"/>
  <c r="S7" i="1"/>
  <c r="R7" i="1" a="1"/>
  <c r="R7" i="1" s="1"/>
  <c r="P7" i="1"/>
  <c r="O7" i="1"/>
  <c r="N7" i="1"/>
  <c r="M7" i="1"/>
  <c r="L7" i="1" a="1"/>
  <c r="L7" i="1" s="1"/>
  <c r="K7" i="1"/>
  <c r="J7" i="1"/>
  <c r="I7" i="1"/>
  <c r="H7" i="1"/>
  <c r="G7" i="1" a="1"/>
  <c r="G7" i="1" s="1"/>
  <c r="AJ6" i="1"/>
  <c r="AI6" i="1"/>
  <c r="AH6" i="1"/>
  <c r="AG6" i="1"/>
  <c r="AF6" i="1"/>
  <c r="AE6" i="1"/>
  <c r="AD6" i="1"/>
  <c r="AA6" i="1"/>
  <c r="Z6" i="1"/>
  <c r="Y6" i="1"/>
  <c r="X6" i="1"/>
  <c r="W6" i="1" a="1"/>
  <c r="W6" i="1" s="1"/>
  <c r="V6" i="1"/>
  <c r="U6" i="1"/>
  <c r="T6" i="1"/>
  <c r="S6" i="1"/>
  <c r="R6" i="1" a="1"/>
  <c r="R6" i="1" s="1"/>
  <c r="P6" i="1"/>
  <c r="O6" i="1"/>
  <c r="N6" i="1"/>
  <c r="M6" i="1"/>
  <c r="L6" i="1" a="1"/>
  <c r="L6" i="1" s="1"/>
  <c r="K6" i="1"/>
  <c r="J6" i="1"/>
  <c r="I6" i="1"/>
  <c r="H6" i="1"/>
  <c r="G6" i="1" a="1"/>
  <c r="G6" i="1" s="1"/>
  <c r="AJ5" i="1"/>
  <c r="AI5" i="1"/>
  <c r="AH5" i="1"/>
  <c r="AG5" i="1"/>
  <c r="AF5" i="1"/>
  <c r="AE5" i="1"/>
  <c r="AD5" i="1"/>
  <c r="AA5" i="1"/>
  <c r="Z5" i="1"/>
  <c r="Y5" i="1"/>
  <c r="X5" i="1"/>
  <c r="W5" i="1" a="1"/>
  <c r="W5" i="1" s="1"/>
  <c r="V5" i="1"/>
  <c r="U5" i="1"/>
  <c r="T5" i="1"/>
  <c r="S5" i="1"/>
  <c r="R5" i="1" a="1"/>
  <c r="R5" i="1" s="1"/>
  <c r="P5" i="1"/>
  <c r="O5" i="1"/>
  <c r="N5" i="1"/>
  <c r="M5" i="1"/>
  <c r="L5" i="1" a="1"/>
  <c r="L5" i="1" s="1"/>
  <c r="K5" i="1"/>
  <c r="J5" i="1"/>
  <c r="I5" i="1"/>
  <c r="H5" i="1"/>
  <c r="G5" i="1" a="1"/>
  <c r="G5" i="1" s="1"/>
  <c r="AJ4" i="1"/>
  <c r="AI4" i="1"/>
  <c r="AH4" i="1"/>
  <c r="AG4" i="1"/>
  <c r="AF4" i="1"/>
  <c r="AE4" i="1"/>
  <c r="AD4" i="1"/>
  <c r="AA4" i="1"/>
  <c r="Z4" i="1"/>
  <c r="Y4" i="1"/>
  <c r="X4" i="1"/>
  <c r="W4" i="1" a="1"/>
  <c r="W4" i="1" s="1"/>
  <c r="V4" i="1"/>
  <c r="U4" i="1"/>
  <c r="T4" i="1"/>
  <c r="S4" i="1"/>
  <c r="R4" i="1" a="1"/>
  <c r="R4" i="1" s="1"/>
  <c r="P4" i="1"/>
  <c r="O4" i="1"/>
  <c r="N4" i="1"/>
  <c r="M4" i="1"/>
  <c r="L4" i="1" a="1"/>
  <c r="L4" i="1" s="1"/>
  <c r="K4" i="1"/>
  <c r="J4" i="1"/>
  <c r="I4" i="1"/>
  <c r="H4" i="1"/>
  <c r="G4" i="1" a="1"/>
  <c r="G4" i="1" s="1"/>
  <c r="AJ3" i="1"/>
  <c r="AI3" i="1"/>
  <c r="AH3" i="1"/>
  <c r="AG3" i="1"/>
  <c r="AF3" i="1"/>
  <c r="AE3" i="1"/>
  <c r="AD3" i="1"/>
  <c r="AA3" i="1"/>
  <c r="Z3" i="1"/>
  <c r="Y3" i="1"/>
  <c r="X3" i="1"/>
  <c r="W3" i="1" a="1"/>
  <c r="W3" i="1" s="1"/>
  <c r="V3" i="1"/>
  <c r="U3" i="1"/>
  <c r="T3" i="1"/>
  <c r="S3" i="1"/>
  <c r="R3" i="1" a="1"/>
  <c r="R3" i="1" s="1"/>
  <c r="P3" i="1"/>
  <c r="O3" i="1"/>
  <c r="N3" i="1"/>
  <c r="M3" i="1"/>
  <c r="L3" i="1" a="1"/>
  <c r="L3" i="1" s="1"/>
  <c r="K3" i="1"/>
  <c r="J3" i="1"/>
  <c r="I3" i="1"/>
  <c r="H3" i="1"/>
  <c r="G3" i="1" a="1"/>
  <c r="G3" i="1" s="1"/>
  <c r="E3" i="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Y7" i="12"/>
  <c r="Q39" i="12"/>
  <c r="Y11" i="12"/>
  <c r="Q16" i="12"/>
  <c r="Y15" i="12"/>
  <c r="Q34" i="12"/>
  <c r="Y19" i="12"/>
  <c r="Q15" i="12"/>
  <c r="Y23" i="12"/>
  <c r="Q28" i="12"/>
  <c r="Y27" i="12"/>
  <c r="Q10" i="12"/>
  <c r="Y31" i="12"/>
  <c r="Q12" i="12"/>
  <c r="Y35" i="12"/>
  <c r="Q6" i="12"/>
  <c r="Y39" i="12"/>
  <c r="Q23" i="12"/>
  <c r="Q2" i="12"/>
  <c r="Y2" i="12"/>
  <c r="Y6" i="12"/>
  <c r="Q38" i="12"/>
  <c r="Y10" i="12"/>
  <c r="Q20" i="12"/>
  <c r="Y14" i="12"/>
  <c r="Q31" i="12"/>
  <c r="Y18" i="12"/>
  <c r="Q17" i="12"/>
  <c r="Y22" i="12"/>
  <c r="Q11" i="12"/>
  <c r="Y26" i="12"/>
  <c r="Q18" i="12"/>
  <c r="Y30" i="12"/>
  <c r="Q22" i="12"/>
  <c r="Y34" i="12"/>
  <c r="Q33" i="12"/>
  <c r="Y38" i="12"/>
  <c r="Q35" i="12"/>
  <c r="Y5" i="12"/>
  <c r="Q5" i="12"/>
  <c r="Y9" i="12"/>
  <c r="Q37" i="12"/>
  <c r="Y13" i="12"/>
  <c r="Q19" i="12"/>
  <c r="Y17" i="12"/>
  <c r="Q25" i="12"/>
  <c r="Y21" i="12"/>
  <c r="Q4" i="12"/>
  <c r="Y25" i="12"/>
  <c r="Q36" i="12"/>
  <c r="Y29" i="12"/>
  <c r="Q24" i="12"/>
  <c r="Y33" i="12"/>
  <c r="Q40" i="12"/>
  <c r="Y37" i="12"/>
  <c r="Q13" i="12"/>
  <c r="Y41" i="12"/>
  <c r="Q14" i="12"/>
  <c r="Y3" i="12"/>
  <c r="Q9" i="12"/>
  <c r="Y4" i="12"/>
  <c r="Q8" i="12"/>
  <c r="Y8" i="12"/>
  <c r="Q21" i="12"/>
  <c r="Y12" i="12"/>
  <c r="Q7" i="12"/>
  <c r="Y16" i="12"/>
  <c r="Q30" i="12"/>
  <c r="Y20" i="12"/>
  <c r="Q3" i="12"/>
  <c r="Y24" i="12"/>
  <c r="Q32" i="12"/>
  <c r="Y28" i="12"/>
  <c r="Q27" i="12"/>
  <c r="Y32" i="12"/>
  <c r="Q29" i="12"/>
  <c r="Y36" i="12"/>
  <c r="Q26" i="12"/>
  <c r="Y40" i="12"/>
  <c r="Q41" i="12"/>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F39" i="12"/>
  <c r="H11" i="13"/>
  <c r="J11" i="13"/>
  <c r="F28" i="12"/>
  <c r="F36" i="12"/>
  <c r="N6" i="13"/>
  <c r="F6" i="13"/>
  <c r="F11" i="12"/>
  <c r="H4" i="13"/>
  <c r="J4" i="13"/>
  <c r="F20" i="12"/>
  <c r="F30" i="12"/>
  <c r="N5" i="13"/>
  <c r="F5" i="13"/>
  <c r="F31" i="12"/>
  <c r="F17" i="12"/>
  <c r="F41" i="12"/>
  <c r="F13" i="12"/>
  <c r="F18" i="12"/>
  <c r="F27" i="12"/>
  <c r="F32" i="12"/>
  <c r="F26" i="12"/>
  <c r="F33" i="12"/>
  <c r="F19" i="12"/>
  <c r="F10" i="12"/>
  <c r="J10" i="13"/>
  <c r="F12" i="12"/>
  <c r="F15" i="12"/>
  <c r="N12" i="13"/>
  <c r="F23" i="12"/>
  <c r="P10" i="13"/>
  <c r="I10" i="13"/>
  <c r="F6" i="12"/>
  <c r="P12" i="13"/>
  <c r="I12" i="13"/>
  <c r="F37" i="12"/>
  <c r="P11" i="13"/>
  <c r="I11" i="13"/>
  <c r="F9" i="12"/>
  <c r="E6" i="13"/>
  <c r="F29" i="12"/>
  <c r="F25" i="12"/>
  <c r="P4" i="13"/>
  <c r="I4" i="13"/>
  <c r="F5" i="12"/>
  <c r="E5" i="13"/>
  <c r="F34" i="12"/>
  <c r="F8" i="12"/>
  <c r="F16" i="12"/>
  <c r="F38" i="12"/>
  <c r="N10" i="13"/>
  <c r="E10" i="13"/>
  <c r="F3" i="12"/>
  <c r="E12" i="13"/>
  <c r="F24" i="12"/>
  <c r="E11" i="13"/>
  <c r="F2" i="12"/>
  <c r="H6" i="13"/>
  <c r="J6" i="13"/>
  <c r="F40" i="12"/>
  <c r="F4" i="12"/>
  <c r="E4" i="13"/>
  <c r="F14" i="12"/>
  <c r="H5" i="13"/>
  <c r="J5" i="13"/>
  <c r="F7" i="12"/>
  <c r="F22" i="12"/>
  <c r="F21" i="12"/>
  <c r="F35" i="12"/>
  <c r="F9" i="1" a="1"/>
  <c r="F9" i="1" s="1"/>
  <c r="F3" i="1" a="1"/>
  <c r="F3" i="1" s="1"/>
  <c r="F4" i="1" a="1"/>
  <c r="F4" i="1" s="1"/>
  <c r="F5" i="1" a="1"/>
  <c r="F5" i="1" s="1"/>
  <c r="F6" i="1" a="1"/>
  <c r="F6" i="1" s="1"/>
  <c r="F7" i="1" a="1"/>
  <c r="F7" i="1" s="1"/>
  <c r="F8" i="1" a="1"/>
  <c r="F8" i="1" s="1"/>
  <c r="F41" i="1" a="1"/>
  <c r="F41"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Q36" i="1" a="1"/>
  <c r="Q36" i="1" s="1"/>
  <c r="Q9" i="1" a="1"/>
  <c r="Q9" i="1" s="1"/>
  <c r="Q10" i="1" a="1"/>
  <c r="Q10" i="1" s="1"/>
  <c r="Q5" i="1" a="1"/>
  <c r="Q5" i="1" s="1"/>
  <c r="Q13" i="1" a="1"/>
  <c r="Q13" i="1" s="1"/>
  <c r="Q6" i="1" a="1"/>
  <c r="Q6" i="1" s="1"/>
  <c r="Q16" i="1" a="1"/>
  <c r="Q16" i="1" s="1"/>
  <c r="Q24" i="1" a="1"/>
  <c r="Q24" i="1" s="1"/>
  <c r="Q3" i="1" a="1"/>
  <c r="Q3" i="1" s="1"/>
  <c r="Q7" i="1" a="1"/>
  <c r="Q7" i="1" s="1"/>
  <c r="Q11" i="1" a="1"/>
  <c r="Q11" i="1" s="1"/>
  <c r="Q17" i="1" a="1"/>
  <c r="Q17" i="1" s="1"/>
  <c r="Q4" i="1" a="1"/>
  <c r="Q4" i="1" s="1"/>
  <c r="Q8" i="1" a="1"/>
  <c r="Q8" i="1" s="1"/>
  <c r="Q12" i="1" a="1"/>
  <c r="Q12" i="1" s="1"/>
  <c r="Q21" i="1" a="1"/>
  <c r="Q21" i="1" s="1"/>
  <c r="Q28" i="1" a="1"/>
  <c r="Q28" i="1" s="1"/>
  <c r="Q20" i="1" a="1"/>
  <c r="Q20" i="1" s="1"/>
  <c r="Q32" i="1" a="1"/>
  <c r="Q32" i="1" s="1"/>
  <c r="Q40" i="1" a="1"/>
  <c r="Q40" i="1" s="1"/>
  <c r="Q42" i="1" a="1"/>
  <c r="Q42" i="1" s="1"/>
  <c r="Q14" i="1" a="1"/>
  <c r="Q14" i="1" s="1"/>
  <c r="Q18" i="1" a="1"/>
  <c r="Q18" i="1" s="1"/>
  <c r="Q22" i="1" a="1"/>
  <c r="Q22" i="1" s="1"/>
  <c r="Q26" i="1" a="1"/>
  <c r="Q26" i="1" s="1"/>
  <c r="Q30" i="1" a="1"/>
  <c r="Q30" i="1" s="1"/>
  <c r="Q34" i="1" a="1"/>
  <c r="Q34" i="1" s="1"/>
  <c r="Q38" i="1" a="1"/>
  <c r="Q38" i="1" s="1"/>
  <c r="Q15" i="1" a="1"/>
  <c r="Q15" i="1" s="1"/>
  <c r="Q19" i="1" a="1"/>
  <c r="Q19" i="1" s="1"/>
  <c r="Q23" i="1" a="1"/>
  <c r="Q23" i="1" s="1"/>
  <c r="Q27" i="1" a="1"/>
  <c r="Q27" i="1" s="1"/>
  <c r="Q31" i="1" a="1"/>
  <c r="Q31" i="1" s="1"/>
  <c r="Q35" i="1" a="1"/>
  <c r="Q35" i="1" s="1"/>
  <c r="Q39" i="1" a="1"/>
  <c r="Q39" i="1" s="1"/>
  <c r="Q25" i="1" a="1"/>
  <c r="Q25" i="1" s="1"/>
  <c r="Q29" i="1" a="1"/>
  <c r="Q29" i="1" s="1"/>
  <c r="Q33" i="1" a="1"/>
  <c r="Q33" i="1" s="1"/>
  <c r="Q37" i="1" a="1"/>
  <c r="Q37" i="1" s="1"/>
  <c r="Q41" i="1" a="1"/>
  <c r="Q41" i="1" s="1"/>
  <c r="F42" i="1" a="1"/>
  <c r="F42" i="1" s="1"/>
  <c r="AF4" i="8"/>
  <c r="AG4" i="8"/>
  <c r="AE4" i="8"/>
  <c r="AH4" i="8"/>
  <c r="AM39" i="1"/>
  <c r="AM35" i="1"/>
  <c r="AM27" i="1"/>
  <c r="AM31" i="1"/>
  <c r="AL26" i="1"/>
  <c r="AL30" i="1"/>
  <c r="AL34" i="1"/>
  <c r="AL38" i="1"/>
  <c r="AL42" i="1"/>
  <c r="AL6" i="1"/>
  <c r="AL10" i="1"/>
  <c r="AL14" i="1"/>
  <c r="AM15" i="1"/>
  <c r="AL18" i="1"/>
  <c r="AM19" i="1"/>
  <c r="AL22" i="1"/>
  <c r="AM23" i="1"/>
  <c r="AM7" i="1"/>
  <c r="AM11" i="1"/>
  <c r="AL5" i="1"/>
  <c r="AM6" i="1"/>
  <c r="AL9" i="1"/>
  <c r="AM10" i="1"/>
  <c r="AL13" i="1"/>
  <c r="AM14" i="1"/>
  <c r="AL17" i="1"/>
  <c r="AM18" i="1"/>
  <c r="AL21" i="1"/>
  <c r="AM22" i="1"/>
  <c r="AL25" i="1"/>
  <c r="AM26" i="1"/>
  <c r="AL29" i="1"/>
  <c r="AM30" i="1"/>
  <c r="AL33" i="1"/>
  <c r="AM34" i="1"/>
  <c r="AL37" i="1"/>
  <c r="AM38" i="1"/>
  <c r="AL41" i="1"/>
  <c r="AM42" i="1"/>
  <c r="AM5" i="1"/>
  <c r="AM9" i="1"/>
  <c r="AM13" i="1"/>
  <c r="AL16" i="1"/>
  <c r="AM17" i="1"/>
  <c r="AL20" i="1"/>
  <c r="AM21" i="1"/>
  <c r="AL24" i="1"/>
  <c r="AM25" i="1"/>
  <c r="AL28" i="1"/>
  <c r="AM29" i="1"/>
  <c r="AL32" i="1"/>
  <c r="AM33" i="1"/>
  <c r="AL36" i="1"/>
  <c r="AM37" i="1"/>
  <c r="AL40" i="1"/>
  <c r="AM41" i="1"/>
  <c r="AM3" i="1"/>
  <c r="AL4" i="1"/>
  <c r="AL8" i="1"/>
  <c r="AL12" i="1"/>
  <c r="AL3" i="1"/>
  <c r="AI4" i="8"/>
  <c r="AM4" i="1"/>
  <c r="AL7" i="1"/>
  <c r="AM8" i="1"/>
  <c r="AL11" i="1"/>
  <c r="AM12" i="1"/>
  <c r="AL15" i="1"/>
  <c r="AM16" i="1"/>
  <c r="AL19" i="1"/>
  <c r="AM20" i="1"/>
  <c r="AL23" i="1"/>
  <c r="AM24" i="1"/>
  <c r="AL27" i="1"/>
  <c r="AM28" i="1"/>
  <c r="AL31" i="1"/>
  <c r="AM32" i="1"/>
  <c r="AL35" i="1"/>
  <c r="AM36" i="1"/>
  <c r="AL39" i="1"/>
  <c r="AM40" i="1"/>
  <c r="D38" i="1"/>
  <c r="D42" i="1"/>
  <c r="D11" i="1"/>
  <c r="D5" i="1"/>
  <c r="D17" i="1"/>
  <c r="D21" i="1"/>
  <c r="D25" i="1"/>
  <c r="D29" i="1"/>
  <c r="D33" i="1"/>
  <c r="D16" i="1"/>
  <c r="D4" i="1"/>
  <c r="D3" i="1"/>
  <c r="D7" i="1"/>
  <c r="D6" i="1"/>
  <c r="D10" i="1"/>
  <c r="D14" i="1"/>
  <c r="D18" i="1"/>
  <c r="D22" i="1"/>
  <c r="D26" i="1"/>
  <c r="D30" i="1"/>
  <c r="D34" i="1"/>
  <c r="D9" i="1"/>
  <c r="D13" i="1"/>
  <c r="D37" i="1"/>
  <c r="D41" i="1"/>
  <c r="D8" i="1"/>
  <c r="D12" i="1"/>
  <c r="D20" i="1"/>
  <c r="D24" i="1"/>
  <c r="D28" i="1"/>
  <c r="D32" i="1"/>
  <c r="D36" i="1"/>
  <c r="D40" i="1"/>
  <c r="D15" i="1"/>
  <c r="D19" i="1"/>
  <c r="D23" i="1"/>
  <c r="D27" i="1"/>
  <c r="D31" i="1"/>
  <c r="D35" i="1"/>
  <c r="D39" i="1"/>
  <c r="C3" i="1"/>
  <c r="AK3" i="1" s="1"/>
  <c r="C39" i="1"/>
  <c r="C35" i="1"/>
  <c r="C31" i="1"/>
  <c r="C27" i="1"/>
  <c r="C23" i="1"/>
  <c r="C19" i="1"/>
  <c r="C15" i="1"/>
  <c r="C11" i="1"/>
  <c r="C7" i="1"/>
  <c r="C42" i="1"/>
  <c r="C38" i="1"/>
  <c r="C34" i="1"/>
  <c r="C30" i="1"/>
  <c r="C26" i="1"/>
  <c r="C22" i="1"/>
  <c r="C18" i="1"/>
  <c r="C14" i="1"/>
  <c r="C10" i="1"/>
  <c r="C6" i="1"/>
  <c r="C41" i="1"/>
  <c r="C37" i="1"/>
  <c r="C33" i="1"/>
  <c r="C29" i="1"/>
  <c r="C25" i="1"/>
  <c r="C21" i="1"/>
  <c r="C17" i="1"/>
  <c r="C13" i="1"/>
  <c r="C9" i="1"/>
  <c r="C5" i="1"/>
  <c r="C40" i="1"/>
  <c r="C36" i="1"/>
  <c r="C32" i="1"/>
  <c r="C28" i="1"/>
  <c r="C24" i="1"/>
  <c r="C20" i="1"/>
  <c r="C16" i="1"/>
  <c r="C12" i="1"/>
  <c r="C8" i="1"/>
  <c r="C4" i="1"/>
  <c r="AA8" i="8"/>
  <c r="V2" i="12" l="1"/>
  <c r="N2" i="12"/>
  <c r="AK5" i="1"/>
  <c r="C6" i="12" s="1"/>
  <c r="Z4" i="12"/>
  <c r="R8" i="12"/>
  <c r="AK32" i="1"/>
  <c r="C22" i="12" s="1"/>
  <c r="Z31" i="12"/>
  <c r="R12" i="12"/>
  <c r="Z40" i="12"/>
  <c r="R41" i="12"/>
  <c r="Z7" i="12"/>
  <c r="R39" i="12"/>
  <c r="Z23" i="12"/>
  <c r="R28" i="12"/>
  <c r="AK40" i="1"/>
  <c r="Z39" i="12"/>
  <c r="R23" i="12"/>
  <c r="AK17" i="1"/>
  <c r="C29" i="12" s="1"/>
  <c r="Z16" i="12"/>
  <c r="R30" i="12"/>
  <c r="Z32" i="12"/>
  <c r="R29" i="12"/>
  <c r="AK10" i="1"/>
  <c r="C23" i="12" s="1"/>
  <c r="Z9" i="12"/>
  <c r="R37" i="12"/>
  <c r="AK26" i="1"/>
  <c r="C32" i="12" s="1"/>
  <c r="Z25" i="12"/>
  <c r="R36" i="12"/>
  <c r="AK42" i="1"/>
  <c r="C10" i="12" s="1"/>
  <c r="Z41" i="12"/>
  <c r="R14" i="12"/>
  <c r="Z18" i="12"/>
  <c r="R17" i="12"/>
  <c r="Z34" i="12"/>
  <c r="R33" i="12"/>
  <c r="W38" i="12"/>
  <c r="O35" i="12"/>
  <c r="W30" i="12"/>
  <c r="O22" i="12"/>
  <c r="W22" i="12"/>
  <c r="O11" i="12"/>
  <c r="W14" i="12"/>
  <c r="O31" i="12"/>
  <c r="W6" i="12"/>
  <c r="O38" i="12"/>
  <c r="W11" i="12"/>
  <c r="O16" i="12"/>
  <c r="X40" i="12"/>
  <c r="P41" i="12"/>
  <c r="X32" i="12"/>
  <c r="P29" i="12"/>
  <c r="X24" i="12"/>
  <c r="P32" i="12"/>
  <c r="X16" i="12"/>
  <c r="P30" i="12"/>
  <c r="X4" i="12"/>
  <c r="P8" i="12"/>
  <c r="W36" i="12"/>
  <c r="O26" i="12"/>
  <c r="W28" i="12"/>
  <c r="O27" i="12"/>
  <c r="W20" i="12"/>
  <c r="O3" i="12"/>
  <c r="W12" i="12"/>
  <c r="O7" i="12"/>
  <c r="W4" i="12"/>
  <c r="O8" i="12"/>
  <c r="W21" i="12"/>
  <c r="O4" i="12"/>
  <c r="W13" i="12"/>
  <c r="O19" i="12"/>
  <c r="W37" i="12"/>
  <c r="O13" i="12"/>
  <c r="X30" i="12"/>
  <c r="P22" i="12"/>
  <c r="Z27" i="12"/>
  <c r="R10" i="12"/>
  <c r="Z20" i="12"/>
  <c r="R3" i="12"/>
  <c r="Z36" i="12"/>
  <c r="R26" i="12"/>
  <c r="AK14" i="1"/>
  <c r="C13" i="12" s="1"/>
  <c r="Z13" i="12"/>
  <c r="R19" i="12"/>
  <c r="Z29" i="12"/>
  <c r="R24" i="12"/>
  <c r="Z6" i="12"/>
  <c r="R38" i="12"/>
  <c r="Z22" i="12"/>
  <c r="R11" i="12"/>
  <c r="AK39" i="1"/>
  <c r="C41" i="12" s="1"/>
  <c r="Z38" i="12"/>
  <c r="R35" i="12"/>
  <c r="X35" i="12"/>
  <c r="P6" i="12"/>
  <c r="X27" i="12"/>
  <c r="P10" i="12"/>
  <c r="X19" i="12"/>
  <c r="P15" i="12"/>
  <c r="X11" i="12"/>
  <c r="P16" i="12"/>
  <c r="X3" i="12"/>
  <c r="P9" i="12"/>
  <c r="W7" i="12"/>
  <c r="O39" i="12"/>
  <c r="W39" i="12"/>
  <c r="O23" i="12"/>
  <c r="W31" i="12"/>
  <c r="O12" i="12"/>
  <c r="W23" i="12"/>
  <c r="O28" i="12"/>
  <c r="W15" i="12"/>
  <c r="O34" i="12"/>
  <c r="X41" i="12"/>
  <c r="P14" i="12"/>
  <c r="X33" i="12"/>
  <c r="P40" i="12"/>
  <c r="X25" i="12"/>
  <c r="P36" i="12"/>
  <c r="X17" i="12"/>
  <c r="P25" i="12"/>
  <c r="X9" i="12"/>
  <c r="P37" i="12"/>
  <c r="X10" i="12"/>
  <c r="P20" i="12"/>
  <c r="X18" i="12"/>
  <c r="P17" i="12"/>
  <c r="W9" i="12"/>
  <c r="O37" i="12"/>
  <c r="W33" i="12"/>
  <c r="O40" i="12"/>
  <c r="X26" i="12"/>
  <c r="P18" i="12"/>
  <c r="Z8" i="12"/>
  <c r="R21" i="12"/>
  <c r="Z17" i="12"/>
  <c r="R25" i="12"/>
  <c r="Z33" i="12"/>
  <c r="R40" i="12"/>
  <c r="Z10" i="12"/>
  <c r="R20" i="12"/>
  <c r="Z26" i="12"/>
  <c r="R18" i="12"/>
  <c r="Z2" i="12"/>
  <c r="R2" i="12"/>
  <c r="W34" i="12"/>
  <c r="O33" i="12"/>
  <c r="W26" i="12"/>
  <c r="O18" i="12"/>
  <c r="W18" i="12"/>
  <c r="O17" i="12"/>
  <c r="W10" i="12"/>
  <c r="O20" i="12"/>
  <c r="W3" i="12"/>
  <c r="O9" i="12"/>
  <c r="X36" i="12"/>
  <c r="P26" i="12"/>
  <c r="X28" i="12"/>
  <c r="P27" i="12"/>
  <c r="X20" i="12"/>
  <c r="P3" i="12"/>
  <c r="X12" i="12"/>
  <c r="P7" i="12"/>
  <c r="W40" i="12"/>
  <c r="O41" i="12"/>
  <c r="W32" i="12"/>
  <c r="O29" i="12"/>
  <c r="W24" i="12"/>
  <c r="O32" i="12"/>
  <c r="W16" i="12"/>
  <c r="O30" i="12"/>
  <c r="W8" i="12"/>
  <c r="O21" i="12"/>
  <c r="X6" i="12"/>
  <c r="P38" i="12"/>
  <c r="W17" i="12"/>
  <c r="O25" i="12"/>
  <c r="W5" i="12"/>
  <c r="O5" i="12"/>
  <c r="W29" i="12"/>
  <c r="O24" i="12"/>
  <c r="X34" i="12"/>
  <c r="P33" i="12"/>
  <c r="Z11" i="12"/>
  <c r="R16" i="12"/>
  <c r="Z15" i="12"/>
  <c r="R34" i="12"/>
  <c r="Z24" i="12"/>
  <c r="R32" i="12"/>
  <c r="Z3" i="12"/>
  <c r="R9" i="12"/>
  <c r="Z19" i="12"/>
  <c r="R15" i="12"/>
  <c r="Z35" i="12"/>
  <c r="R6" i="12"/>
  <c r="Z12" i="12"/>
  <c r="R7" i="12"/>
  <c r="Z28" i="12"/>
  <c r="R27" i="12"/>
  <c r="Z5" i="12"/>
  <c r="R5" i="12"/>
  <c r="Z21" i="12"/>
  <c r="R4" i="12"/>
  <c r="Z37" i="12"/>
  <c r="R13" i="12"/>
  <c r="AK15" i="1"/>
  <c r="C36" i="12" s="1"/>
  <c r="Z14" i="12"/>
  <c r="R31" i="12"/>
  <c r="AK31" i="1"/>
  <c r="C31" i="12" s="1"/>
  <c r="Z30" i="12"/>
  <c r="R22" i="12"/>
  <c r="X39" i="12"/>
  <c r="P23" i="12"/>
  <c r="X31" i="12"/>
  <c r="P12" i="12"/>
  <c r="X23" i="12"/>
  <c r="P28" i="12"/>
  <c r="X15" i="12"/>
  <c r="P34" i="12"/>
  <c r="X7" i="12"/>
  <c r="P39" i="12"/>
  <c r="O2" i="12"/>
  <c r="W2" i="12"/>
  <c r="P2" i="12"/>
  <c r="X2" i="12"/>
  <c r="W35" i="12"/>
  <c r="O6" i="12"/>
  <c r="W27" i="12"/>
  <c r="O10" i="12"/>
  <c r="W19" i="12"/>
  <c r="O15" i="12"/>
  <c r="X8" i="12"/>
  <c r="P21" i="12"/>
  <c r="X37" i="12"/>
  <c r="P13" i="12"/>
  <c r="X29" i="12"/>
  <c r="P24" i="12"/>
  <c r="X21" i="12"/>
  <c r="P4" i="12"/>
  <c r="X13" i="12"/>
  <c r="P19" i="12"/>
  <c r="X5" i="12"/>
  <c r="P5" i="12"/>
  <c r="X22" i="12"/>
  <c r="P11" i="12"/>
  <c r="X14" i="12"/>
  <c r="P31" i="12"/>
  <c r="W41" i="12"/>
  <c r="O14" i="12"/>
  <c r="W25" i="12"/>
  <c r="O36" i="12"/>
  <c r="X38" i="12"/>
  <c r="P35" i="12"/>
  <c r="C4" i="13"/>
  <c r="C11" i="13"/>
  <c r="C6" i="13"/>
  <c r="C12" i="13"/>
  <c r="C5" i="13"/>
  <c r="C10" i="13"/>
  <c r="G24" i="12"/>
  <c r="G8" i="12"/>
  <c r="G17" i="12"/>
  <c r="B5" i="13"/>
  <c r="G7" i="12"/>
  <c r="G16" i="12"/>
  <c r="B12" i="13"/>
  <c r="G39" i="12"/>
  <c r="E4" i="12"/>
  <c r="D24" i="12"/>
  <c r="B6" i="13"/>
  <c r="G40" i="12"/>
  <c r="G37" i="12"/>
  <c r="G5" i="12"/>
  <c r="G38" i="12"/>
  <c r="G18" i="12"/>
  <c r="G33" i="12"/>
  <c r="B11" i="13"/>
  <c r="G28" i="12"/>
  <c r="G30" i="12"/>
  <c r="B10" i="13"/>
  <c r="G12" i="12"/>
  <c r="D17" i="12"/>
  <c r="D30" i="12"/>
  <c r="D11" i="12"/>
  <c r="D28" i="12"/>
  <c r="D3" i="12"/>
  <c r="E16" i="12"/>
  <c r="E34" i="12"/>
  <c r="E25" i="12"/>
  <c r="E9" i="12"/>
  <c r="D38" i="12"/>
  <c r="D8" i="12"/>
  <c r="D5" i="12"/>
  <c r="D29" i="12"/>
  <c r="D37" i="12"/>
  <c r="E39" i="12"/>
  <c r="D18" i="12"/>
  <c r="D15" i="12"/>
  <c r="D26" i="12"/>
  <c r="E17" i="12"/>
  <c r="AK16" i="1"/>
  <c r="AK33" i="1"/>
  <c r="G14" i="12"/>
  <c r="G23" i="12"/>
  <c r="G11" i="12"/>
  <c r="G2" i="12"/>
  <c r="G25" i="12"/>
  <c r="G26" i="12"/>
  <c r="B4" i="13"/>
  <c r="G20" i="12"/>
  <c r="E21" i="12"/>
  <c r="E2" i="12"/>
  <c r="G22" i="12"/>
  <c r="G3" i="12"/>
  <c r="G4" i="12"/>
  <c r="G21" i="12"/>
  <c r="G9" i="12"/>
  <c r="G34" i="12"/>
  <c r="G15" i="12"/>
  <c r="G27" i="12"/>
  <c r="G19" i="12"/>
  <c r="G36" i="12"/>
  <c r="G31" i="12"/>
  <c r="E35" i="12"/>
  <c r="E22" i="12"/>
  <c r="E14" i="12"/>
  <c r="E40" i="12"/>
  <c r="E24" i="12"/>
  <c r="D12" i="12"/>
  <c r="E12" i="12"/>
  <c r="D21" i="12"/>
  <c r="D7" i="12"/>
  <c r="D4" i="12"/>
  <c r="E37" i="12"/>
  <c r="E19" i="12"/>
  <c r="E26" i="12"/>
  <c r="E27" i="12"/>
  <c r="E13" i="12"/>
  <c r="E15" i="12"/>
  <c r="E20" i="12"/>
  <c r="E36" i="12"/>
  <c r="D10" i="12"/>
  <c r="D32" i="12"/>
  <c r="E41" i="12"/>
  <c r="AK19" i="1"/>
  <c r="AK35" i="1"/>
  <c r="AK4" i="1"/>
  <c r="AK20" i="1"/>
  <c r="AK36" i="1"/>
  <c r="AK21" i="1"/>
  <c r="AK37" i="1"/>
  <c r="AK30" i="1"/>
  <c r="G29" i="12"/>
  <c r="G10" i="12"/>
  <c r="D31" i="12"/>
  <c r="D20" i="12"/>
  <c r="D36" i="12"/>
  <c r="D39" i="12"/>
  <c r="D2" i="12"/>
  <c r="E38" i="12"/>
  <c r="E8" i="12"/>
  <c r="E5" i="12"/>
  <c r="E29" i="12"/>
  <c r="E6" i="12"/>
  <c r="D16" i="12"/>
  <c r="D34" i="12"/>
  <c r="D25" i="12"/>
  <c r="D9" i="12"/>
  <c r="D6" i="12"/>
  <c r="D27" i="12"/>
  <c r="D13" i="12"/>
  <c r="D19" i="12"/>
  <c r="E31" i="12"/>
  <c r="AK7" i="1"/>
  <c r="AK23" i="1"/>
  <c r="AK8" i="1"/>
  <c r="AK24" i="1"/>
  <c r="AK9" i="1"/>
  <c r="AK25" i="1"/>
  <c r="AK41" i="1"/>
  <c r="AK18" i="1"/>
  <c r="AK34" i="1"/>
  <c r="C35" i="12"/>
  <c r="G35" i="12"/>
  <c r="G32" i="12"/>
  <c r="D41" i="12"/>
  <c r="G6" i="12"/>
  <c r="G13" i="12"/>
  <c r="G41" i="12"/>
  <c r="E7" i="12"/>
  <c r="E3" i="12"/>
  <c r="D35" i="12"/>
  <c r="D22" i="12"/>
  <c r="D14" i="12"/>
  <c r="D40" i="12"/>
  <c r="E10" i="12"/>
  <c r="E33" i="12"/>
  <c r="E32" i="12"/>
  <c r="E18" i="12"/>
  <c r="E23" i="12"/>
  <c r="E28" i="12"/>
  <c r="E11" i="12"/>
  <c r="D23" i="12"/>
  <c r="D33" i="12"/>
  <c r="E30" i="12"/>
  <c r="AK11" i="1"/>
  <c r="AK27" i="1"/>
  <c r="AK12" i="1"/>
  <c r="AK28" i="1"/>
  <c r="AK13" i="1"/>
  <c r="AK29" i="1"/>
  <c r="AK6" i="1"/>
  <c r="AK22" i="1"/>
  <c r="AK38" i="1"/>
  <c r="AB4" i="8"/>
  <c r="Z8" i="8"/>
  <c r="Y8" i="8"/>
  <c r="X8" i="8"/>
  <c r="W8" i="8"/>
  <c r="V8" i="8"/>
  <c r="U8" i="8"/>
  <c r="T8" i="8"/>
  <c r="S8" i="8"/>
  <c r="V5" i="12" l="1"/>
  <c r="N5" i="12"/>
  <c r="V37" i="12"/>
  <c r="N13" i="12"/>
  <c r="V12" i="12"/>
  <c r="N7" i="12"/>
  <c r="V10" i="12"/>
  <c r="N20" i="12"/>
  <c r="V33" i="12"/>
  <c r="N40" i="12"/>
  <c r="V8" i="12"/>
  <c r="N21" i="12"/>
  <c r="V6" i="12"/>
  <c r="N38" i="12"/>
  <c r="V29" i="12"/>
  <c r="N24" i="12"/>
  <c r="V19" i="12"/>
  <c r="N15" i="12"/>
  <c r="V21" i="12"/>
  <c r="N4" i="12"/>
  <c r="V27" i="12"/>
  <c r="N10" i="12"/>
  <c r="V17" i="12"/>
  <c r="N25" i="12"/>
  <c r="V23" i="12"/>
  <c r="N28" i="12"/>
  <c r="V36" i="12"/>
  <c r="N26" i="12"/>
  <c r="V3" i="12"/>
  <c r="N9" i="12"/>
  <c r="V38" i="12"/>
  <c r="N35" i="12"/>
  <c r="V9" i="12"/>
  <c r="N37" i="12"/>
  <c r="V39" i="12"/>
  <c r="N23" i="12"/>
  <c r="V4" i="12"/>
  <c r="N8" i="12"/>
  <c r="V11" i="12"/>
  <c r="N16" i="12"/>
  <c r="V40" i="12"/>
  <c r="N41" i="12"/>
  <c r="V7" i="12"/>
  <c r="N39" i="12"/>
  <c r="V20" i="12"/>
  <c r="N3" i="12"/>
  <c r="V34" i="12"/>
  <c r="N33" i="12"/>
  <c r="V32" i="12"/>
  <c r="N29" i="12"/>
  <c r="V14" i="12"/>
  <c r="N31" i="12"/>
  <c r="V13" i="12"/>
  <c r="N19" i="12"/>
  <c r="V25" i="12"/>
  <c r="N36" i="12"/>
  <c r="V16" i="12"/>
  <c r="N30" i="12"/>
  <c r="V31" i="12"/>
  <c r="N12" i="12"/>
  <c r="V28" i="12"/>
  <c r="N27" i="12"/>
  <c r="V26" i="12"/>
  <c r="N18" i="12"/>
  <c r="V24" i="12"/>
  <c r="N32" i="12"/>
  <c r="V22" i="12"/>
  <c r="N11" i="12"/>
  <c r="V35" i="12"/>
  <c r="N6" i="12"/>
  <c r="V18" i="12"/>
  <c r="N17" i="12"/>
  <c r="V15" i="12"/>
  <c r="N34" i="12"/>
  <c r="V30" i="12"/>
  <c r="N22" i="12"/>
  <c r="V41" i="12"/>
  <c r="N14" i="12"/>
  <c r="B7" i="13"/>
  <c r="C34" i="12"/>
  <c r="C3" i="12"/>
  <c r="C2" i="12"/>
  <c r="C30" i="12"/>
  <c r="C28" i="12"/>
  <c r="C5" i="12"/>
  <c r="C8" i="12"/>
  <c r="C15" i="12"/>
  <c r="C4" i="12"/>
  <c r="C25" i="12"/>
  <c r="C14" i="12"/>
  <c r="C12" i="12"/>
  <c r="C38" i="12"/>
  <c r="C17" i="12"/>
  <c r="C27" i="12"/>
  <c r="C21" i="12"/>
  <c r="C26" i="12"/>
  <c r="C18" i="12"/>
  <c r="C16" i="12"/>
  <c r="C7" i="12"/>
  <c r="C19" i="12"/>
  <c r="C9" i="12"/>
  <c r="C20" i="12"/>
  <c r="C11" i="12"/>
  <c r="B13" i="13"/>
  <c r="C33" i="12"/>
  <c r="C37" i="12"/>
  <c r="C40" i="12"/>
  <c r="C39" i="12"/>
  <c r="C24" i="12"/>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D9" i="8"/>
  <c r="AB9" i="8"/>
  <c r="AD9" i="8" l="1"/>
  <c r="AC9" i="8"/>
  <c r="U4" i="8"/>
  <c r="Q4" i="8"/>
  <c r="F4" i="8"/>
  <c r="K4" i="8"/>
  <c r="R4" i="8"/>
  <c r="W4" i="8"/>
  <c r="J4" i="8"/>
  <c r="V4" i="8"/>
  <c r="G4" i="8"/>
  <c r="L4" i="8"/>
  <c r="S4" i="8"/>
  <c r="T4" i="8"/>
  <c r="X4" i="8"/>
  <c r="H4" i="8"/>
  <c r="I4" i="8"/>
  <c r="M4" i="8"/>
  <c r="N4" i="8"/>
  <c r="Y4" i="8"/>
  <c r="Z4" i="8"/>
  <c r="AA4" i="8"/>
  <c r="F9" i="8"/>
  <c r="Y9" i="8"/>
  <c r="S9" i="8"/>
  <c r="W9" i="8"/>
  <c r="J9" i="8"/>
  <c r="O9" i="8"/>
  <c r="AA9" i="8"/>
  <c r="I9" i="8"/>
  <c r="V9" i="8"/>
  <c r="T9" i="8"/>
  <c r="K9" i="8"/>
  <c r="L9" i="8"/>
  <c r="P9" i="8"/>
  <c r="R9" i="8"/>
  <c r="C9" i="8"/>
  <c r="X9" i="8"/>
  <c r="H9" i="8"/>
  <c r="Z9" i="8"/>
  <c r="E9" i="8"/>
  <c r="Q9" i="8"/>
  <c r="U9" i="8"/>
  <c r="B9" i="8"/>
  <c r="N9" i="8"/>
  <c r="G9" i="8"/>
  <c r="M9" i="8"/>
  <c r="H10" i="8"/>
  <c r="AB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D10" i="8"/>
  <c r="O10" i="8"/>
  <c r="M10" i="8"/>
  <c r="T10" i="8"/>
  <c r="F10" i="8"/>
  <c r="J10" i="8"/>
  <c r="P10" i="8"/>
  <c r="Q10" i="8"/>
  <c r="AA10" i="8"/>
  <c r="M11" i="8"/>
  <c r="Y10" i="8"/>
  <c r="B10" i="8"/>
  <c r="I10" i="8"/>
  <c r="V10" i="8"/>
  <c r="W10" i="8"/>
  <c r="L10" i="8"/>
  <c r="C10" i="8"/>
  <c r="G10" i="8"/>
  <c r="R10" i="8"/>
  <c r="X10" i="8"/>
  <c r="K10" i="8"/>
  <c r="Z10" i="8"/>
  <c r="S10" i="8"/>
  <c r="E10" i="8"/>
  <c r="N10" i="8"/>
  <c r="U10" i="8"/>
  <c r="AB11" i="8"/>
  <c r="E20" i="6" l="1"/>
  <c r="D20" i="6"/>
  <c r="D12" i="6"/>
  <c r="E12" i="6"/>
  <c r="AD11" i="8"/>
  <c r="AC11" i="8"/>
  <c r="S11" i="8"/>
  <c r="D11" i="8"/>
  <c r="R11" i="8"/>
  <c r="U11" i="8"/>
  <c r="Q11" i="8"/>
  <c r="K11" i="8"/>
  <c r="C11" i="8"/>
  <c r="N11" i="8"/>
  <c r="O11" i="8"/>
  <c r="B11" i="8"/>
  <c r="X11" i="8"/>
  <c r="Y11" i="8"/>
  <c r="P11" i="8"/>
  <c r="H11" i="8"/>
  <c r="E11" i="8"/>
  <c r="AA11" i="8"/>
  <c r="L11" i="8"/>
  <c r="Z11" i="8"/>
  <c r="F11" i="8"/>
  <c r="W11" i="8"/>
  <c r="T11" i="8"/>
  <c r="V11" i="8"/>
  <c r="J11" i="8"/>
  <c r="I11" i="8"/>
  <c r="G11" i="8"/>
  <c r="F12" i="8"/>
  <c r="AB12" i="8"/>
  <c r="AD12" i="8" l="1"/>
  <c r="AC12" i="8"/>
  <c r="L12" i="8"/>
  <c r="T12" i="8"/>
  <c r="H12" i="8"/>
  <c r="O12" i="8"/>
  <c r="N12" i="8"/>
  <c r="U12" i="8"/>
  <c r="E12" i="8"/>
  <c r="AA12" i="8"/>
  <c r="P12" i="8"/>
  <c r="B12" i="8"/>
  <c r="M12" i="8"/>
  <c r="J12" i="8"/>
  <c r="R12" i="8"/>
  <c r="Z12" i="8"/>
  <c r="G13" i="8"/>
  <c r="Q12" i="8"/>
  <c r="C12" i="8"/>
  <c r="K12" i="8"/>
  <c r="S12" i="8"/>
  <c r="V12" i="8"/>
  <c r="X12" i="8"/>
  <c r="I12" i="8"/>
  <c r="Y12" i="8"/>
  <c r="D12" i="8"/>
  <c r="W12" i="8"/>
  <c r="G12" i="8"/>
  <c r="AB13" i="8"/>
  <c r="AD13" i="8" l="1"/>
  <c r="AC13" i="8"/>
  <c r="W13" i="8"/>
  <c r="L13" i="8"/>
  <c r="J13" i="8"/>
  <c r="AA13" i="8"/>
  <c r="D13" i="8"/>
  <c r="M13" i="8"/>
  <c r="X13" i="8"/>
  <c r="Q13" i="8"/>
  <c r="P13" i="8"/>
  <c r="B13" i="8"/>
  <c r="T13" i="8"/>
  <c r="I13" i="8"/>
  <c r="H13" i="8"/>
  <c r="F13" i="8"/>
  <c r="V13" i="8"/>
  <c r="N13" i="8"/>
  <c r="Z13" i="8"/>
  <c r="S13" i="8"/>
  <c r="R13" i="8"/>
  <c r="E13" i="8"/>
  <c r="U13" i="8"/>
  <c r="C13" i="8"/>
  <c r="K13" i="8"/>
  <c r="O13" i="8"/>
  <c r="Y13" i="8"/>
  <c r="AB14" i="8"/>
  <c r="B14" i="8"/>
  <c r="AD14" i="8" l="1"/>
  <c r="AC14" i="8"/>
  <c r="H14" i="8"/>
  <c r="G14" i="8"/>
  <c r="R14" i="8"/>
  <c r="S14" i="8"/>
  <c r="AA14" i="8"/>
  <c r="W14" i="8"/>
  <c r="Z14" i="8"/>
  <c r="K14" i="8"/>
  <c r="M14" i="8"/>
  <c r="E14" i="8"/>
  <c r="P14" i="8"/>
  <c r="Q14" i="8"/>
  <c r="V14" i="8"/>
  <c r="X14" i="8"/>
  <c r="T14" i="8"/>
  <c r="J14" i="8"/>
  <c r="N14" i="8"/>
  <c r="C14" i="8"/>
  <c r="I14" i="8"/>
  <c r="U14" i="8"/>
  <c r="L14" i="8"/>
  <c r="O14" i="8"/>
  <c r="F14" i="8"/>
  <c r="D14" i="8"/>
  <c r="Y14" i="8"/>
  <c r="N15" i="8"/>
  <c r="AB15" i="8"/>
  <c r="AD15" i="8" l="1"/>
  <c r="AC15" i="8"/>
  <c r="H15" i="8"/>
  <c r="W15" i="8"/>
  <c r="U15" i="8"/>
  <c r="L15" i="8"/>
  <c r="G15" i="8"/>
  <c r="Z15" i="8"/>
  <c r="P15" i="8"/>
  <c r="K15" i="8"/>
  <c r="F15" i="8"/>
  <c r="O15" i="8"/>
  <c r="R15" i="8"/>
  <c r="S15" i="8"/>
  <c r="Y15" i="8"/>
  <c r="C15" i="8"/>
  <c r="Q15" i="8"/>
  <c r="X15" i="8"/>
  <c r="AA15" i="8"/>
  <c r="V15" i="8"/>
  <c r="J15" i="8"/>
  <c r="M15" i="8"/>
  <c r="B15" i="8"/>
  <c r="D15" i="8"/>
  <c r="T15" i="8"/>
  <c r="I15" i="8"/>
  <c r="E15" i="8"/>
  <c r="AB16" i="8"/>
  <c r="AA16" i="8"/>
  <c r="AD16" i="8" l="1"/>
  <c r="AC16" i="8"/>
  <c r="T16" i="8"/>
  <c r="P16" i="8"/>
  <c r="I16" i="8"/>
  <c r="G16" i="8"/>
  <c r="V16" i="8"/>
  <c r="S16" i="8"/>
  <c r="H16" i="8"/>
  <c r="M16" i="8"/>
  <c r="Y16" i="8"/>
  <c r="D16" i="8"/>
  <c r="Z16" i="8"/>
  <c r="C16" i="8"/>
  <c r="Q16" i="8"/>
  <c r="N16" i="8"/>
  <c r="W16" i="8"/>
  <c r="L16" i="8"/>
  <c r="J16" i="8"/>
  <c r="R16" i="8"/>
  <c r="K16" i="8"/>
  <c r="F16" i="8"/>
  <c r="B16" i="8"/>
  <c r="E16" i="8"/>
  <c r="X16" i="8"/>
  <c r="O16" i="8"/>
  <c r="U16" i="8"/>
  <c r="AB17" i="8"/>
  <c r="N17" i="8"/>
  <c r="AD17" i="8" l="1"/>
  <c r="AC17" i="8"/>
  <c r="O17" i="8"/>
  <c r="V17" i="8"/>
  <c r="M17" i="8"/>
  <c r="R17" i="8"/>
  <c r="H17" i="8"/>
  <c r="Q17" i="8"/>
  <c r="J17" i="8"/>
  <c r="T17" i="8"/>
  <c r="Z17" i="8"/>
  <c r="AA17" i="8"/>
  <c r="X17" i="8"/>
  <c r="C17" i="8"/>
  <c r="P17" i="8"/>
  <c r="F17" i="8"/>
  <c r="I17" i="8"/>
  <c r="B17" i="8"/>
  <c r="Y17" i="8"/>
  <c r="W17" i="8"/>
  <c r="D17" i="8"/>
  <c r="L17" i="8"/>
  <c r="G17" i="8"/>
  <c r="U17" i="8"/>
  <c r="E17" i="8"/>
  <c r="S17" i="8"/>
  <c r="K17" i="8"/>
  <c r="AB18" i="8"/>
  <c r="G18" i="8"/>
  <c r="AD18" i="8" l="1"/>
  <c r="AC18" i="8"/>
  <c r="Q18" i="8"/>
  <c r="W18" i="8"/>
  <c r="B18" i="8"/>
  <c r="M18" i="8"/>
  <c r="Z18" i="8"/>
  <c r="K18" i="8"/>
  <c r="S18" i="8"/>
  <c r="F18" i="8"/>
  <c r="T18" i="8"/>
  <c r="Y18" i="8"/>
  <c r="N18" i="8"/>
  <c r="AB19" i="8"/>
  <c r="V18" i="8"/>
  <c r="X18" i="8"/>
  <c r="E18" i="8"/>
  <c r="O18" i="8"/>
  <c r="U18" i="8"/>
  <c r="I18" i="8"/>
  <c r="P18" i="8"/>
  <c r="AA18" i="8"/>
  <c r="H18" i="8"/>
  <c r="L18" i="8"/>
  <c r="J18" i="8"/>
  <c r="C18" i="8"/>
  <c r="D18" i="8"/>
  <c r="R18" i="8"/>
  <c r="E19" i="8"/>
  <c r="AD19" i="8" l="1"/>
  <c r="AC19" i="8"/>
  <c r="V19" i="8"/>
  <c r="B19" i="8"/>
  <c r="D19" i="8"/>
  <c r="C19" i="8"/>
  <c r="H19" i="8"/>
  <c r="Q19" i="8"/>
  <c r="Y19" i="8"/>
  <c r="I19" i="8"/>
  <c r="J19" i="8"/>
  <c r="X19" i="8"/>
  <c r="G19" i="8"/>
  <c r="O19" i="8"/>
  <c r="Z19" i="8"/>
  <c r="W19" i="8"/>
  <c r="AA19" i="8"/>
  <c r="S19" i="8"/>
  <c r="F19" i="8"/>
  <c r="K19" i="8"/>
  <c r="R19" i="8"/>
  <c r="T19" i="8"/>
  <c r="P19" i="8"/>
  <c r="U19" i="8"/>
  <c r="M19" i="8"/>
  <c r="L19" i="8"/>
  <c r="N19" i="8"/>
  <c r="Y20" i="8"/>
  <c r="AB20" i="8"/>
  <c r="AD20" i="8" l="1"/>
  <c r="AC20" i="8"/>
  <c r="C20" i="8"/>
  <c r="N20" i="8"/>
  <c r="K20" i="8"/>
  <c r="I20" i="8"/>
  <c r="U20" i="8"/>
  <c r="Q20" i="8"/>
  <c r="L20" i="8"/>
  <c r="H20" i="8"/>
  <c r="M20" i="8"/>
  <c r="F20" i="8"/>
  <c r="T20" i="8"/>
  <c r="P20" i="8"/>
  <c r="J20" i="8"/>
  <c r="V20" i="8"/>
  <c r="E20" i="8"/>
  <c r="D20" i="8"/>
  <c r="B20" i="8"/>
  <c r="X20" i="8"/>
  <c r="W20" i="8"/>
  <c r="G20" i="8"/>
  <c r="Z20" i="8"/>
  <c r="R20" i="8"/>
  <c r="AA21" i="8"/>
  <c r="AA20" i="8"/>
  <c r="S20" i="8"/>
  <c r="O20" i="8"/>
  <c r="AB21" i="8"/>
  <c r="AD21" i="8" l="1"/>
  <c r="AC21" i="8"/>
  <c r="R21" i="8"/>
  <c r="N22" i="8"/>
  <c r="Y21" i="8"/>
  <c r="B21" i="8"/>
  <c r="J21" i="8"/>
  <c r="H21" i="8"/>
  <c r="N21" i="8"/>
  <c r="T21" i="8"/>
  <c r="P21" i="8"/>
  <c r="F21" i="8"/>
  <c r="X21" i="8"/>
  <c r="S21" i="8"/>
  <c r="U21" i="8"/>
  <c r="Z21" i="8"/>
  <c r="G21" i="8"/>
  <c r="L21" i="8"/>
  <c r="I21" i="8"/>
  <c r="O21" i="8"/>
  <c r="Q21" i="8"/>
  <c r="V21" i="8"/>
  <c r="E21" i="8"/>
  <c r="C21" i="8"/>
  <c r="K21" i="8"/>
  <c r="W21" i="8"/>
  <c r="D21" i="8"/>
  <c r="M21" i="8"/>
  <c r="AB22" i="8"/>
  <c r="AD22" i="8" l="1"/>
  <c r="AC22" i="8"/>
  <c r="D22" i="8"/>
  <c r="M22" i="8"/>
  <c r="H22" i="8"/>
  <c r="Q22" i="8"/>
  <c r="AA22" i="8"/>
  <c r="T22" i="8"/>
  <c r="P22" i="8"/>
  <c r="Z22" i="8"/>
  <c r="K22" i="8"/>
  <c r="Y22" i="8"/>
  <c r="AB23" i="8"/>
  <c r="X22" i="8"/>
  <c r="O22" i="8"/>
  <c r="B22" i="8"/>
  <c r="J22" i="8"/>
  <c r="I22" i="8"/>
  <c r="S22" i="8"/>
  <c r="V22" i="8"/>
  <c r="R22" i="8"/>
  <c r="F22" i="8"/>
  <c r="C22" i="8"/>
  <c r="E22" i="8"/>
  <c r="L22" i="8"/>
  <c r="G22" i="8"/>
  <c r="W22" i="8"/>
  <c r="U22" i="8"/>
  <c r="Y23" i="8"/>
  <c r="AD23" i="8" l="1"/>
  <c r="AC23" i="8"/>
  <c r="X23" i="8"/>
  <c r="B23" i="8"/>
  <c r="O23" i="8"/>
  <c r="V23" i="8"/>
  <c r="M23" i="8"/>
  <c r="K23" i="8"/>
  <c r="AB24" i="8"/>
  <c r="AA23" i="8"/>
  <c r="C23" i="8"/>
  <c r="I23" i="8"/>
  <c r="N23" i="8"/>
  <c r="Q23" i="8"/>
  <c r="W23" i="8"/>
  <c r="S23" i="8"/>
  <c r="G23" i="8"/>
  <c r="R23" i="8"/>
  <c r="L23" i="8"/>
  <c r="E23" i="8"/>
  <c r="F23" i="8"/>
  <c r="F24" i="8"/>
  <c r="J23" i="8"/>
  <c r="P23" i="8"/>
  <c r="T23" i="8"/>
  <c r="D23" i="8"/>
  <c r="U23" i="8"/>
  <c r="H23" i="8"/>
  <c r="Z23" i="8"/>
  <c r="AD24" i="8" l="1"/>
  <c r="AC24" i="8"/>
  <c r="W24" i="8"/>
  <c r="O24" i="8"/>
  <c r="L24" i="8"/>
  <c r="U24" i="8"/>
  <c r="K24" i="8"/>
  <c r="AB25" i="8"/>
  <c r="P24" i="8"/>
  <c r="R24" i="8"/>
  <c r="N24" i="8"/>
  <c r="E24" i="8"/>
  <c r="B24" i="8"/>
  <c r="M24" i="8"/>
  <c r="V24" i="8"/>
  <c r="AA24" i="8"/>
  <c r="Y24" i="8"/>
  <c r="H24" i="8"/>
  <c r="I24" i="8"/>
  <c r="C24" i="8"/>
  <c r="S24" i="8"/>
  <c r="G24" i="8"/>
  <c r="T24" i="8"/>
  <c r="D24" i="8"/>
  <c r="J24" i="8"/>
  <c r="Q24" i="8"/>
  <c r="Z24" i="8"/>
  <c r="X24" i="8"/>
  <c r="H25" i="8"/>
  <c r="AD25" i="8" l="1"/>
  <c r="AC25" i="8"/>
  <c r="M25" i="8"/>
  <c r="K25" i="8"/>
  <c r="X25" i="8"/>
  <c r="D25" i="8"/>
  <c r="Q25" i="8"/>
  <c r="O25" i="8"/>
  <c r="AB26" i="8"/>
  <c r="W25" i="8"/>
  <c r="X26" i="8"/>
  <c r="N25" i="8"/>
  <c r="I25" i="8"/>
  <c r="R25" i="8"/>
  <c r="Z25" i="8"/>
  <c r="U25" i="8"/>
  <c r="B25" i="8"/>
  <c r="G25" i="8"/>
  <c r="E25" i="8"/>
  <c r="Y25" i="8"/>
  <c r="T25" i="8"/>
  <c r="F25" i="8"/>
  <c r="P25" i="8"/>
  <c r="J25" i="8"/>
  <c r="C25" i="8"/>
  <c r="AA25" i="8"/>
  <c r="L25" i="8"/>
  <c r="V25" i="8"/>
  <c r="S25" i="8"/>
  <c r="AD26" i="8" l="1"/>
  <c r="AC26" i="8"/>
  <c r="P26" i="8"/>
  <c r="B26" i="8"/>
  <c r="M26" i="8"/>
  <c r="V26" i="8"/>
  <c r="C26" i="8"/>
  <c r="D26" i="8"/>
  <c r="AB27" i="8"/>
  <c r="N26" i="8"/>
  <c r="I26" i="8"/>
  <c r="H26" i="8"/>
  <c r="Y26" i="8"/>
  <c r="S26" i="8"/>
  <c r="O26" i="8"/>
  <c r="Q26" i="8"/>
  <c r="Z26" i="8"/>
  <c r="J26" i="8"/>
  <c r="T26" i="8"/>
  <c r="AA26" i="8"/>
  <c r="K26" i="8"/>
  <c r="F26" i="8"/>
  <c r="G26" i="8"/>
  <c r="L26" i="8"/>
  <c r="E26" i="8"/>
  <c r="R26" i="8"/>
  <c r="W26" i="8"/>
  <c r="B27" i="8"/>
  <c r="U26" i="8"/>
  <c r="AD27" i="8" l="1"/>
  <c r="AC27" i="8"/>
  <c r="L27" i="8"/>
  <c r="N27" i="8"/>
  <c r="O27" i="8"/>
  <c r="AA27" i="8"/>
  <c r="R27" i="8"/>
  <c r="G27" i="8"/>
  <c r="T27" i="8"/>
  <c r="D27" i="8"/>
  <c r="K27" i="8"/>
  <c r="V27" i="8"/>
  <c r="X27" i="8"/>
  <c r="Q27" i="8"/>
  <c r="I27" i="8"/>
  <c r="M27" i="8"/>
  <c r="P27" i="8"/>
  <c r="F28" i="8"/>
  <c r="Z27" i="8"/>
  <c r="E27" i="8"/>
  <c r="U28" i="8"/>
  <c r="H27" i="8"/>
  <c r="W27" i="8"/>
  <c r="S27" i="8"/>
  <c r="J27" i="8"/>
  <c r="U27" i="8"/>
  <c r="C27" i="8"/>
  <c r="F27" i="8"/>
  <c r="Y27" i="8"/>
  <c r="I28" i="8"/>
  <c r="AB28" i="8"/>
  <c r="Y28" i="8"/>
  <c r="AD28" i="8" l="1"/>
  <c r="AC28" i="8"/>
  <c r="P28" i="8"/>
  <c r="Q28" i="8"/>
  <c r="T28" i="8"/>
  <c r="AA28" i="8"/>
  <c r="G29" i="8"/>
  <c r="B28" i="8"/>
  <c r="N28" i="8"/>
  <c r="L28" i="8"/>
  <c r="O28" i="8"/>
  <c r="X28" i="8"/>
  <c r="G28" i="8"/>
  <c r="V28" i="8"/>
  <c r="E28" i="8"/>
  <c r="Z28" i="8"/>
  <c r="D28" i="8"/>
  <c r="J28" i="8"/>
  <c r="K28" i="8"/>
  <c r="H28" i="8"/>
  <c r="M28" i="8"/>
  <c r="R28" i="8"/>
  <c r="AB29" i="8"/>
  <c r="S28" i="8"/>
  <c r="C28" i="8"/>
  <c r="W28" i="8"/>
  <c r="AD29" i="8" l="1"/>
  <c r="AC29" i="8"/>
  <c r="V29" i="8"/>
  <c r="AB30" i="8"/>
  <c r="J29" i="8"/>
  <c r="S29" i="8"/>
  <c r="N29" i="8"/>
  <c r="P29" i="8"/>
  <c r="H29" i="8"/>
  <c r="E29" i="8"/>
  <c r="C29" i="8"/>
  <c r="O29" i="8"/>
  <c r="Q29" i="8"/>
  <c r="F29" i="8"/>
  <c r="T29" i="8"/>
  <c r="X29" i="8"/>
  <c r="M29" i="8"/>
  <c r="U29" i="8"/>
  <c r="B29" i="8"/>
  <c r="D29" i="8"/>
  <c r="K29" i="8"/>
  <c r="Z29" i="8"/>
  <c r="Y29" i="8"/>
  <c r="R29" i="8"/>
  <c r="W29" i="8"/>
  <c r="L29" i="8"/>
  <c r="AA29" i="8"/>
  <c r="I29" i="8"/>
  <c r="H30" i="8"/>
  <c r="AD30" i="8" l="1"/>
  <c r="AC30" i="8"/>
  <c r="S30" i="8"/>
  <c r="I30" i="8"/>
  <c r="L30" i="8"/>
  <c r="D30" i="8"/>
  <c r="G30" i="8"/>
  <c r="X30" i="8"/>
  <c r="F30" i="8"/>
  <c r="B30" i="8"/>
  <c r="O30" i="8"/>
  <c r="J30" i="8"/>
  <c r="W30" i="8"/>
  <c r="Y30" i="8"/>
  <c r="C30" i="8"/>
  <c r="U30" i="8"/>
  <c r="Z30" i="8"/>
  <c r="T30" i="8"/>
  <c r="E30" i="8"/>
  <c r="AA30" i="8"/>
  <c r="Q30" i="8"/>
  <c r="M30" i="8"/>
  <c r="V30" i="8"/>
  <c r="K30" i="8"/>
  <c r="P30" i="8"/>
  <c r="R30" i="8"/>
  <c r="N30" i="8"/>
  <c r="AB31" i="8"/>
  <c r="M31" i="8"/>
  <c r="AD31" i="8" l="1"/>
  <c r="AC31" i="8"/>
  <c r="F31" i="8"/>
  <c r="P31" i="8"/>
  <c r="U31" i="8"/>
  <c r="R31" i="8"/>
  <c r="X31" i="8"/>
  <c r="I31" i="8"/>
  <c r="J31" i="8"/>
  <c r="C31" i="8"/>
  <c r="AA32" i="8"/>
  <c r="L31" i="8"/>
  <c r="E31" i="8"/>
  <c r="Z31" i="8"/>
  <c r="D31" i="8"/>
  <c r="AA31" i="8"/>
  <c r="Y31" i="8"/>
  <c r="B31" i="8"/>
  <c r="H31" i="8"/>
  <c r="G31" i="8"/>
  <c r="W31" i="8"/>
  <c r="AB32" i="8"/>
  <c r="V31" i="8"/>
  <c r="K31" i="8"/>
  <c r="T31" i="8"/>
  <c r="O31" i="8"/>
  <c r="Q31" i="8"/>
  <c r="N31" i="8"/>
  <c r="S31" i="8"/>
  <c r="AD32" i="8" l="1"/>
  <c r="AC32" i="8"/>
  <c r="L32" i="8"/>
  <c r="N32" i="8"/>
  <c r="J32" i="8"/>
  <c r="F32" i="8"/>
  <c r="Y32" i="8"/>
  <c r="C32" i="8"/>
  <c r="K32" i="8"/>
  <c r="M32" i="8"/>
  <c r="R32" i="8"/>
  <c r="G32" i="8"/>
  <c r="I32" i="8"/>
  <c r="W32" i="8"/>
  <c r="B32" i="8"/>
  <c r="T32" i="8"/>
  <c r="D32" i="8"/>
  <c r="X32" i="8"/>
  <c r="U32" i="8"/>
  <c r="AA33" i="8"/>
  <c r="Z32" i="8"/>
  <c r="E32" i="8"/>
  <c r="H32" i="8"/>
  <c r="S32" i="8"/>
  <c r="O32" i="8"/>
  <c r="Q32" i="8"/>
  <c r="V32" i="8"/>
  <c r="AB33" i="8"/>
  <c r="P32" i="8"/>
  <c r="AD33" i="8" l="1"/>
  <c r="AC33" i="8"/>
  <c r="X33" i="8"/>
  <c r="J33" i="8"/>
  <c r="E33" i="8"/>
  <c r="D33" i="8"/>
  <c r="V33" i="8"/>
  <c r="Z33" i="8"/>
  <c r="S33" i="8"/>
  <c r="T33" i="8"/>
  <c r="H33" i="8"/>
  <c r="M33" i="8"/>
  <c r="F33" i="8"/>
  <c r="N33" i="8"/>
  <c r="U33" i="8"/>
  <c r="C33" i="8"/>
  <c r="O33" i="8"/>
  <c r="P33" i="8"/>
  <c r="AB34" i="8"/>
  <c r="W33" i="8"/>
  <c r="L33" i="8"/>
  <c r="K33" i="8"/>
  <c r="I33" i="8"/>
  <c r="R33" i="8"/>
  <c r="Y33" i="8"/>
  <c r="G33" i="8"/>
  <c r="N34" i="8"/>
  <c r="Q33" i="8"/>
  <c r="B33" i="8"/>
  <c r="O34" i="8"/>
  <c r="M34" i="8"/>
  <c r="AD34" i="8" l="1"/>
  <c r="AC34" i="8"/>
  <c r="Q34" i="8"/>
  <c r="J34" i="8"/>
  <c r="I34" i="8"/>
  <c r="X34" i="8"/>
  <c r="W34" i="8"/>
  <c r="V34" i="8"/>
  <c r="H34" i="8"/>
  <c r="F34" i="8"/>
  <c r="U34" i="8"/>
  <c r="R34" i="8"/>
  <c r="K34" i="8"/>
  <c r="B34" i="8"/>
  <c r="C34" i="8"/>
  <c r="L34" i="8"/>
  <c r="AA34" i="8"/>
  <c r="AB35" i="8"/>
  <c r="P34" i="8"/>
  <c r="E34" i="8"/>
  <c r="Y34" i="8"/>
  <c r="G34" i="8"/>
  <c r="S34" i="8"/>
  <c r="D34" i="8"/>
  <c r="Z34" i="8"/>
  <c r="T34" i="8"/>
  <c r="S35" i="8"/>
  <c r="AC35" i="8" l="1"/>
  <c r="AD35" i="8"/>
  <c r="M35" i="8"/>
  <c r="F35" i="8"/>
  <c r="X35" i="8"/>
  <c r="K35" i="8"/>
  <c r="N35" i="8"/>
  <c r="B35" i="8"/>
  <c r="R35" i="8"/>
  <c r="J35" i="8"/>
  <c r="C35" i="8"/>
  <c r="T35" i="8"/>
  <c r="Z35" i="8"/>
  <c r="Y35" i="8"/>
  <c r="I35" i="8"/>
  <c r="V35" i="8"/>
  <c r="D35" i="8"/>
  <c r="H35" i="8"/>
  <c r="Q35" i="8"/>
  <c r="O35" i="8"/>
  <c r="W35" i="8"/>
  <c r="K36" i="8"/>
  <c r="E35" i="8"/>
  <c r="U35" i="8"/>
  <c r="P35" i="8"/>
  <c r="AA35" i="8"/>
  <c r="G35" i="8"/>
  <c r="Q36" i="8"/>
  <c r="L35" i="8"/>
  <c r="L36" i="8"/>
  <c r="AB36" i="8"/>
  <c r="AD36" i="8" l="1"/>
  <c r="AC36" i="8"/>
  <c r="V36" i="8"/>
  <c r="F36" i="8"/>
  <c r="C36" i="8"/>
  <c r="O36" i="8"/>
  <c r="T36" i="8"/>
  <c r="R36" i="8"/>
  <c r="AA36" i="8"/>
  <c r="H36" i="8"/>
  <c r="AA37" i="8"/>
  <c r="N36" i="8"/>
  <c r="E36" i="8"/>
  <c r="D36" i="8"/>
  <c r="W36" i="8"/>
  <c r="Z36" i="8"/>
  <c r="X36" i="8"/>
  <c r="U36" i="8"/>
  <c r="Y36" i="8"/>
  <c r="S36" i="8"/>
  <c r="M36" i="8"/>
  <c r="J36" i="8"/>
  <c r="B36" i="8"/>
  <c r="P36" i="8"/>
  <c r="I36" i="8"/>
  <c r="AB37" i="8"/>
  <c r="G36" i="8"/>
  <c r="AC37" i="8" l="1"/>
  <c r="AD37" i="8"/>
  <c r="X37" i="8"/>
  <c r="K37" i="8"/>
  <c r="G38" i="8"/>
  <c r="I37" i="8"/>
  <c r="G37" i="8"/>
  <c r="E37" i="8"/>
  <c r="T37" i="8"/>
  <c r="C37" i="8"/>
  <c r="V37" i="8"/>
  <c r="R37" i="8"/>
  <c r="M37" i="8"/>
  <c r="D37" i="8"/>
  <c r="N37" i="8"/>
  <c r="F37" i="8"/>
  <c r="O37" i="8"/>
  <c r="J37" i="8"/>
  <c r="Z37" i="8"/>
  <c r="H37" i="8"/>
  <c r="U37" i="8"/>
  <c r="S37" i="8"/>
  <c r="Q37" i="8"/>
  <c r="L37" i="8"/>
  <c r="B37" i="8"/>
  <c r="W37" i="8"/>
  <c r="P37" i="8"/>
  <c r="Y37" i="8"/>
  <c r="AB38" i="8"/>
  <c r="AD38" i="8" l="1"/>
  <c r="AC38" i="8"/>
  <c r="I38" i="8"/>
  <c r="T38" i="8"/>
  <c r="X38" i="8"/>
  <c r="AA38" i="8"/>
  <c r="D38" i="8"/>
  <c r="P38" i="8"/>
  <c r="O38" i="8"/>
  <c r="N38" i="8"/>
  <c r="Y38" i="8"/>
  <c r="W38" i="8"/>
  <c r="C38" i="8"/>
  <c r="R38" i="8"/>
  <c r="U38" i="8"/>
  <c r="Z38" i="8"/>
  <c r="V38" i="8"/>
  <c r="F38" i="8"/>
  <c r="M38" i="8"/>
  <c r="AB39" i="8"/>
  <c r="H38" i="8"/>
  <c r="J38" i="8"/>
  <c r="E38" i="8"/>
  <c r="L38" i="8"/>
  <c r="K38" i="8"/>
  <c r="B38" i="8"/>
  <c r="Q38" i="8"/>
  <c r="S38" i="8"/>
  <c r="L39" i="8"/>
  <c r="AD39" i="8" l="1"/>
  <c r="AC39" i="8"/>
  <c r="S39" i="8"/>
  <c r="R39" i="8"/>
  <c r="V39" i="8"/>
  <c r="B39" i="8"/>
  <c r="D40" i="8"/>
  <c r="W39" i="8"/>
  <c r="X39" i="8"/>
  <c r="Z39" i="8"/>
  <c r="U39" i="8"/>
  <c r="C39" i="8"/>
  <c r="O39" i="8"/>
  <c r="T39" i="8"/>
  <c r="AB40" i="8"/>
  <c r="G39" i="8"/>
  <c r="M39" i="8"/>
  <c r="Y39" i="8"/>
  <c r="I39" i="8"/>
  <c r="F39" i="8"/>
  <c r="Q39" i="8"/>
  <c r="J39" i="8"/>
  <c r="AA39" i="8"/>
  <c r="E39" i="8"/>
  <c r="N39" i="8"/>
  <c r="P39" i="8"/>
  <c r="D39" i="8"/>
  <c r="K39" i="8"/>
  <c r="H39" i="8"/>
  <c r="AD40" i="8" l="1"/>
  <c r="AC40" i="8"/>
  <c r="L40" i="8"/>
  <c r="R40" i="8"/>
  <c r="Y40" i="8"/>
  <c r="I40" i="8"/>
  <c r="P40" i="8"/>
  <c r="N40" i="8"/>
  <c r="AA40" i="8"/>
  <c r="C40" i="8"/>
  <c r="H40" i="8"/>
  <c r="M40" i="8"/>
  <c r="V40" i="8"/>
  <c r="E40" i="8"/>
  <c r="AB41" i="8"/>
  <c r="T40" i="8"/>
  <c r="X40" i="8"/>
  <c r="U40" i="8"/>
  <c r="W40" i="8"/>
  <c r="S40" i="8"/>
  <c r="Z40" i="8"/>
  <c r="B40" i="8"/>
  <c r="Q40" i="8"/>
  <c r="K40" i="8"/>
  <c r="F40" i="8"/>
  <c r="J40" i="8"/>
  <c r="G40" i="8"/>
  <c r="O40" i="8"/>
  <c r="S41" i="8"/>
  <c r="AD41" i="8" l="1"/>
  <c r="AC41" i="8"/>
  <c r="O41" i="8"/>
  <c r="I41" i="8"/>
  <c r="K42" i="8"/>
  <c r="C42" i="8"/>
  <c r="U41" i="8"/>
  <c r="J41" i="8"/>
  <c r="P41" i="8"/>
  <c r="E41" i="8"/>
  <c r="M41" i="8"/>
  <c r="Y41" i="8"/>
  <c r="I42" i="8"/>
  <c r="N41" i="8"/>
  <c r="D41" i="8"/>
  <c r="R41" i="8"/>
  <c r="K41" i="8"/>
  <c r="AA41" i="8"/>
  <c r="B41" i="8"/>
  <c r="G41" i="8"/>
  <c r="C41" i="8"/>
  <c r="Z41" i="8"/>
  <c r="L41" i="8"/>
  <c r="R42" i="8"/>
  <c r="T41" i="8"/>
  <c r="H41" i="8"/>
  <c r="F41" i="8"/>
  <c r="X41" i="8"/>
  <c r="AB42" i="8"/>
  <c r="Q41" i="8"/>
  <c r="D42" i="8"/>
  <c r="V41" i="8"/>
  <c r="W41" i="8"/>
  <c r="AD42" i="8" l="1"/>
  <c r="AC42" i="8"/>
  <c r="P42" i="8"/>
  <c r="O42" i="8"/>
  <c r="G42" i="8"/>
  <c r="V42" i="8"/>
  <c r="J42" i="8"/>
  <c r="N42" i="8"/>
  <c r="B42" i="8"/>
  <c r="AB43" i="8"/>
  <c r="E42" i="8"/>
  <c r="L42" i="8"/>
  <c r="AA42" i="8"/>
  <c r="H42" i="8"/>
  <c r="F42" i="8"/>
  <c r="S42" i="8"/>
  <c r="Q42" i="8"/>
  <c r="Z42" i="8"/>
  <c r="W42" i="8"/>
  <c r="T42" i="8"/>
  <c r="X42" i="8"/>
  <c r="M42" i="8"/>
  <c r="Y42" i="8"/>
  <c r="U42" i="8"/>
  <c r="S43" i="8"/>
  <c r="AC43" i="8" l="1"/>
  <c r="AD43" i="8"/>
  <c r="I43" i="8"/>
  <c r="V43" i="8"/>
  <c r="X43" i="8"/>
  <c r="D43" i="8"/>
  <c r="T43" i="8"/>
  <c r="Q43" i="8"/>
  <c r="W43" i="8"/>
  <c r="N43" i="8"/>
  <c r="K43" i="8"/>
  <c r="C43" i="8"/>
  <c r="F43" i="8"/>
  <c r="B43" i="8"/>
  <c r="AA43" i="8"/>
  <c r="Z43" i="8"/>
  <c r="G43" i="8"/>
  <c r="E43" i="8"/>
  <c r="P43" i="8"/>
  <c r="M43" i="8"/>
  <c r="L43" i="8"/>
  <c r="Y43" i="8"/>
  <c r="O43" i="8"/>
  <c r="H43" i="8"/>
  <c r="J43" i="8"/>
  <c r="R43" i="8"/>
  <c r="U43" i="8"/>
</calcChain>
</file>

<file path=xl/sharedStrings.xml><?xml version="1.0" encoding="utf-8"?>
<sst xmlns="http://schemas.openxmlformats.org/spreadsheetml/2006/main" count="962" uniqueCount="379">
  <si>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</si>
  <si>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</si>
  <si>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</si>
  <si>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</si>
  <si>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</si>
  <si>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</si>
  <si>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</si>
  <si>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</si>
  <si>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</si>
  <si>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</si>
  <si>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</si>
  <si>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</si>
  <si>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</si>
  <si>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</si>
  <si>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</si>
  <si>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</si>
  <si>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</si>
  <si>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</si>
  <si>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</si>
  <si>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</si>
  <si>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</si>
  <si>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</si>
  <si>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</si>
  <si>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</si>
  <si>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</si>
  <si>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</si>
  <si>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</si>
  <si>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</si>
  <si>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</si>
  <si>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</si>
  <si>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</si>
  <si>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</si>
  <si>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</si>
  <si>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</si>
  <si>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</si>
  <si>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</si>
  <si>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</si>
  <si>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</si>
  <si>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</si>
  <si>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</si>
  <si>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</si>
  <si>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</si>
  <si>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</si>
  <si>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</si>
  <si>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</si>
  <si>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</si>
  <si>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</si>
  <si>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</si>
  <si>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</si>
  <si>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</si>
  <si>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</si>
  <si>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</si>
  <si>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</si>
  <si>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</si>
  <si>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</si>
  <si>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</si>
  <si>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</si>
  <si>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</si>
  <si>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</si>
  <si>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</si>
  <si>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</si>
  <si>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</si>
  <si>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</si>
  <si>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</si>
  <si>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</si>
  <si>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</si>
  <si>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</si>
  <si>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</si>
  <si>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</si>
  <si>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</si>
  <si>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</si>
  <si>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</si>
  <si>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</si>
  <si>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</si>
  <si>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</si>
  <si>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</si>
  <si>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</si>
  <si>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</si>
  <si>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</si>
  <si>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</si>
  <si>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</si>
  <si>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</si>
  <si>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</si>
  <si>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</si>
  <si>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</si>
  <si>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</si>
  <si>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</si>
  <si>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</si>
  <si>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</si>
  <si>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</si>
  <si>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</si>
  <si>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</si>
  <si>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</si>
  <si>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</si>
  <si>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</si>
  <si>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</si>
  <si>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</si>
  <si>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</si>
  <si>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</si>
  <si>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</si>
  <si>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</si>
  <si>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</si>
  <si>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</si>
  <si>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</si>
  <si>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</si>
  <si>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</si>
  <si>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</si>
  <si>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</si>
  <si>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</si>
  <si>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</si>
  <si>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</si>
  <si>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</si>
  <si>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</si>
  <si>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</si>
  <si>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</si>
  <si>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</si>
  <si>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</si>
  <si>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</si>
  <si>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</si>
  <si>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</si>
  <si>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</si>
  <si>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</si>
  <si>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</si>
  <si>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</si>
  <si>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</si>
  <si>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</si>
  <si>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</si>
  <si>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</si>
  <si>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</si>
  <si>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</si>
  <si>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</si>
  <si>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</si>
  <si>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</si>
  <si>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</si>
  <si>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</si>
  <si>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</si>
  <si>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</si>
  <si>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</si>
  <si>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</si>
  <si>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</si>
  <si>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</si>
  <si>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</si>
  <si>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</si>
  <si>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</si>
  <si>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</si>
  <si>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</si>
  <si>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</si>
  <si>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</si>
  <si>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</si>
  <si>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</si>
  <si>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</si>
  <si>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</si>
  <si>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</si>
  <si>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</si>
  <si>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</si>
  <si>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</si>
  <si>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</si>
  <si>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</si>
  <si>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</si>
  <si>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</si>
  <si>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</si>
  <si>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</si>
  <si>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</si>
  <si>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</si>
  <si>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</si>
  <si>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</si>
  <si>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</si>
  <si>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</si>
  <si>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</si>
  <si>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</si>
  <si>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</si>
  <si>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</si>
  <si>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</si>
  <si>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</si>
  <si>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</si>
  <si>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</si>
  <si>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</si>
  <si>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</si>
  <si>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</si>
  <si>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</si>
  <si>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</si>
  <si>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</si>
  <si>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</si>
  <si>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</si>
  <si>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</si>
  <si>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</si>
  <si>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</si>
  <si>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</si>
  <si>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</si>
  <si>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</si>
  <si>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</si>
  <si>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</si>
  <si>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</si>
  <si>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</si>
  <si>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</si>
  <si>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</si>
  <si>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</si>
  <si>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</si>
  <si>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</si>
  <si>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</si>
  <si>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</si>
  <si>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</si>
  <si>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</si>
  <si>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</si>
  <si>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</si>
  <si>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</si>
  <si>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</si>
  <si>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</si>
  <si>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</si>
  <si>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</si>
  <si>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</si>
  <si>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</si>
  <si>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</si>
  <si>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</si>
  <si>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</si>
  <si>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</si>
  <si>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</si>
  <si>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</si>
  <si>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</si>
  <si>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</si>
  <si>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</si>
  <si>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</si>
  <si>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</si>
  <si>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</si>
  <si>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</si>
  <si>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</si>
  <si>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</si>
  <si>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</si>
  <si>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</si>
  <si>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</si>
  <si>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</si>
  <si>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</si>
  <si>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</si>
  <si>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</si>
  <si>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</si>
  <si>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</si>
  <si>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</si>
  <si>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</si>
  <si>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</si>
  <si>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</si>
  <si>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</si>
  <si>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</si>
  <si>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</si>
  <si>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</si>
  <si>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</si>
  <si>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</si>
  <si>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</si>
  <si>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</si>
  <si>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</si>
  <si>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</si>
  <si>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</si>
  <si>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</si>
  <si>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</si>
  <si>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</si>
  <si>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</si>
  <si>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</si>
  <si>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</si>
  <si>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</si>
  <si>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</si>
  <si>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</si>
  <si>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</si>
  <si>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</si>
  <si>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</si>
  <si>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</si>
  <si>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</si>
  <si>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</si>
  <si>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</si>
  <si>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</si>
  <si>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</si>
  <si>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</si>
  <si>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</si>
  <si>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</si>
  <si>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</si>
  <si>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</si>
  <si>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</si>
  <si>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</si>
  <si>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</si>
  <si>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</si>
  <si>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</si>
  <si>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</si>
  <si>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</si>
  <si>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</si>
  <si>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</si>
  <si>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</si>
  <si>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</si>
  <si>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</si>
  <si>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</si>
  <si>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</si>
  <si>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</si>
  <si>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</si>
  <si>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</si>
  <si>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</si>
  <si>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</si>
  <si>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</si>
  <si>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</si>
  <si>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</si>
  <si>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</si>
  <si>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</si>
  <si>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</si>
  <si>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</si>
  <si>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</si>
  <si>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</si>
  <si>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</si>
  <si>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</si>
  <si>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</si>
  <si>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</si>
  <si>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</si>
  <si>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</si>
  <si>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</si>
  <si>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</si>
  <si>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</si>
  <si>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</si>
  <si>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</si>
  <si>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</si>
  <si>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</si>
  <si>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</si>
  <si>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</si>
  <si>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</si>
  <si>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</si>
  <si>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</si>
  <si>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</si>
  <si>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</si>
  <si>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</si>
  <si>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</si>
  <si>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</si>
  <si>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</si>
  <si>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</si>
  <si>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</si>
  <si>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</si>
  <si>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</si>
  <si>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</si>
  <si>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</si>
  <si>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</si>
  <si>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</si>
  <si>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</si>
  <si>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</si>
  <si>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</si>
  <si>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</si>
  <si>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</si>
  <si>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</si>
  <si>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</si>
  <si>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</si>
  <si>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</si>
  <si>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</si>
  <si>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</si>
  <si>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</si>
  <si>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</si>
  <si>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</si>
  <si>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</si>
  <si>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</si>
  <si>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</si>
  <si>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</si>
  <si>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</si>
  <si>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</si>
  <si>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 xml:space="preserve">_x000D_
</t>
  </si>
  <si>
    <t>Tiger Techs</t>
  </si>
  <si>
    <t>The Big Bang</t>
  </si>
  <si>
    <t>Merge Robotics</t>
  </si>
  <si>
    <t>ABSOLUTE ROBOTICS</t>
  </si>
  <si>
    <t>Allspark9</t>
  </si>
  <si>
    <t xml:space="preserve"> Full Metal Mustangs</t>
  </si>
  <si>
    <t>Irish Iron</t>
  </si>
  <si>
    <t>Celt-X</t>
  </si>
  <si>
    <t>BT Robotics</t>
  </si>
  <si>
    <t>Thistletown Scot Bots</t>
  </si>
  <si>
    <t>Aurobots</t>
  </si>
  <si>
    <t>Team MineKee</t>
  </si>
  <si>
    <t>Gearheads</t>
  </si>
  <si>
    <t>Agincourt Skunkworks</t>
  </si>
  <si>
    <t>Red Devils</t>
  </si>
  <si>
    <t>Cardinal Robotics</t>
  </si>
  <si>
    <t>Raider Robotics</t>
  </si>
  <si>
    <t>Richardson Stormbots</t>
  </si>
  <si>
    <t>Pink Titans</t>
  </si>
  <si>
    <t>PARAGON</t>
  </si>
  <si>
    <t>Cap Alpaca</t>
  </si>
  <si>
    <t>Romero Robotics</t>
  </si>
  <si>
    <t xml:space="preserve">SJB Odyssey </t>
  </si>
  <si>
    <t>EOM 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</si>
</sst>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7">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11" borderId="0" xfId="0" applyFill="1"/>
    <xf numFmtId="0" fontId="0" fillId="11" borderId="61" xfId="0" applyFill="1" applyBorder="1"/>
    <xf numFmtId="0" fontId="0" fillId="11" borderId="60" xfId="0" applyFill="1" applyBorder="1"/>
    <xf numFmtId="0" fontId="0" fillId="0" borderId="0" xfId="0" applyAlignment="1">
      <alignment horizontal="left" vertical="center"/>
    </xf>
    <xf numFmtId="0" fontId="0" fillId="0" borderId="11" xfId="0" applyBorder="1" applyAlignment="1">
      <alignment vertical="center" wrapText="1"/>
    </xf>
    <xf numFmtId="0" fontId="0" fillId="0" borderId="0" xfId="0"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cellXfs>
  <cellStyles count="3">
    <cellStyle name="Hyperlink" xfId="2" builtinId="8"/>
    <cellStyle name="Normal" xfId="0" builtinId="0"/>
    <cellStyle name="Normal 2" xfId="1" xr:uid="{C620A46E-9391-479E-A6E7-7B8F899801C0}"/>
  </cellStyles>
  <dxfs count="35">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346" activePane="bottomLeft" state="frozen"/>
      <selection pane="bottomLeft" activeCell="A366" sqref="A366"/>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9" t="s">
        <v>0</v>
      </c>
      <c r="B1" s="139"/>
      <c r="C1" s="139"/>
      <c r="D1" s="139" t="s">
        <v>9</v>
      </c>
      <c r="E1" s="139"/>
      <c r="F1" s="139"/>
      <c r="G1" s="139"/>
      <c r="H1" s="139"/>
      <c r="I1" s="139"/>
      <c r="J1" s="139"/>
      <c r="K1" s="139"/>
      <c r="L1" s="139"/>
      <c r="M1" s="139"/>
      <c r="N1" s="59"/>
      <c r="O1" s="59"/>
      <c r="P1" s="139" t="s">
        <v>1</v>
      </c>
      <c r="Q1" s="139"/>
      <c r="R1" s="139"/>
      <c r="S1" s="139"/>
      <c r="T1" s="139"/>
      <c r="U1" s="139"/>
      <c r="V1" s="139"/>
      <c r="W1" s="139"/>
      <c r="X1" s="139"/>
      <c r="Y1" s="139"/>
      <c r="Z1" s="139"/>
      <c r="AA1" s="139"/>
      <c r="AB1" s="139"/>
      <c r="AC1" s="139"/>
      <c r="AD1" s="139" t="s">
        <v>2</v>
      </c>
      <c r="AE1" s="139"/>
      <c r="AF1" s="139"/>
      <c r="AG1" s="139"/>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34"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4" sqref="B4"/>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5911</v>
      </c>
      <c r="G2" t="s">
        <v>178</v>
      </c>
    </row>
    <row r="3" spans="1:37" ht="28.7" customHeight="1" thickTop="1">
      <c r="A3" s="140" t="s">
        <v>96</v>
      </c>
      <c r="B3" s="140"/>
      <c r="E3" s="127"/>
      <c r="G3" t="s">
        <v>243</v>
      </c>
    </row>
    <row r="4" spans="1:37" ht="21.95" customHeight="1">
      <c r="A4" t="s">
        <v>97</v>
      </c>
      <c r="B4" s="113" t="s">
        <v>91</v>
      </c>
    </row>
    <row r="5" spans="1:37" ht="15.75" thickBot="1"/>
    <row r="6" spans="1:37" ht="16.5" thickTop="1" thickBot="1">
      <c r="A6" s="85"/>
      <c r="B6" s="93"/>
      <c r="C6" s="147" t="s">
        <v>102</v>
      </c>
      <c r="D6" s="147"/>
      <c r="E6" s="147"/>
      <c r="F6" s="147"/>
      <c r="G6" s="147"/>
      <c r="H6" s="147"/>
      <c r="I6" s="147"/>
      <c r="J6" s="147"/>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8"/>
    </row>
    <row r="7" spans="1:37" ht="15.75" thickTop="1">
      <c r="A7" s="91"/>
      <c r="B7" s="153" t="s">
        <v>0</v>
      </c>
      <c r="C7" s="148"/>
      <c r="D7" s="74"/>
      <c r="E7" s="74"/>
      <c r="F7" s="74"/>
      <c r="G7" s="144" t="s">
        <v>9</v>
      </c>
      <c r="H7" s="145"/>
      <c r="I7" s="145"/>
      <c r="J7" s="145"/>
      <c r="K7" s="145"/>
      <c r="L7" s="145"/>
      <c r="M7" s="145"/>
      <c r="N7" s="145"/>
      <c r="O7" s="145"/>
      <c r="P7" s="145"/>
      <c r="Q7" s="146"/>
      <c r="R7" s="144" t="s">
        <v>1</v>
      </c>
      <c r="S7" s="145"/>
      <c r="T7" s="145"/>
      <c r="U7" s="145"/>
      <c r="V7" s="145"/>
      <c r="W7" s="145"/>
      <c r="X7" s="145"/>
      <c r="Y7" s="145"/>
      <c r="Z7" s="145"/>
      <c r="AA7" s="145"/>
      <c r="AB7" s="145"/>
      <c r="AC7" s="145"/>
      <c r="AD7" s="145"/>
      <c r="AE7" s="146"/>
      <c r="AF7" s="144" t="s">
        <v>2</v>
      </c>
      <c r="AG7" s="145"/>
      <c r="AH7" s="145"/>
      <c r="AI7" s="145"/>
      <c r="AJ7" s="145"/>
      <c r="AK7" s="146"/>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5911</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139</v>
      </c>
      <c r="B10" s="90">
        <f>VLOOKUP($B$4,'EVENT DATA'!$B$5:$H$99,3,FALSE)</f>
        <v>6878</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140</v>
      </c>
      <c r="B11" s="90">
        <f>VLOOKUP($B$4,'EVENT DATA'!$B$5:$H$99,4,FALSE)</f>
        <v>7690</v>
      </c>
      <c r="C11" s="90" t="str">
        <f>VLOOKUP($B11, 'Scouting Output'!$A$3:$AE$81,2,FALSE)</f>
        <v>Iron Works Robotics</v>
      </c>
      <c r="D11" s="87">
        <f>VLOOKUP($B11,'Scouting Output'!$A$3:$AJ$42, COLUMN()  -  1,FALSE)</f>
        <v>7</v>
      </c>
      <c r="E11" s="88">
        <f>VLOOKUP($B11,'Scouting Output'!$A$3:$AJ$42, COLUMN()  -  1,FALSE)</f>
        <v>1.2727272727272727</v>
      </c>
      <c r="F11" s="86">
        <f>VLOOKUP($B11,'Scouting Output'!$A$3:$AJ$42, COLUMN()  -  1,FALSE)</f>
        <v>1.1818181818181819</v>
      </c>
      <c r="G11" s="87">
        <f>VLOOKUP($B11,'Scouting Output'!$A$3:$AJ$42, COLUMN()  -  1,FALSE)</f>
        <v>1</v>
      </c>
      <c r="H11" s="88">
        <f>VLOOKUP($B11,'Scouting Output'!$A$3:$AJ$42, COLUMN()  -  1,FALSE)</f>
        <v>1</v>
      </c>
      <c r="I11" s="88">
        <f>VLOOKUP($B11,'Scouting Output'!$A$3:$AJ$42, COLUMN()  -  1,FALSE)</f>
        <v>0</v>
      </c>
      <c r="J11" s="88">
        <f>VLOOKUP($B11,'Scouting Output'!$A$3:$AJ$42, COLUMN()  -  1,FALSE)</f>
        <v>9.0909090909090912E-2</v>
      </c>
      <c r="K11" s="88">
        <f>VLOOKUP($B11,'Scouting Output'!$A$3:$AJ$42, COLUMN()  -  1,FALSE)</f>
        <v>0</v>
      </c>
      <c r="L11" s="88">
        <f>VLOOKUP($B11,'Scouting Output'!$A$3:$AJ$42, COLUMN()  -  1,FALSE)</f>
        <v>0</v>
      </c>
      <c r="M11" s="88">
        <f>VLOOKUP($B11,'Scouting Output'!$A$3:$AJ$42, COLUMN()  -  1,FALSE)</f>
        <v>0</v>
      </c>
      <c r="N11" s="88">
        <f>VLOOKUP($B11,'Scouting Output'!$A$3:$AJ$42, COLUMN()  -  1,FALSE)</f>
        <v>0</v>
      </c>
      <c r="O11" s="88">
        <f>VLOOKUP($B11,'Scouting Output'!$A$3:$AJ$42, COLUMN()  -  1,FALSE)</f>
        <v>0</v>
      </c>
      <c r="P11" s="88">
        <f>VLOOKUP($B11,'Scouting Output'!$A$3:$AJ$42, COLUMN()  -  1,FALSE)</f>
        <v>0</v>
      </c>
      <c r="Q11" s="86">
        <f>VLOOKUP($B11,'Scouting Output'!$A$3:$AJ$42, COLUMN()  -  1,FALSE)</f>
        <v>0</v>
      </c>
      <c r="R11" s="87">
        <f>VLOOKUP($B11,'Scouting Output'!$A$3:$AJ$42, COLUMN()  -  1,FALSE)</f>
        <v>2</v>
      </c>
      <c r="S11" s="88">
        <f>VLOOKUP($B11,'Scouting Output'!$A$3:$AJ$42, COLUMN()  -  1,FALSE)</f>
        <v>2</v>
      </c>
      <c r="T11" s="88">
        <f>VLOOKUP($B11,'Scouting Output'!$A$3:$AJ$42, COLUMN()  -  1,FALSE)</f>
        <v>0.45454545454545453</v>
      </c>
      <c r="U11" s="88">
        <f>VLOOKUP($B11,'Scouting Output'!$A$3:$AJ$42, COLUMN()  -  1,FALSE)</f>
        <v>9.0909090909090912E-2</v>
      </c>
      <c r="V11" s="88">
        <f>VLOOKUP($B11,'Scouting Output'!$A$3:$AJ$42, COLUMN()  -  1,FALSE)</f>
        <v>0</v>
      </c>
      <c r="W11" s="88">
        <f>VLOOKUP($B11,'Scouting Output'!$A$3:$AJ$42, COLUMN()  -  1,FALSE)</f>
        <v>0</v>
      </c>
      <c r="X11" s="88">
        <f>VLOOKUP($B11,'Scouting Output'!$A$3:$AJ$42, COLUMN()  -  1,FALSE)</f>
        <v>0</v>
      </c>
      <c r="Y11" s="88">
        <f>VLOOKUP($B11,'Scouting Output'!$A$3:$AJ$42, COLUMN()  -  1,FALSE)</f>
        <v>0</v>
      </c>
      <c r="Z11" s="88">
        <f>VLOOKUP($B11,'Scouting Output'!$A$3:$AJ$42, COLUMN()  -  1,FALSE)</f>
        <v>0</v>
      </c>
      <c r="AA11" s="88">
        <f>VLOOKUP($B11,'Scouting Output'!$A$3:$AJ$42, COLUMN()  -  1,FALSE)</f>
        <v>0</v>
      </c>
      <c r="AB11" s="88">
        <f>VLOOKUP($B11,'Scouting Output'!$A$3:$AJ$42, COLUMN()  -  1,FALSE)</f>
        <v>0</v>
      </c>
      <c r="AC11" s="88">
        <f>VLOOKUP($B11,'Scouting Output'!$A$3:$AJ$42, COLUMN()  -  1,FALSE)</f>
        <v>1.8181818181818181</v>
      </c>
      <c r="AD11" s="88">
        <f>VLOOKUP($B11,'Scouting Output'!$A$3:$AJ$42, COLUMN()  -  1,FALSE)</f>
        <v>0</v>
      </c>
      <c r="AE11" s="86">
        <f>VLOOKUP($B11,'Scouting Output'!$A$3:$AJ$42, COLUMN()  -  1,FALSE)</f>
        <v>0.72727272727272729</v>
      </c>
      <c r="AF11" s="87">
        <f>VLOOKUP($B11,'Scouting Output'!$A$3:$AJ$42, COLUMN()  -  1,FALSE)</f>
        <v>0</v>
      </c>
      <c r="AG11" s="88">
        <f>VLOOKUP($B11,'Scouting Output'!$A$3:$AJ$42, COLUMN()  -  1,FALSE)</f>
        <v>0.36363636363636365</v>
      </c>
      <c r="AH11" s="88">
        <f>VLOOKUP($B11,'Scouting Output'!$A$3:$AJ$42, COLUMN()  -  1,FALSE)</f>
        <v>0</v>
      </c>
      <c r="AI11" s="88">
        <f>VLOOKUP($B11,'Scouting Output'!$A$3:$AJ$42, COLUMN()  -  1,FALSE)</f>
        <v>0</v>
      </c>
      <c r="AJ11" s="88">
        <f>VLOOKUP($B11,'Scouting Output'!$A$3:$AJ$42, COLUMN()  -  1,FALSE)</f>
        <v>1.2727272727272727</v>
      </c>
      <c r="AK11" s="86">
        <f>VLOOKUP($B11,'Scouting Output'!$A$3:$AJ$42, COLUMN()  -  1,FALSE)</f>
        <v>11</v>
      </c>
    </row>
    <row r="12" spans="1:37" ht="17.25" thickTop="1" thickBot="1">
      <c r="B12" s="29"/>
      <c r="C12" s="90" t="s">
        <v>242</v>
      </c>
      <c r="D12" s="88" t="e">
        <f>SUM($D9, $D10, $D11)</f>
        <v>#N/A</v>
      </c>
      <c r="E12" s="86" t="e">
        <f>SUM($E9, $E10, $E11)</f>
        <v>#N/A</v>
      </c>
    </row>
    <row r="13" spans="1:37" ht="16.5" thickTop="1" thickBot="1"/>
    <row r="14" spans="1:37" ht="16.5" thickTop="1" thickBot="1">
      <c r="A14" s="149" t="s">
        <v>98</v>
      </c>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1"/>
    </row>
    <row r="15" spans="1:37" ht="15.75" thickTop="1">
      <c r="A15" s="31"/>
      <c r="B15" s="152" t="s">
        <v>0</v>
      </c>
      <c r="C15" s="152"/>
      <c r="D15" s="119"/>
      <c r="E15" s="1"/>
      <c r="F15" s="1"/>
      <c r="G15" s="141" t="s">
        <v>9</v>
      </c>
      <c r="H15" s="142"/>
      <c r="I15" s="142"/>
      <c r="J15" s="142"/>
      <c r="K15" s="142"/>
      <c r="L15" s="142"/>
      <c r="M15" s="142"/>
      <c r="N15" s="142"/>
      <c r="O15" s="142"/>
      <c r="P15" s="82"/>
      <c r="Q15" s="30"/>
      <c r="R15" s="141" t="s">
        <v>1</v>
      </c>
      <c r="S15" s="142"/>
      <c r="T15" s="142"/>
      <c r="U15" s="142"/>
      <c r="V15" s="142"/>
      <c r="W15" s="142"/>
      <c r="X15" s="142"/>
      <c r="Y15" s="142"/>
      <c r="Z15" s="142"/>
      <c r="AA15" s="142"/>
      <c r="AB15" s="142"/>
      <c r="AC15" s="142"/>
      <c r="AD15" s="142"/>
      <c r="AE15" s="143"/>
      <c r="AF15" s="141" t="s">
        <v>2</v>
      </c>
      <c r="AG15" s="142"/>
      <c r="AH15" s="142"/>
      <c r="AI15" s="142"/>
      <c r="AJ15" s="142"/>
      <c r="AK15" s="143"/>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f>VLOOKUP($B$4,'EVENT DATA'!$B$5:$H$99,5,FALSE)</f>
        <v>4308</v>
      </c>
      <c r="C17" s="81" t="e">
        <f>VLOOKUP($B17, 'Scouting Output'!A3:AJ50, 2,FALSE)</f>
        <v>#N/A</v>
      </c>
      <c r="D17" s="27" t="e">
        <f>VLOOKUP($B17,'Scouting Output'!$A$3:$AJ$42, COLUMN()  -  1,FALSE)</f>
        <v>#N/A</v>
      </c>
      <c r="E17" s="76" t="e">
        <f>VLOOKUP($B17,'Scouting Output'!$A$3:$AJ$42, COLUMN()  -  1,FALSE)</f>
        <v>#N/A</v>
      </c>
      <c r="F17" s="76" t="e">
        <f>VLOOKUP($B17,'Scouting Output'!$A$3:$AJ$42, COLUMN()  -  1,FALSE)</f>
        <v>#N/A</v>
      </c>
      <c r="G17" s="27" t="e">
        <f>VLOOKUP($B17,'Scouting Output'!$A$3:$AJ$42,COLUMN() - 1,FALSE)</f>
        <v>#N/A</v>
      </c>
      <c r="H17" s="76" t="e">
        <f>VLOOKUP($B17,'Scouting Output'!$A$3:$AJ$42,COLUMN() - 1,FALSE)</f>
        <v>#N/A</v>
      </c>
      <c r="I17" s="76" t="e">
        <f>VLOOKUP($B17,'Scouting Output'!$A$3:$AJ$42,COLUMN() - 1,FALSE)</f>
        <v>#N/A</v>
      </c>
      <c r="J17" s="76" t="e">
        <f>VLOOKUP($B17,'Scouting Output'!$A$3:$AJ$42,COLUMN() - 1,FALSE)</f>
        <v>#N/A</v>
      </c>
      <c r="K17" s="76" t="e">
        <f>VLOOKUP($B17,'Scouting Output'!$A$3:$AJ$42,COLUMN() - 1,FALSE)</f>
        <v>#N/A</v>
      </c>
      <c r="L17" s="76" t="e">
        <f>VLOOKUP($B17,'Scouting Output'!$A$3:$AJ$42,COLUMN() - 1,FALSE)</f>
        <v>#N/A</v>
      </c>
      <c r="M17" s="76" t="e">
        <f>VLOOKUP($B17,'Scouting Output'!$A$3:$AJ$42,COLUMN() - 1,FALSE)</f>
        <v>#N/A</v>
      </c>
      <c r="N17" s="76" t="e">
        <f>VLOOKUP($B17,'Scouting Output'!$A$3:$AJ$42,COLUMN() - 1,FALSE)</f>
        <v>#N/A</v>
      </c>
      <c r="O17" s="76" t="e">
        <f>VLOOKUP($B17,'Scouting Output'!$A$3:$AJ$42,COLUMN() - 1,FALSE)</f>
        <v>#N/A</v>
      </c>
      <c r="P17" s="76" t="e">
        <f>VLOOKUP($B17,'Scouting Output'!$A$3:$AJ$42,COLUMN() - 1,FALSE)</f>
        <v>#N/A</v>
      </c>
      <c r="Q17" s="79" t="e">
        <f>VLOOKUP($B17,'Scouting Output'!$A$3:$AJ$42,COLUMN() - 1,FALSE)</f>
        <v>#N/A</v>
      </c>
      <c r="R17" s="27" t="e">
        <f>VLOOKUP($B17,'Scouting Output'!$A$3:$AJ$42,COLUMN() - 1,FALSE)</f>
        <v>#N/A</v>
      </c>
      <c r="S17" s="76" t="e">
        <f>VLOOKUP($B17,'Scouting Output'!$A$3:$AJ$42,COLUMN() - 1,FALSE)</f>
        <v>#N/A</v>
      </c>
      <c r="T17" s="76" t="e">
        <f>VLOOKUP($B17,'Scouting Output'!$A$3:$AJ$42,COLUMN() - 1,FALSE)</f>
        <v>#N/A</v>
      </c>
      <c r="U17" s="76" t="e">
        <f>VLOOKUP($B17,'Scouting Output'!$A$3:$AJ$42,COLUMN() - 1,FALSE)</f>
        <v>#N/A</v>
      </c>
      <c r="V17" s="76" t="e">
        <f>VLOOKUP($B17,'Scouting Output'!$A$3:$AJ$42,COLUMN() - 1,FALSE)</f>
        <v>#N/A</v>
      </c>
      <c r="W17" s="76" t="e">
        <f>VLOOKUP($B17,'Scouting Output'!$A$3:$AJ$42,COLUMN() - 1,FALSE)</f>
        <v>#N/A</v>
      </c>
      <c r="X17" s="76" t="e">
        <f>VLOOKUP($B17,'Scouting Output'!$A$3:$AJ$42,COLUMN() - 1,FALSE)</f>
        <v>#N/A</v>
      </c>
      <c r="Y17" s="76" t="e">
        <f>VLOOKUP($B17,'Scouting Output'!$A$3:$AJ$42,COLUMN() - 1,FALSE)</f>
        <v>#N/A</v>
      </c>
      <c r="Z17" s="76" t="e">
        <f>VLOOKUP($B17,'Scouting Output'!$A$3:$AJ$42,COLUMN() - 1,FALSE)</f>
        <v>#N/A</v>
      </c>
      <c r="AA17" s="76" t="e">
        <f>VLOOKUP($B17,'Scouting Output'!$A$3:$AJ$42,COLUMN() - 1,FALSE)</f>
        <v>#N/A</v>
      </c>
      <c r="AB17" s="76" t="e">
        <f>VLOOKUP($B17,'Scouting Output'!$A$3:$AJ$42,COLUMN() - 1,FALSE)</f>
        <v>#N/A</v>
      </c>
      <c r="AC17" s="76" t="e">
        <f>VLOOKUP($B17,'Scouting Output'!$A$3:$AJ$42,COLUMN() - 1,FALSE)</f>
        <v>#N/A</v>
      </c>
      <c r="AD17" s="76" t="e">
        <f>VLOOKUP($B17,'Scouting Output'!$A$3:$AJ$42,COLUMN() - 1,FALSE)</f>
        <v>#N/A</v>
      </c>
      <c r="AE17" s="79" t="e">
        <f>VLOOKUP($B17,'Scouting Output'!$A$3:$AJ$42,COLUMN() - 1,FALSE)</f>
        <v>#N/A</v>
      </c>
      <c r="AF17" s="27" t="e">
        <f>VLOOKUP($B17,'Scouting Output'!$A$3:$AJ$42,COLUMN() - 1,FALSE)</f>
        <v>#N/A</v>
      </c>
      <c r="AG17" s="76" t="e">
        <f>VLOOKUP($B17,'Scouting Output'!$A$3:$AJ$42,COLUMN() - 1,FALSE)</f>
        <v>#N/A</v>
      </c>
      <c r="AH17" s="76" t="e">
        <f>VLOOKUP($B17,'Scouting Output'!$A$3:$AJ$42,COLUMN() - 1,FALSE)</f>
        <v>#N/A</v>
      </c>
      <c r="AI17" s="76" t="e">
        <f>VLOOKUP($B17,'Scouting Output'!$A$3:$AJ$42,COLUMN() - 1,FALSE)</f>
        <v>#N/A</v>
      </c>
      <c r="AJ17" s="76" t="e">
        <f>VLOOKUP($B17,'Scouting Output'!$A$3:$AJ$42,COLUMN() - 1,FALSE)</f>
        <v>#N/A</v>
      </c>
      <c r="AK17" s="79" t="e">
        <f>VLOOKUP($B17,'Scouting Output'!$A$3:$AJ$42,COLUMN() - 1,FALSE)</f>
        <v>#N/A</v>
      </c>
    </row>
    <row r="18" spans="1:37" ht="21.2" customHeight="1" thickTop="1" thickBot="1">
      <c r="A18" s="27" t="s">
        <v>100</v>
      </c>
      <c r="B18" s="80">
        <f>VLOOKUP($B$4,'EVENT DATA'!$B$5:$H$99,6,FALSE)</f>
        <v>7710</v>
      </c>
      <c r="C18" s="81" t="str">
        <f>VLOOKUP($B18, 'Scouting Output'!A3:AJ51, 2,FALSE)</f>
        <v>Mowat Mustangs</v>
      </c>
      <c r="D18" s="27">
        <f>VLOOKUP($B18,'Scouting Output'!$A$3:$AJ$42, COLUMN()  -  1,FALSE)</f>
        <v>10.571428571428571</v>
      </c>
      <c r="E18" s="76">
        <f>VLOOKUP($B18,'Scouting Output'!$A$3:$AJ$42, COLUMN()  -  1,FALSE)</f>
        <v>2</v>
      </c>
      <c r="F18" s="76">
        <f>VLOOKUP($B18,'Scouting Output'!$A$3:$AJ$42, COLUMN()  -  1,FALSE)</f>
        <v>2</v>
      </c>
      <c r="G18" s="27">
        <f>VLOOKUP($B18,'Scouting Output'!$A$3:$AJ$42,COLUMN() - 1,FALSE)</f>
        <v>1</v>
      </c>
      <c r="H18" s="76">
        <f>VLOOKUP($B18,'Scouting Output'!$A$3:$AJ$42,COLUMN() - 1,FALSE)</f>
        <v>1</v>
      </c>
      <c r="I18" s="76">
        <f>VLOOKUP($B18,'Scouting Output'!$A$3:$AJ$42,COLUMN() - 1,FALSE)</f>
        <v>0.14285714285714285</v>
      </c>
      <c r="J18" s="76">
        <f>VLOOKUP($B18,'Scouting Output'!$A$3:$AJ$42,COLUMN() - 1,FALSE)</f>
        <v>0</v>
      </c>
      <c r="K18" s="76">
        <f>VLOOKUP($B18,'Scouting Output'!$A$3:$AJ$42,COLUMN() - 1,FALSE)</f>
        <v>0</v>
      </c>
      <c r="L18" s="76">
        <f>VLOOKUP($B18,'Scouting Output'!$A$3:$AJ$42,COLUMN() - 1,FALSE)</f>
        <v>0</v>
      </c>
      <c r="M18" s="76">
        <f>VLOOKUP($B18,'Scouting Output'!$A$3:$AJ$42,COLUMN() - 1,FALSE)</f>
        <v>0</v>
      </c>
      <c r="N18" s="76">
        <f>VLOOKUP($B18,'Scouting Output'!$A$3:$AJ$42,COLUMN() - 1,FALSE)</f>
        <v>0</v>
      </c>
      <c r="O18" s="76">
        <f>VLOOKUP($B18,'Scouting Output'!$A$3:$AJ$42,COLUMN() - 1,FALSE)</f>
        <v>0</v>
      </c>
      <c r="P18" s="76">
        <f>VLOOKUP($B18,'Scouting Output'!$A$3:$AJ$42,COLUMN() - 1,FALSE)</f>
        <v>0</v>
      </c>
      <c r="Q18" s="79">
        <f>VLOOKUP($B18,'Scouting Output'!$A$3:$AJ$42,COLUMN() - 1,FALSE)</f>
        <v>0</v>
      </c>
      <c r="R18" s="27">
        <f>VLOOKUP($B18,'Scouting Output'!$A$3:$AJ$42,COLUMN() - 1,FALSE)</f>
        <v>2</v>
      </c>
      <c r="S18" s="76">
        <f>VLOOKUP($B18,'Scouting Output'!$A$3:$AJ$42,COLUMN() - 1,FALSE)</f>
        <v>2</v>
      </c>
      <c r="T18" s="76">
        <f>VLOOKUP($B18,'Scouting Output'!$A$3:$AJ$42,COLUMN() - 1,FALSE)</f>
        <v>0.14285714285714285</v>
      </c>
      <c r="U18" s="76">
        <f>VLOOKUP($B18,'Scouting Output'!$A$3:$AJ$42,COLUMN() - 1,FALSE)</f>
        <v>0.7142857142857143</v>
      </c>
      <c r="V18" s="76">
        <f>VLOOKUP($B18,'Scouting Output'!$A$3:$AJ$42,COLUMN() - 1,FALSE)</f>
        <v>0</v>
      </c>
      <c r="W18" s="76">
        <f>VLOOKUP($B18,'Scouting Output'!$A$3:$AJ$42,COLUMN() - 1,FALSE)</f>
        <v>0</v>
      </c>
      <c r="X18" s="76">
        <f>VLOOKUP($B18,'Scouting Output'!$A$3:$AJ$42,COLUMN() - 1,FALSE)</f>
        <v>0</v>
      </c>
      <c r="Y18" s="76">
        <f>VLOOKUP($B18,'Scouting Output'!$A$3:$AJ$42,COLUMN() - 1,FALSE)</f>
        <v>0</v>
      </c>
      <c r="Z18" s="76">
        <f>VLOOKUP($B18,'Scouting Output'!$A$3:$AJ$42,COLUMN() - 1,FALSE)</f>
        <v>0</v>
      </c>
      <c r="AA18" s="76">
        <f>VLOOKUP($B18,'Scouting Output'!$A$3:$AJ$42,COLUMN() - 1,FALSE)</f>
        <v>0</v>
      </c>
      <c r="AB18" s="76">
        <f>VLOOKUP($B18,'Scouting Output'!$A$3:$AJ$42,COLUMN() - 1,FALSE)</f>
        <v>0</v>
      </c>
      <c r="AC18" s="76">
        <f>VLOOKUP($B18,'Scouting Output'!$A$3:$AJ$42,COLUMN() - 1,FALSE)</f>
        <v>9.8571428571428577</v>
      </c>
      <c r="AD18" s="76">
        <f>VLOOKUP($B18,'Scouting Output'!$A$3:$AJ$42,COLUMN() - 1,FALSE)</f>
        <v>0.14285714285714285</v>
      </c>
      <c r="AE18" s="79">
        <f>VLOOKUP($B18,'Scouting Output'!$A$3:$AJ$42,COLUMN() - 1,FALSE)</f>
        <v>0.7142857142857143</v>
      </c>
      <c r="AF18" s="27">
        <f>VLOOKUP($B18,'Scouting Output'!$A$3:$AJ$42,COLUMN() - 1,FALSE)</f>
        <v>0</v>
      </c>
      <c r="AG18" s="76">
        <f>VLOOKUP($B18,'Scouting Output'!$A$3:$AJ$42,COLUMN() - 1,FALSE)</f>
        <v>0</v>
      </c>
      <c r="AH18" s="76">
        <f>VLOOKUP($B18,'Scouting Output'!$A$3:$AJ$42,COLUMN() - 1,FALSE)</f>
        <v>0</v>
      </c>
      <c r="AI18" s="76">
        <f>VLOOKUP($B18,'Scouting Output'!$A$3:$AJ$42,COLUMN() - 1,FALSE)</f>
        <v>0</v>
      </c>
      <c r="AJ18" s="76">
        <f>VLOOKUP($B18,'Scouting Output'!$A$3:$AJ$42,COLUMN() - 1,FALSE)</f>
        <v>1</v>
      </c>
      <c r="AK18" s="79">
        <f>VLOOKUP($B18,'Scouting Output'!$A$3:$AJ$42,COLUMN() - 1,FALSE)</f>
        <v>7</v>
      </c>
    </row>
    <row r="19" spans="1:37" ht="20.85" customHeight="1" thickTop="1" thickBot="1">
      <c r="A19" s="27" t="s">
        <v>101</v>
      </c>
      <c r="B19" s="80">
        <f>VLOOKUP($B$4,'EVENT DATA'!$B$5:$H$99,7,FALSE)</f>
        <v>5719</v>
      </c>
      <c r="C19" s="81" t="e">
        <f>VLOOKUP($B19, 'Scouting Output'!$A$3:$AE$81,2,FALSE)</f>
        <v>#N/A</v>
      </c>
      <c r="D19" s="27" t="e">
        <f>VLOOKUP($B19,'Scouting Output'!$A$3:$AJ$42, COLUMN()  -  1,FALSE)</f>
        <v>#N/A</v>
      </c>
      <c r="E19" s="76" t="e">
        <f>VLOOKUP($B19,'Scouting Output'!$A$3:$AJ$42, COLUMN()  -  1,FALSE)</f>
        <v>#N/A</v>
      </c>
      <c r="F19" s="76" t="e">
        <f>VLOOKUP($B19,'Scouting Output'!$A$3:$AJ$42, COLUMN()  -  1,FALSE)</f>
        <v>#N/A</v>
      </c>
      <c r="G19" s="27" t="e">
        <f>VLOOKUP($B19,'Scouting Output'!$A$3:$AJ$42,COLUMN() - 1,FALSE)</f>
        <v>#N/A</v>
      </c>
      <c r="H19" s="76" t="e">
        <f>VLOOKUP($B19,'Scouting Output'!$A$3:$AJ$42,COLUMN() - 1,FALSE)</f>
        <v>#N/A</v>
      </c>
      <c r="I19" s="76" t="e">
        <f>VLOOKUP($B19,'Scouting Output'!$A$3:$AJ$42,COLUMN() - 1,FALSE)</f>
        <v>#N/A</v>
      </c>
      <c r="J19" s="76" t="e">
        <f>VLOOKUP($B19,'Scouting Output'!$A$3:$AJ$42,COLUMN() - 1,FALSE)</f>
        <v>#N/A</v>
      </c>
      <c r="K19" s="76" t="e">
        <f>VLOOKUP($B19,'Scouting Output'!$A$3:$AJ$42,COLUMN() - 1,FALSE)</f>
        <v>#N/A</v>
      </c>
      <c r="L19" s="76" t="e">
        <f>VLOOKUP($B19,'Scouting Output'!$A$3:$AJ$42,COLUMN() - 1,FALSE)</f>
        <v>#N/A</v>
      </c>
      <c r="M19" s="76" t="e">
        <f>VLOOKUP($B19,'Scouting Output'!$A$3:$AJ$42,COLUMN() - 1,FALSE)</f>
        <v>#N/A</v>
      </c>
      <c r="N19" s="76" t="e">
        <f>VLOOKUP($B19,'Scouting Output'!$A$3:$AJ$42,COLUMN() - 1,FALSE)</f>
        <v>#N/A</v>
      </c>
      <c r="O19" s="76" t="e">
        <f>VLOOKUP($B19,'Scouting Output'!$A$3:$AJ$42,COLUMN() - 1,FALSE)</f>
        <v>#N/A</v>
      </c>
      <c r="P19" s="76" t="e">
        <f>VLOOKUP($B19,'Scouting Output'!$A$3:$AJ$42,COLUMN() - 1,FALSE)</f>
        <v>#N/A</v>
      </c>
      <c r="Q19" s="79" t="e">
        <f>VLOOKUP($B19,'Scouting Output'!$A$3:$AJ$42,COLUMN() - 1,FALSE)</f>
        <v>#N/A</v>
      </c>
      <c r="R19" s="27" t="e">
        <f>VLOOKUP($B19,'Scouting Output'!$A$3:$AJ$42,COLUMN() - 1,FALSE)</f>
        <v>#N/A</v>
      </c>
      <c r="S19" s="76" t="e">
        <f>VLOOKUP($B19,'Scouting Output'!$A$3:$AJ$42,COLUMN() - 1,FALSE)</f>
        <v>#N/A</v>
      </c>
      <c r="T19" s="76" t="e">
        <f>VLOOKUP($B19,'Scouting Output'!$A$3:$AJ$42,COLUMN() - 1,FALSE)</f>
        <v>#N/A</v>
      </c>
      <c r="U19" s="76" t="e">
        <f>VLOOKUP($B19,'Scouting Output'!$A$3:$AJ$42,COLUMN() - 1,FALSE)</f>
        <v>#N/A</v>
      </c>
      <c r="V19" s="76" t="e">
        <f>VLOOKUP($B19,'Scouting Output'!$A$3:$AJ$42,COLUMN() - 1,FALSE)</f>
        <v>#N/A</v>
      </c>
      <c r="W19" s="76" t="e">
        <f>VLOOKUP($B19,'Scouting Output'!$A$3:$AJ$42,COLUMN() - 1,FALSE)</f>
        <v>#N/A</v>
      </c>
      <c r="X19" s="76" t="e">
        <f>VLOOKUP($B19,'Scouting Output'!$A$3:$AJ$42,COLUMN() - 1,FALSE)</f>
        <v>#N/A</v>
      </c>
      <c r="Y19" s="76" t="e">
        <f>VLOOKUP($B19,'Scouting Output'!$A$3:$AJ$42,COLUMN() - 1,FALSE)</f>
        <v>#N/A</v>
      </c>
      <c r="Z19" s="76" t="e">
        <f>VLOOKUP($B19,'Scouting Output'!$A$3:$AJ$42,COLUMN() - 1,FALSE)</f>
        <v>#N/A</v>
      </c>
      <c r="AA19" s="76" t="e">
        <f>VLOOKUP($B19,'Scouting Output'!$A$3:$AJ$42,COLUMN() - 1,FALSE)</f>
        <v>#N/A</v>
      </c>
      <c r="AB19" s="76" t="e">
        <f>VLOOKUP($B19,'Scouting Output'!$A$3:$AJ$42,COLUMN() - 1,FALSE)</f>
        <v>#N/A</v>
      </c>
      <c r="AC19" s="76" t="e">
        <f>VLOOKUP($B19,'Scouting Output'!$A$3:$AJ$42,COLUMN() - 1,FALSE)</f>
        <v>#N/A</v>
      </c>
      <c r="AD19" s="76" t="e">
        <f>VLOOKUP($B19,'Scouting Output'!$A$3:$AJ$42,COLUMN() - 1,FALSE)</f>
        <v>#N/A</v>
      </c>
      <c r="AE19" s="79" t="e">
        <f>VLOOKUP($B19,'Scouting Output'!$A$3:$AJ$42,COLUMN() - 1,FALSE)</f>
        <v>#N/A</v>
      </c>
      <c r="AF19" s="27" t="e">
        <f>VLOOKUP($B19,'Scouting Output'!$A$3:$AJ$42,COLUMN() - 1,FALSE)</f>
        <v>#N/A</v>
      </c>
      <c r="AG19" s="76" t="e">
        <f>VLOOKUP($B19,'Scouting Output'!$A$3:$AJ$42,COLUMN() - 1,FALSE)</f>
        <v>#N/A</v>
      </c>
      <c r="AH19" s="76" t="e">
        <f>VLOOKUP($B19,'Scouting Output'!$A$3:$AJ$42,COLUMN() - 1,FALSE)</f>
        <v>#N/A</v>
      </c>
      <c r="AI19" s="76" t="e">
        <f>VLOOKUP($B19,'Scouting Output'!$A$3:$AJ$42,COLUMN() - 1,FALSE)</f>
        <v>#N/A</v>
      </c>
      <c r="AJ19" s="76" t="e">
        <f>VLOOKUP($B19,'Scouting Output'!$A$3:$AJ$42,COLUMN() - 1,FALSE)</f>
        <v>#N/A</v>
      </c>
      <c r="AK19" s="79" t="e">
        <f>VLOOKUP($B19,'Scouting Output'!$A$3:$AJ$42,COLUMN() - 1,FALSE)</f>
        <v>#N/A</v>
      </c>
    </row>
    <row r="20" spans="1:37" ht="16.5" thickTop="1" thickBot="1">
      <c r="C20" s="120" t="s">
        <v>242</v>
      </c>
      <c r="D20" s="76" t="e">
        <f>SUM(D17, D18, D19)</f>
        <v>#N/A</v>
      </c>
      <c r="E20" s="79" t="e">
        <f>SUM(E17, E18, E19)</f>
        <v>#N/A</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3"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A5" sqref="A5"/>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9" t="s">
        <v>333</v>
      </c>
      <c r="C2" s="139"/>
      <c r="D2" s="139"/>
      <c r="E2" s="139"/>
      <c r="F2" s="139"/>
      <c r="G2" s="139"/>
      <c r="H2" s="139"/>
      <c r="I2" s="139"/>
      <c r="J2" s="139"/>
      <c r="K2" s="139"/>
      <c r="L2" s="139"/>
      <c r="M2" s="154" t="s">
        <v>329</v>
      </c>
      <c r="N2" s="139"/>
      <c r="O2" s="139"/>
      <c r="P2" s="139"/>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1285</v>
      </c>
      <c r="B4" s="131" t="e">
        <f>VLOOKUP($A4,'Scouting Output'!$A$3:$AJ$42, 3,FALSE)</f>
        <v>#N/A</v>
      </c>
      <c r="C4" s="88" t="e">
        <f>VLOOKUP($A4,'Scouting Output'!$A$3:$AJ$42, 17,FALSE)</f>
        <v>#N/A</v>
      </c>
      <c r="D4" s="88" t="e">
        <f>VLOOKUP(A4,'Scouting Output'!$A$3:$AJ$42, 18, FALSE)</f>
        <v>#N/A</v>
      </c>
      <c r="E4" s="88" t="e">
        <f>SUM(VLOOKUP($A4,'Scouting Output'!$A$3:$AJ$42,19,FALSE), VLOOKUP($A4,'Scouting Output'!$A$3:$AJ$42,20,FALSE))</f>
        <v>#N/A</v>
      </c>
      <c r="F4" s="88" t="e">
        <f>SUM(VLOOKUP($A4,'Scouting Output'!$A$3:$AJ$42,21,FALSE), VLOOKUP($A4,'Scouting Output'!$A$3:$AJ$42,22,FALSE))</f>
        <v>#N/A</v>
      </c>
      <c r="G4" s="88" t="e">
        <f>VLOOKUP(A4,'Scouting Output'!$A$3:$AJ$42, 23, FALSE)</f>
        <v>#N/A</v>
      </c>
      <c r="H4" s="88" t="e">
        <f>SUM(VLOOKUP($A4,'Scouting Output'!$A$3:$AJ$42,24,FALSE), VLOOKUP($A4,'Scouting Output'!$A$3:$AJ$42,25,FALSE))</f>
        <v>#N/A</v>
      </c>
      <c r="I4" s="88" t="e">
        <f>SUM(VLOOKUP($A4,'Scouting Output'!$A$3:$AJ$42,26,FALSE), VLOOKUP($A4,'Scouting Output'!$A$3:$AJ$42,27,FALSE))</f>
        <v>#N/A</v>
      </c>
      <c r="J4" s="88" t="e">
        <f>VLOOKUP(A4,'Scouting Output'!$A$3:$AJ$42, 30, FALSE)</f>
        <v>#N/A</v>
      </c>
      <c r="K4" s="88" t="e">
        <f>VLOOKUP(A4,'Scouting Output'!$A$3:$AJ$42, 28, FALSE)</f>
        <v>#N/A</v>
      </c>
      <c r="L4" s="88" t="e">
        <f>VLOOKUP(A4,'Scouting Output'!$A$3:$AJ$42, 34, FALSE)</f>
        <v>#N/A</v>
      </c>
      <c r="M4" s="126" t="e">
        <f>VLOOKUP($A4,'Scouting Output'!$A$3:$AJ$42, 7,FALSE)</f>
        <v>#N/A</v>
      </c>
      <c r="N4" s="88" t="e">
        <f>SUM(VLOOKUP($A4,'Scouting Output'!$A$3:$AJ$42,8,FALSE), VLOOKUP($A4,'Scouting Output'!$A$3:$AJ$42,9,FALSE), VLOOKUP($A4,'Scouting Output'!$A$3:$AJ$42,10,FALSE), VLOOKUP($A4,'Scouting Output'!$A$3:$AJ$42,11,FALSE))</f>
        <v>#N/A</v>
      </c>
      <c r="O4" s="88" t="e">
        <f>VLOOKUP($A4,'Scouting Output'!$A$3:$AJ$42, 12,FALSE)</f>
        <v>#N/A</v>
      </c>
      <c r="P4" s="86" t="e">
        <f>SUM(VLOOKUP($A4,'Scouting Output'!$A$3:$AJ$42,13,FALSE), VLOOKUP($A4,'Scouting Output'!$A$3:$AJ$42,14,FALSE), VLOOKUP($A4,'Scouting Output'!$A$3:$AJ$42,15,FALSE), VLOOKUP($A4,'Scouting Output'!$A$3:$AJ$42,16,FALSE))</f>
        <v>#N/A</v>
      </c>
    </row>
    <row r="5" spans="1:16" ht="16.5" thickTop="1" thickBot="1">
      <c r="A5" s="87">
        <f>VLOOKUP($B$1,'EVENT DATA'!$B$5:$H$99,3,FALSE)</f>
        <v>6162</v>
      </c>
      <c r="B5" s="131"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6"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f>VLOOKUP($B$1,'EVENT DATA'!$B$5:$H$99,4,FALSE)</f>
        <v>5406</v>
      </c>
      <c r="B6" s="131" t="e">
        <f>VLOOKUP($A6,'Scouting Output'!$A$3:$AJ$42, 3,FALSE)</f>
        <v>#N/A</v>
      </c>
      <c r="C6" s="88" t="e">
        <f>VLOOKUP($A6,'Scouting Output'!$A$3:$AJ$42, 17,FALSE)</f>
        <v>#N/A</v>
      </c>
      <c r="D6" s="88" t="e">
        <f>VLOOKUP(A6,'Scouting Output'!$A$3:$AJ$42, 18, FALSE)</f>
        <v>#N/A</v>
      </c>
      <c r="E6" s="88" t="e">
        <f>SUM(VLOOKUP($A6,'Scouting Output'!$A$3:$AJ$42,19,FALSE), VLOOKUP($A6,'Scouting Output'!$A$3:$AJ$42,20,FALSE))</f>
        <v>#N/A</v>
      </c>
      <c r="F6" s="88" t="e">
        <f>SUM(VLOOKUP($A6,'Scouting Output'!$A$3:$AJ$42,21,FALSE), VLOOKUP($A6,'Scouting Output'!$A$3:$AJ$42,22,FALSE))</f>
        <v>#N/A</v>
      </c>
      <c r="G6" s="88" t="e">
        <f>VLOOKUP(A6,'Scouting Output'!$A$3:$AJ$42, 23, FALSE)</f>
        <v>#N/A</v>
      </c>
      <c r="H6" s="88" t="e">
        <f>SUM(VLOOKUP($A6,'Scouting Output'!$A$3:$AJ$42,24,FALSE), VLOOKUP($A6,'Scouting Output'!$A$3:$AJ$42,25,FALSE))</f>
        <v>#N/A</v>
      </c>
      <c r="I6" s="88" t="e">
        <f>SUM(VLOOKUP($A6,'Scouting Output'!$A$3:$AJ$42,26,FALSE), VLOOKUP($A6,'Scouting Output'!$A$3:$AJ$42,27,FALSE))</f>
        <v>#N/A</v>
      </c>
      <c r="J6" s="88" t="e">
        <f>VLOOKUP(A6,'Scouting Output'!$A$3:$AJ$42, 30, FALSE)</f>
        <v>#N/A</v>
      </c>
      <c r="K6" s="88" t="e">
        <f>VLOOKUP(A6,'Scouting Output'!$A$3:$AJ$42, 28, FALSE)</f>
        <v>#N/A</v>
      </c>
      <c r="L6" s="88" t="e">
        <f>VLOOKUP(A6,'Scouting Output'!$A$3:$AJ$42, 34, FALSE)</f>
        <v>#N/A</v>
      </c>
      <c r="M6" s="126" t="e">
        <f>VLOOKUP($A6,'Scouting Output'!$A$3:$AJ$42, 7,FALSE)</f>
        <v>#N/A</v>
      </c>
      <c r="N6" s="88" t="e">
        <f>SUM(VLOOKUP($A6,'Scouting Output'!$A$3:$AJ$42,8,FALSE), VLOOKUP($A6,'Scouting Output'!$A$3:$AJ$42,9,FALSE), VLOOKUP($A6,'Scouting Output'!$A$3:$AJ$42,10,FALSE), VLOOKUP($A6,'Scouting Output'!$A$3:$AJ$42,11,FALSE))</f>
        <v>#N/A</v>
      </c>
      <c r="O6" s="88" t="e">
        <f>VLOOKUP($A6,'Scouting Output'!$A$3:$AJ$42, 12,FALSE)</f>
        <v>#N/A</v>
      </c>
      <c r="P6" s="86" t="e">
        <f>SUM(VLOOKUP($A6,'Scouting Output'!$A$3:$AJ$42,13,FALSE), VLOOKUP($A6,'Scouting Output'!$A$3:$AJ$42,14,FALSE), VLOOKUP($A6,'Scouting Output'!$A$3:$AJ$42,15,FALSE), VLOOKUP($A6,'Scouting Output'!$A$3:$AJ$42,16,FALSE))</f>
        <v>#N/A</v>
      </c>
    </row>
    <row r="7" spans="1:16" ht="15.75" thickTop="1">
      <c r="A7" s="129" t="s">
        <v>339</v>
      </c>
      <c r="B7" s="132" t="e">
        <f>SUM(B4:B6)</f>
        <v>#N/A</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5036</v>
      </c>
      <c r="B10" s="76">
        <f>VLOOKUP($A10,'Scouting Output'!$A$3:$AJ$42, 3,FALSE)</f>
        <v>15.399999999999999</v>
      </c>
      <c r="C10" s="76">
        <f>VLOOKUP($A10,'Scouting Output'!$A$3:$AJ$42, 17,FALSE)</f>
        <v>5</v>
      </c>
      <c r="D10" s="76">
        <f>VLOOKUP(A10,'Scouting Output'!$A$3:$AJ$42, 18, FALSE)</f>
        <v>2</v>
      </c>
      <c r="E10" s="76">
        <f>SUM(VLOOKUP($A10,'Scouting Output'!$A$3:$AJ$42,19,FALSE), VLOOKUP($A10,'Scouting Output'!$A$3:$AJ$42,20,FALSE))</f>
        <v>0.4</v>
      </c>
      <c r="F10" s="76">
        <f>SUM(VLOOKUP($A10,'Scouting Output'!$A$3:$AJ$42,21,FALSE), VLOOKUP($A10,'Scouting Output'!$A$3:$AJ$42,22,FALSE))</f>
        <v>0</v>
      </c>
      <c r="G10" s="76">
        <f>VLOOKUP(A10,'Scouting Output'!$A$3:$AJ$42, 23, FALSE)</f>
        <v>5</v>
      </c>
      <c r="H10" s="76">
        <f>SUM(VLOOKUP($A10,'Scouting Output'!$A$3:$AJ$42,24,FALSE), VLOOKUP($A10,'Scouting Output'!$A$3:$AJ$42,25,FALSE))</f>
        <v>3.4</v>
      </c>
      <c r="I10" s="76">
        <f>SUM(VLOOKUP($A10,'Scouting Output'!$A$3:$AJ$42,26,FALSE), VLOOKUP($A10,'Scouting Output'!$A$3:$AJ$42,27,FALSE))</f>
        <v>0</v>
      </c>
      <c r="J10" s="76">
        <f>VLOOKUP(A10,'Scouting Output'!$A$3:$AJ$42, 30, FALSE)</f>
        <v>0.8</v>
      </c>
      <c r="K10" s="76">
        <f>VLOOKUP(A10,'Scouting Output'!$A$3:$AJ$42, 28, FALSE)</f>
        <v>11.5</v>
      </c>
      <c r="L10" s="76">
        <f>VLOOKUP(A10,'Scouting Output'!$A$3:$AJ$42, 34, FALSE)</f>
        <v>1.3</v>
      </c>
      <c r="M10" s="128">
        <f>VLOOKUP($A10,'Scouting Output'!$A$3:$AJ$42, 7,FALSE)</f>
        <v>0</v>
      </c>
      <c r="N10" s="76">
        <f>SUM(VLOOKUP($A10,'Scouting Output'!$A$3:$AJ$42,8,FALSE), VLOOKUP($A10,'Scouting Output'!$A$3:$AJ$42,9,FALSE), VLOOKUP($A10,'Scouting Output'!$A$3:$AJ$42,10,FALSE), VLOOKUP($A10,'Scouting Output'!$A$3:$AJ$42,11,FALSE))</f>
        <v>0</v>
      </c>
      <c r="O10" s="76">
        <f>VLOOKUP($A10,'Scouting Output'!$A$3:$AJ$42, 12,FALSE)</f>
        <v>1</v>
      </c>
      <c r="P10" s="79">
        <f>SUM(VLOOKUP($A10,'Scouting Output'!$A$3:$AJ$42,13,FALSE), VLOOKUP($A10,'Scouting Output'!$A$3:$AJ$42,14,FALSE), VLOOKUP($A10,'Scouting Output'!$A$3:$AJ$42,15,FALSE), VLOOKUP($A10,'Scouting Output'!$A$3:$AJ$42,16,FALSE))</f>
        <v>0.1</v>
      </c>
    </row>
    <row r="11" spans="1:16" ht="16.5" thickTop="1" thickBot="1">
      <c r="A11" s="27">
        <f>VLOOKUP($B$1,'EVENT DATA'!$B$5:$H$99,6,FALSE)</f>
        <v>1334</v>
      </c>
      <c r="B11" s="76" t="e">
        <f>VLOOKUP($A11,'Scouting Output'!$A$3:$AJ$42, 3,FALSE)</f>
        <v>#N/A</v>
      </c>
      <c r="C11" s="76" t="e">
        <f>VLOOKUP($A11,'Scouting Output'!$A$3:$AJ$42, 17,FALSE)</f>
        <v>#N/A</v>
      </c>
      <c r="D11" s="76" t="e">
        <f>VLOOKUP(A11,'Scouting Output'!$A$3:$AJ$42, 18, FALSE)</f>
        <v>#N/A</v>
      </c>
      <c r="E11" s="76" t="e">
        <f>SUM(VLOOKUP($A11,'Scouting Output'!$A$3:$AJ$42,19,FALSE), VLOOKUP($A11,'Scouting Output'!$A$3:$AJ$42,20,FALSE))</f>
        <v>#N/A</v>
      </c>
      <c r="F11" s="76" t="e">
        <f>SUM(VLOOKUP($A11,'Scouting Output'!$A$3:$AJ$42,21,FALSE), VLOOKUP($A11,'Scouting Output'!$A$3:$AJ$42,22,FALSE))</f>
        <v>#N/A</v>
      </c>
      <c r="G11" s="76" t="e">
        <f>VLOOKUP(A11,'Scouting Output'!$A$3:$AJ$42, 23, FALSE)</f>
        <v>#N/A</v>
      </c>
      <c r="H11" s="76" t="e">
        <f>SUM(VLOOKUP($A11,'Scouting Output'!$A$3:$AJ$42,24,FALSE), VLOOKUP($A11,'Scouting Output'!$A$3:$AJ$42,25,FALSE))</f>
        <v>#N/A</v>
      </c>
      <c r="I11" s="76" t="e">
        <f>SUM(VLOOKUP($A11,'Scouting Output'!$A$3:$AJ$42,26,FALSE), VLOOKUP($A11,'Scouting Output'!$A$3:$AJ$42,27,FALSE))</f>
        <v>#N/A</v>
      </c>
      <c r="J11" s="76" t="e">
        <f>VLOOKUP(A11,'Scouting Output'!$A$3:$AJ$42, 30, FALSE)</f>
        <v>#N/A</v>
      </c>
      <c r="K11" s="76" t="e">
        <f>VLOOKUP(A11,'Scouting Output'!$A$3:$AJ$42, 28, FALSE)</f>
        <v>#N/A</v>
      </c>
      <c r="L11" s="76" t="e">
        <f>VLOOKUP(A11,'Scouting Output'!$A$3:$AJ$42, 34, FALSE)</f>
        <v>#N/A</v>
      </c>
      <c r="M11" s="128" t="e">
        <f>VLOOKUP($A11,'Scouting Output'!$A$3:$AJ$42, 7,FALSE)</f>
        <v>#N/A</v>
      </c>
      <c r="N11" s="76" t="e">
        <f>SUM(VLOOKUP($A11,'Scouting Output'!$A$3:$AJ$42,8,FALSE), VLOOKUP($A11,'Scouting Output'!$A$3:$AJ$42,9,FALSE), VLOOKUP($A11,'Scouting Output'!$A$3:$AJ$42,10,FALSE), VLOOKUP($A11,'Scouting Output'!$A$3:$AJ$42,11,FALSE))</f>
        <v>#N/A</v>
      </c>
      <c r="O11" s="76" t="e">
        <f>VLOOKUP($A11,'Scouting Output'!$A$3:$AJ$42, 12,FALSE)</f>
        <v>#N/A</v>
      </c>
      <c r="P11" s="79" t="e">
        <f>SUM(VLOOKUP($A11,'Scouting Output'!$A$3:$AJ$42,13,FALSE), VLOOKUP($A11,'Scouting Output'!$A$3:$AJ$42,14,FALSE), VLOOKUP($A11,'Scouting Output'!$A$3:$AJ$42,15,FALSE), VLOOKUP($A11,'Scouting Output'!$A$3:$AJ$42,16,FALSE))</f>
        <v>#N/A</v>
      </c>
    </row>
    <row r="12" spans="1:16" ht="16.5" thickTop="1" thickBot="1">
      <c r="A12" s="27">
        <f>VLOOKUP($B$1,'EVENT DATA'!$B$5:$H$99,7,FALSE)</f>
        <v>5076</v>
      </c>
      <c r="B12" s="76" t="e">
        <f>VLOOKUP($A12,'Scouting Output'!$A$3:$AJ$42, 3,FALSE)</f>
        <v>#N/A</v>
      </c>
      <c r="C12" s="76" t="e">
        <f>VLOOKUP($A12,'Scouting Output'!$A$3:$AJ$42, 17,FALSE)</f>
        <v>#N/A</v>
      </c>
      <c r="D12" s="76" t="e">
        <f>VLOOKUP(A12,'Scouting Output'!$A$3:$AJ$42, 18, FALSE)</f>
        <v>#N/A</v>
      </c>
      <c r="E12" s="76" t="e">
        <f>SUM(VLOOKUP($A12,'Scouting Output'!$A$3:$AJ$42,19,FALSE), VLOOKUP($A12,'Scouting Output'!$A$3:$AJ$42,20,FALSE))</f>
        <v>#N/A</v>
      </c>
      <c r="F12" s="76" t="e">
        <f>SUM(VLOOKUP($A12,'Scouting Output'!$A$3:$AJ$42,21,FALSE), VLOOKUP($A12,'Scouting Output'!$A$3:$AJ$42,22,FALSE))</f>
        <v>#N/A</v>
      </c>
      <c r="G12" s="76" t="e">
        <f>VLOOKUP(A12,'Scouting Output'!$A$3:$AJ$42, 23, FALSE)</f>
        <v>#N/A</v>
      </c>
      <c r="H12" s="76" t="e">
        <f>SUM(VLOOKUP($A12,'Scouting Output'!$A$3:$AJ$42,24,FALSE), VLOOKUP($A12,'Scouting Output'!$A$3:$AJ$42,25,FALSE))</f>
        <v>#N/A</v>
      </c>
      <c r="I12" s="76" t="e">
        <f>SUM(VLOOKUP($A12,'Scouting Output'!$A$3:$AJ$42,26,FALSE), VLOOKUP($A12,'Scouting Output'!$A$3:$AJ$42,27,FALSE))</f>
        <v>#N/A</v>
      </c>
      <c r="J12" s="76" t="e">
        <f>VLOOKUP(A12,'Scouting Output'!$A$3:$AJ$42, 30, FALSE)</f>
        <v>#N/A</v>
      </c>
      <c r="K12" s="76" t="e">
        <f>VLOOKUP(A12,'Scouting Output'!$A$3:$AJ$42, 28, FALSE)</f>
        <v>#N/A</v>
      </c>
      <c r="L12" s="76" t="e">
        <f>VLOOKUP(A12,'Scouting Output'!$A$3:$AJ$42, 34, FALSE)</f>
        <v>#N/A</v>
      </c>
      <c r="M12" s="128" t="e">
        <f>VLOOKUP($A12,'Scouting Output'!$A$3:$AJ$42, 7,FALSE)</f>
        <v>#N/A</v>
      </c>
      <c r="N12" s="76" t="e">
        <f>SUM(VLOOKUP($A12,'Scouting Output'!$A$3:$AJ$42,8,FALSE), VLOOKUP($A12,'Scouting Output'!$A$3:$AJ$42,9,FALSE), VLOOKUP($A12,'Scouting Output'!$A$3:$AJ$42,10,FALSE), VLOOKUP($A12,'Scouting Output'!$A$3:$AJ$42,11,FALSE))</f>
        <v>#N/A</v>
      </c>
      <c r="O12" s="76" t="e">
        <f>VLOOKUP($A12,'Scouting Output'!$A$3:$AJ$42, 12,FALSE)</f>
        <v>#N/A</v>
      </c>
      <c r="P12" s="79" t="e">
        <f>SUM(VLOOKUP($A12,'Scouting Output'!$A$3:$AJ$42,13,FALSE), VLOOKUP($A12,'Scouting Output'!$A$3:$AJ$42,14,FALSE), VLOOKUP($A12,'Scouting Output'!$A$3:$AJ$42,15,FALSE), VLOOKUP($A12,'Scouting Output'!$A$3:$AJ$42,16,FALSE))</f>
        <v>#N/A</v>
      </c>
    </row>
    <row r="13" spans="1:16" ht="15.75" thickTop="1">
      <c r="A13" t="s">
        <v>339</v>
      </c>
      <c r="B13" t="e">
        <f>SUM(B10:B12)</f>
        <v>#N/A</v>
      </c>
      <c r="G13" s="82"/>
      <c r="M13" s="4"/>
    </row>
    <row r="14" spans="1:16">
      <c r="M14" s="4"/>
    </row>
  </sheetData>
  <mergeCells count="2">
    <mergeCell ref="M2:P2"/>
    <mergeCell ref="B2:L2"/>
  </mergeCells>
  <conditionalFormatting sqref="A4:A7">
    <cfRule type="cellIs" dxfId="32" priority="3" operator="equal">
      <formula>6135</formula>
    </cfRule>
  </conditionalFormatting>
  <conditionalFormatting sqref="A10:A12">
    <cfRule type="cellIs" dxfId="31"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42"/>
  <sheetViews>
    <sheetView tabSelected="1" zoomScale="75" zoomScaleNormal="50" workbookViewId="0">
      <pane xSplit="2" ySplit="2" topLeftCell="C3" activePane="bottomRight" state="frozen"/>
      <selection pane="topRight" activeCell="C1" sqref="C1"/>
      <selection pane="bottomLeft" activeCell="A3" sqref="A3"/>
      <selection pane="bottomRight" activeCell="K28" sqref="K28"/>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52" t="s">
        <v>0</v>
      </c>
      <c r="B1" s="152"/>
      <c r="G1" s="155" t="s">
        <v>9</v>
      </c>
      <c r="H1" s="152"/>
      <c r="I1" s="152"/>
      <c r="J1" s="152"/>
      <c r="K1" s="152"/>
      <c r="L1" s="152"/>
      <c r="M1" s="152"/>
      <c r="N1" s="152"/>
      <c r="O1" s="152"/>
      <c r="P1" s="156"/>
      <c r="Q1" s="154" t="s">
        <v>1</v>
      </c>
      <c r="R1" s="139"/>
      <c r="S1" s="139"/>
      <c r="T1" s="139"/>
      <c r="U1" s="139"/>
      <c r="V1" s="139"/>
      <c r="W1" s="139"/>
      <c r="X1" s="139"/>
      <c r="Y1" s="139"/>
      <c r="Z1" s="139"/>
      <c r="AA1" s="139"/>
      <c r="AB1" s="139"/>
      <c r="AC1" s="139"/>
      <c r="AD1" s="157"/>
      <c r="AE1" s="154" t="s">
        <v>2</v>
      </c>
      <c r="AF1" s="139"/>
      <c r="AG1" s="139"/>
      <c r="AH1" s="139"/>
      <c r="AI1" s="157"/>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c r="A3">
        <v>188</v>
      </c>
      <c r="B3" t="s">
        <v>197</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42" si="0">SUM(hHatch * SUM($H3:$K3), hHatch * SUM($S3:$V3), hRocket23 * SUM($J3:$K3), hRocket23 * SUM($U3:$V3), hSandstorm * SUM($H3:$K3), hPenalty * $AH3, hDropHatch * $AI3,hTippedBroke * SUM($AE3:$AF3), IF($E3 &lt; hNoAutoThreshold, hNoAuto), IF($AG3 &gt; hFloorHatchThreshold, hFloorHatch))</f>
        <v>-0.38888888888888884</v>
      </c>
      <c r="AM3">
        <f t="shared" ref="AM3:AM42" si="1">SUM(cCargo * SUM($M3:$P3), cCargo *SUM( $X3:$AA3), cRocket23 * SUM($O3:$P3, $Z3:$AA3),cSandstorm * SUM($M3:$P3), cPenalty * $AH3, cTippedBroke * SUM($AE3:$AF3), IF($E3 &lt; cNoAutoThreshold, cNoAuto, 0))</f>
        <v>3.5555555555555554</v>
      </c>
    </row>
    <row r="4" spans="1:49">
      <c r="A4">
        <v>610</v>
      </c>
      <c r="B4" t="s">
        <v>198</v>
      </c>
      <c r="C4">
        <f t="shared" ref="C4:C42" si="2">PRODUCT($E4,3)+PRODUCT(SUM($H4:$K4),2)+PRODUCT(SUM($M4:$P4),3)+PRODUCT(SUM($S4:$V4),2)+PRODUCT(SUM($X4:$AA4), 3)+IF($AC4 &gt; 2, PRODUCT(SUM($AC4, -1),6), PRODUCT($AC4,3)) + IF($AD4 &gt; 2, PRODUCT(SUM($AD4, -1),6), PRODUCT($AD4,3)) + PRODUCT($AH4, -1)</f>
        <v>21.555555555555554</v>
      </c>
      <c r="D4">
        <f t="shared" ref="D4:D42" si="3">PRODUCT(SUM($H4:$I4), 2) + PRODUCT(SUM($M4:$N4),3) + PRODUCT(SUM($S4:$T4), 2) + PRODUCT(SUM($X4:$Y4), 3)</f>
        <v>7.333333333333333</v>
      </c>
      <c r="E4">
        <f>IF( COUNTIF('Raw Data'!$A$3:$A$2927,$A4)=0,0,SUMIF('Raw Data'!$A$3:$A$2927, $A4,'Raw Data'!D$3:D$2927) / COUNTIF('Raw Data'!$A$3:$A$2927,$A4))</f>
        <v>1.3333333333333333</v>
      </c>
      <c r="F4">
        <f t="array" ref="F4">MAX(IF('Raw Data'!$A$3:$A$927=$A4, 'Raw Data'!$O$3:$O$927))</f>
        <v>1</v>
      </c>
      <c r="G4">
        <f t="array" ref="G4">MAX(IF('Raw Data'!$A$3:$A$927=$A4, 'Raw Data'!$I$3:$I$927))</f>
        <v>1</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 t="array" ref="L4">MAX(IF('Raw Data'!$A$3:$A$927=$A4, 'Raw Data'!$N$3:$N$927))</f>
        <v>1</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8</v>
      </c>
      <c r="R4">
        <f t="array" ref="R4">MAX(IF('Raw Data'!$A$3:$A$927=$A4, 'Raw Data'!$T$3:$T$927))</f>
        <v>6</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 t="array" ref="W4">MAX(IF('Raw Data'!$A$3:$A$927=$A4, 'Raw Data'!$Y$3:$Y$927))</f>
        <v>4</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7">
        <f>COUNTIF('Raw Data'!A$3:A$2927, $A4)</f>
        <v>9</v>
      </c>
      <c r="AK4">
        <f t="shared" ref="AK4:AK42" si="4">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"h")</f>
        <v>4.522222222222223</v>
      </c>
      <c r="AL4">
        <f t="shared" si="0"/>
        <v>2.4444444444444446</v>
      </c>
      <c r="AM4">
        <f t="shared" si="1"/>
        <v>2.3633333333333333</v>
      </c>
    </row>
    <row r="5" spans="1:49">
      <c r="A5">
        <v>2200</v>
      </c>
      <c r="B5" t="s">
        <v>199</v>
      </c>
      <c r="C5">
        <f t="shared" si="2"/>
        <v>28.125</v>
      </c>
      <c r="D5">
        <f t="shared" si="3"/>
        <v>15</v>
      </c>
      <c r="E5">
        <f>IF( COUNTIF('Raw Data'!$A$3:$A$2927,$A5)=0,0,SUMIF('Raw Data'!$A$3:$A$2927, $A5,'Raw Data'!D$3:D$2927) / COUNTIF('Raw Data'!$A$3:$A$2927,$A5))</f>
        <v>0.875</v>
      </c>
      <c r="F5">
        <f t="array" ref="F5">MAX(IF('Raw Data'!$A$3:$A$927=$A5, 'Raw Data'!$O$3:$O$927))</f>
        <v>1</v>
      </c>
      <c r="G5">
        <f t="array" ref="G5">MAX(IF('Raw Data'!$A$3:$A$927=$A5, 'Raw Data'!$I$3:$I$927))</f>
        <v>1</v>
      </c>
      <c r="H5">
        <f>IF( COUNTIF('Raw Data'!$A$3:$A$2927,$A5)=0,0,SUMIF('Raw Data'!$A$3:$A$2927, $A5,'Raw Data'!E$3:E$2927) / COUNTIF('Raw Data'!$A$3:$A$2927,$A5))</f>
        <v>0.75</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8</v>
      </c>
      <c r="R5">
        <f t="array" ref="R5">MAX(IF('Raw Data'!$A$3:$A$927=$A5, 'Raw Data'!$T$3:$T$927))</f>
        <v>4</v>
      </c>
      <c r="S5">
        <f>IF( COUNTIF('Raw Data'!$A$3:$A$2927,$A5)=0,0,SUMIF('Raw Data'!$A$3:$A$2927, $A5,'Raw Data'!P$3:P$2927) / COUNTIF('Raw Data'!$A$3:$A$2927,$A5))</f>
        <v>1</v>
      </c>
      <c r="T5">
        <f>IF( COUNTIF('Raw Data'!$A$3:$A$2927,$A5)=0,0,SUMIF('Raw Data'!$A$3:$A$2927, $A5,'Raw Data'!Q$3:Q$2927) / COUNTIF('Raw Data'!$A$3:$A$2927,$A5))</f>
        <v>0.875</v>
      </c>
      <c r="U5">
        <f>IF( COUNTIF('Raw Data'!$A$3:$A$2927,$A5)=0,0,SUMIF('Raw Data'!$A$3:$A$2927, $A5,'Raw Data'!R$3:R$2927) / COUNTIF('Raw Data'!$A$3:$A$2927,$A5))</f>
        <v>0.125</v>
      </c>
      <c r="V5">
        <f>IF( COUNTIF('Raw Data'!$A$3:$A$2927,$A5)=0,0,SUMIF('Raw Data'!$A$3:$A$2927, $A5,'Raw Data'!S$3:S$2927) / COUNTIF('Raw Data'!$A$3:$A$2927,$A5))</f>
        <v>0.25</v>
      </c>
      <c r="W5">
        <f t="array" ref="W5">MAX(IF('Raw Data'!$A$3:$A$927=$A5, 'Raw Data'!$Y$3:$Y$927))</f>
        <v>7</v>
      </c>
      <c r="X5">
        <f>IF( COUNTIF('Raw Data'!$A$3:$A$2927,$A5)=0,0,SUMIF('Raw Data'!$A$3:$A$2927, $A5,'Raw Data'!U$3:U$2927) / COUNTIF('Raw Data'!$A$3:$A$2927,$A5))</f>
        <v>3</v>
      </c>
      <c r="Y5">
        <f>IF( COUNTIF('Raw Data'!$A$3:$A$2927,$A5)=0,0,SUMIF('Raw Data'!$A$3:$A$2927, $A5,'Raw Data'!V$3:V$2927) / COUNTIF('Raw Data'!$A$3:$A$2927,$A5))</f>
        <v>0.25</v>
      </c>
      <c r="Z5">
        <f>IF( COUNTIF('Raw Data'!$A$3:$A$2927,$A5)=0,0,SUMIF('Raw Data'!$A$3:$A$2927, $A5,'Raw Data'!W$3:W$2927) / COUNTIF('Raw Data'!$A$3:$A$2927,$A5))</f>
        <v>0</v>
      </c>
      <c r="AA5">
        <f>IF( COUNTIF('Raw Data'!$A$3:$A$2927,$A5)=0,0,SUMIF('Raw Data'!$A$3:$A$2927, $A5,'Raw Data'!X$3:X$2927) / COUNTIF('Raw Data'!$A$3:$A$2927,$A5))</f>
        <v>0.25</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2.625</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0.75</v>
      </c>
      <c r="AI5">
        <f>IF( COUNTIF('Raw Data'!$A$3:$A$2927,$A5)=0,0,SUMIF('Raw Data'!$A$3:$A$2927, $A5,'Raw Data'!AH$3:AH$2927) / COUNTIF('Raw Data'!$A$3:$A$2927,$A5))</f>
        <v>0.125</v>
      </c>
      <c r="AJ5" s="117">
        <f>COUNTIF('Raw Data'!A$3:A$2927, $A5)</f>
        <v>8</v>
      </c>
      <c r="AK5">
        <f t="shared" si="4"/>
        <v>8.9975000000000005</v>
      </c>
      <c r="AL5">
        <f t="shared" si="0"/>
        <v>1.1875</v>
      </c>
      <c r="AM5">
        <f t="shared" si="1"/>
        <v>2.3774999999999999</v>
      </c>
      <c r="AP5" t="s">
        <v>289</v>
      </c>
    </row>
    <row r="6" spans="1:49">
      <c r="A6">
        <v>2386</v>
      </c>
      <c r="B6" t="s">
        <v>200</v>
      </c>
      <c r="C6">
        <f t="shared" si="2"/>
        <v>28</v>
      </c>
      <c r="D6">
        <f t="shared" si="3"/>
        <v>9.1111111111111107</v>
      </c>
      <c r="E6">
        <f>IF( COUNTIF('Raw Data'!$A$3:$A$2927,$A6)=0,0,SUMIF('Raw Data'!$A$3:$A$2927, $A6,'Raw Data'!D$3:D$2927) / COUNTIF('Raw Data'!$A$3:$A$2927,$A6))</f>
        <v>1.8888888888888888</v>
      </c>
      <c r="F6">
        <f t="array" ref="F6">MAX(IF('Raw Data'!$A$3:$A$927=$A6, 'Raw Data'!$O$3:$O$927))</f>
        <v>1</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1</v>
      </c>
      <c r="M6">
        <f>IF( COUNTIF('Raw Data'!$A$3:$A$2927,$A6)=0,0,SUMIF('Raw Data'!$A$3:$A$2927, $A6,'Raw Data'!J$3:J$2927) / COUNTIF('Raw Data'!$A$3:$A$2927,$A6))</f>
        <v>0.55555555555555558</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6</v>
      </c>
      <c r="R6">
        <f t="array" ref="R6">MAX(IF('Raw Data'!$A$3:$A$927=$A6, 'Raw Data'!$T$3:$T$927))</f>
        <v>2</v>
      </c>
      <c r="S6">
        <f>IF( COUNTIF('Raw Data'!$A$3:$A$2927,$A6)=0,0,SUMIF('Raw Data'!$A$3:$A$2927, $A6,'Raw Data'!P$3:P$2927) / COUNTIF('Raw Data'!$A$3:$A$2927,$A6))</f>
        <v>0.33333333333333331</v>
      </c>
      <c r="T6">
        <f>IF( COUNTIF('Raw Data'!$A$3:$A$2927,$A6)=0,0,SUMIF('Raw Data'!$A$3:$A$2927, $A6,'Raw Data'!Q$3:Q$2927) / COUNTIF('Raw Data'!$A$3:$A$2927,$A6))</f>
        <v>0.22222222222222221</v>
      </c>
      <c r="U6">
        <f>IF( COUNTIF('Raw Data'!$A$3:$A$2927,$A6)=0,0,SUMIF('Raw Data'!$A$3:$A$2927, $A6,'Raw Data'!R$3:R$2927) / COUNTIF('Raw Data'!$A$3:$A$2927,$A6))</f>
        <v>0</v>
      </c>
      <c r="V6">
        <f>IF( COUNTIF('Raw Data'!$A$3:$A$2927,$A6)=0,0,SUMIF('Raw Data'!$A$3:$A$2927, $A6,'Raw Data'!S$3:S$2927) / COUNTIF('Raw Data'!$A$3:$A$2927,$A6))</f>
        <v>0.44444444444444442</v>
      </c>
      <c r="W6">
        <f t="array" ref="W6">MAX(IF('Raw Data'!$A$3:$A$927=$A6, 'Raw Data'!$Y$3:$Y$927))</f>
        <v>5</v>
      </c>
      <c r="X6">
        <f>IF( COUNTIF('Raw Data'!$A$3:$A$2927,$A6)=0,0,SUMIF('Raw Data'!$A$3:$A$2927, $A6,'Raw Data'!U$3:U$2927) / COUNTIF('Raw Data'!$A$3:$A$2927,$A6))</f>
        <v>1.7777777777777777</v>
      </c>
      <c r="Y6">
        <f>IF( COUNTIF('Raw Data'!$A$3:$A$2927,$A6)=0,0,SUMIF('Raw Data'!$A$3:$A$2927, $A6,'Raw Data'!V$3:V$2927) / COUNTIF('Raw Data'!$A$3:$A$2927,$A6))</f>
        <v>0.33333333333333331</v>
      </c>
      <c r="Z6">
        <f>IF( COUNTIF('Raw Data'!$A$3:$A$2927,$A6)=0,0,SUMIF('Raw Data'!$A$3:$A$2927, $A6,'Raw Data'!W$3:W$2927) / COUNTIF('Raw Data'!$A$3:$A$2927,$A6))</f>
        <v>0</v>
      </c>
      <c r="AA6">
        <f>IF( COUNTIF('Raw Data'!$A$3:$A$2927,$A6)=0,0,SUMIF('Raw Data'!$A$3:$A$2927, $A6,'Raw Data'!X$3:X$2927) / COUNTIF('Raw Data'!$A$3:$A$2927,$A6))</f>
        <v>0.1111111111111111</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3</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0.44444444444444442</v>
      </c>
      <c r="AJ6" s="117">
        <f>COUNTIF('Raw Data'!A$3:A$2927, $A6)</f>
        <v>9</v>
      </c>
      <c r="AK6">
        <f t="shared" si="4"/>
        <v>8.2222222222222214</v>
      </c>
      <c r="AL6">
        <f t="shared" si="0"/>
        <v>-0.55555555555555536</v>
      </c>
      <c r="AM6">
        <f t="shared" si="1"/>
        <v>2.9722222222222219</v>
      </c>
      <c r="AP6" t="s">
        <v>261</v>
      </c>
    </row>
    <row r="7" spans="1:49">
      <c r="A7">
        <v>2708</v>
      </c>
      <c r="B7" t="s">
        <v>201</v>
      </c>
      <c r="C7">
        <f t="shared" si="2"/>
        <v>4.625</v>
      </c>
      <c r="D7">
        <f t="shared" si="3"/>
        <v>1.875</v>
      </c>
      <c r="E7">
        <f>IF( COUNTIF('Raw Data'!$A$3:$A$2927,$A7)=0,0,SUMIF('Raw Data'!$A$3:$A$2927, $A7,'Raw Data'!D$3:D$2927) / COUNTIF('Raw Data'!$A$3:$A$2927,$A7))</f>
        <v>1.25</v>
      </c>
      <c r="F7">
        <f t="array" ref="F7">MAX(IF('Raw Data'!$A$3:$A$927=$A7, 'Raw Data'!$O$3:$O$927))</f>
        <v>0</v>
      </c>
      <c r="G7">
        <f t="array" ref="G7">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 t="array" ref="L7">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2</v>
      </c>
      <c r="R7">
        <f t="array" ref="R7">MAX(IF('Raw Data'!$A$3:$A$927=$A7, 'Raw Data'!$T$3:$T$927))</f>
        <v>1</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0.125</v>
      </c>
      <c r="W7">
        <f t="array" ref="W7">MAX(IF('Raw Data'!$A$3:$A$927=$A7, 'Raw Data'!$Y$3:$Y$927))</f>
        <v>2</v>
      </c>
      <c r="X7">
        <f>IF( COUNTIF('Raw Data'!$A$3:$A$2927,$A7)=0,0,SUMIF('Raw Data'!$A$3:$A$2927, $A7,'Raw Data'!U$3:U$2927) / COUNTIF('Raw Data'!$A$3:$A$2927,$A7))</f>
        <v>0.5</v>
      </c>
      <c r="Y7">
        <f>IF( COUNTIF('Raw Data'!$A$3:$A$2927,$A7)=0,0,SUMIF('Raw Data'!$A$3:$A$2927, $A7,'Raw Data'!V$3:V$2927) / COUNTIF('Raw Data'!$A$3:$A$2927,$A7))</f>
        <v>0.125</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15</v>
      </c>
      <c r="AC7">
        <f>IF( COUNTIF('Raw Data'!$A$3:$A$2927,$A7)=0,0,SUMIF('Raw Data'!$A$3:$A$2927, $A7,'Raw Data'!AB$3:AB$2927) / COUNTIF('Raw Data'!$A$3:$A$2927,$A7))</f>
        <v>0</v>
      </c>
      <c r="AD7">
        <f>IF( COUNTIF('Raw Data'!$A$3:$A$2927,$A7)=0,0,SUMIF('Raw Data'!$A$3:$A$2927, $A7,'Raw Data'!AC$3:AC$2927) / COUNTIF('Raw Data'!$A$3:$A$2927,$A7))</f>
        <v>0.75</v>
      </c>
      <c r="AE7" s="117">
        <f>IF( COUNTIF('Raw Data'!$A$3:$A$2927,$A7)=0,0,SUMIF('Raw Data'!$A$3:$A$2927, $A7,'Raw Data'!AD$3:AD$2927) / COUNTIF('Raw Data'!$A$3:$A$2927,$A7))</f>
        <v>0</v>
      </c>
      <c r="AF7">
        <f>IF( COUNTIF('Raw Data'!$A$3:$A$2927,$A7)=0,0,SUMIF('Raw Data'!$A$3:$A$2927, $A7,'Raw Data'!AE$3:AE$2927) / COUNTIF('Raw Data'!$A$3:$A$2927,$A7))</f>
        <v>0.125</v>
      </c>
      <c r="AG7">
        <f>IF( COUNTIF('Raw Data'!$A$3:$A$2927,$A7)=0,0,SUMIF('Raw Data'!$A$3:$A$2927, $A7,'Raw Data'!AF$3:AF$2927) / COUNTIF('Raw Data'!$A$3:$A$2927,$A7))</f>
        <v>0</v>
      </c>
      <c r="AH7">
        <f>IF( COUNTIF('Raw Data'!$A$3:$A$2927,$A7)=0,0,SUMIF('Raw Data'!$A$3:$A$2927, $A7,'Raw Data'!AG$3:AG$2927) / COUNTIF('Raw Data'!$A$3:$A$2927,$A7))</f>
        <v>3.5</v>
      </c>
      <c r="AI7">
        <f>IF( COUNTIF('Raw Data'!$A$3:$A$2927,$A7)=0,0,SUMIF('Raw Data'!$A$3:$A$2927, $A7,'Raw Data'!AH$3:AH$2927) / COUNTIF('Raw Data'!$A$3:$A$2927,$A7))</f>
        <v>0.5</v>
      </c>
      <c r="AJ7" s="117">
        <f>COUNTIF('Raw Data'!A$3:A$2927, $A7)</f>
        <v>8</v>
      </c>
      <c r="AK7">
        <f t="shared" si="4"/>
        <v>-22.4</v>
      </c>
      <c r="AL7">
        <f t="shared" si="0"/>
        <v>-3.8125</v>
      </c>
      <c r="AM7">
        <f t="shared" si="1"/>
        <v>-0.78</v>
      </c>
      <c r="AP7" t="s">
        <v>248</v>
      </c>
    </row>
    <row r="8" spans="1:49">
      <c r="A8">
        <v>2852</v>
      </c>
      <c r="B8" t="s">
        <v>202</v>
      </c>
      <c r="C8">
        <f t="shared" si="2"/>
        <v>9.2857142857142847</v>
      </c>
      <c r="D8">
        <f t="shared" si="3"/>
        <v>3.8571428571428568</v>
      </c>
      <c r="E8">
        <f>IF( COUNTIF('Raw Data'!$A$3:$A$2927,$A8)=0,0,SUMIF('Raw Data'!$A$3:$A$2927, $A8,'Raw Data'!D$3:D$2927) / COUNTIF('Raw Data'!$A$3:$A$2927,$A8))</f>
        <v>1.8571428571428572</v>
      </c>
      <c r="F8">
        <f t="array" ref="F8">MAX(IF('Raw Data'!$A$3:$A$927=$A8, 'Raw Data'!$O$3:$O$927))</f>
        <v>1</v>
      </c>
      <c r="G8">
        <f t="array" ref="G8">MAX(IF('Raw Data'!$A$3:$A$927=$A8, 'Raw Data'!$I$3:$I$927))</f>
        <v>1</v>
      </c>
      <c r="H8">
        <f>IF( COUNTIF('Raw Data'!$A$3:$A$2927,$A8)=0,0,SUMIF('Raw Data'!$A$3:$A$2927, $A8,'Raw Data'!E$3:E$2927) / COUNTIF('Raw Data'!$A$3:$A$2927,$A8))</f>
        <v>0</v>
      </c>
      <c r="I8">
        <f>IF( COUNTIF('Raw Data'!$A$3:$A$2927,$A8)=0,0,SUMIF('Raw Data'!$A$3:$A$2927, $A8,'Raw Data'!F$3:F$2927) / COUNTIF('Raw Data'!$A$3:$A$2927,$A8))</f>
        <v>0.14285714285714285</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6</v>
      </c>
      <c r="R8">
        <f t="array" ref="R8">MAX(IF('Raw Data'!$A$3:$A$927=$A8, 'Raw Data'!$T$3:$T$927))</f>
        <v>6</v>
      </c>
      <c r="S8">
        <f>IF( COUNTIF('Raw Data'!$A$3:$A$2927,$A8)=0,0,SUMIF('Raw Data'!$A$3:$A$2927, $A8,'Raw Data'!P$3:P$2927) / COUNTIF('Raw Data'!$A$3:$A$2927,$A8))</f>
        <v>0.5714285714285714</v>
      </c>
      <c r="T8">
        <f>IF( COUNTIF('Raw Data'!$A$3:$A$2927,$A8)=0,0,SUMIF('Raw Data'!$A$3:$A$2927, $A8,'Raw Data'!Q$3:Q$2927) / COUNTIF('Raw Data'!$A$3:$A$2927,$A8))</f>
        <v>1</v>
      </c>
      <c r="U8">
        <f>IF( COUNTIF('Raw Data'!$A$3:$A$2927,$A8)=0,0,SUMIF('Raw Data'!$A$3:$A$2927, $A8,'Raw Data'!R$3:R$2927) / COUNTIF('Raw Data'!$A$3:$A$2927,$A8))</f>
        <v>0.7142857142857143</v>
      </c>
      <c r="V8">
        <f>IF( COUNTIF('Raw Data'!$A$3:$A$2927,$A8)=0,0,SUMIF('Raw Data'!$A$3:$A$2927, $A8,'Raw Data'!S$3:S$2927) / COUNTIF('Raw Data'!$A$3:$A$2927,$A8))</f>
        <v>0.14285714285714285</v>
      </c>
      <c r="W8">
        <f t="array" ref="W8">MAX(IF('Raw Data'!$A$3:$A$927=$A8, 'Raw Data'!$Y$3:$Y$927))</f>
        <v>1</v>
      </c>
      <c r="X8">
        <f>IF( COUNTIF('Raw Data'!$A$3:$A$2927,$A8)=0,0,SUMIF('Raw Data'!$A$3:$A$2927, $A8,'Raw Data'!U$3:U$2927) / COUNTIF('Raw Data'!$A$3:$A$2927,$A8))</f>
        <v>0.14285714285714285</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5.7142857142857144</v>
      </c>
      <c r="AC8">
        <f>IF( COUNTIF('Raw Data'!$A$3:$A$2927,$A8)=0,0,SUMIF('Raw Data'!$A$3:$A$2927, $A8,'Raw Data'!AB$3:AB$2927) / COUNTIF('Raw Data'!$A$3:$A$2927,$A8))</f>
        <v>0</v>
      </c>
      <c r="AD8">
        <f>IF( COUNTIF('Raw Data'!$A$3:$A$2927,$A8)=0,0,SUMIF('Raw Data'!$A$3:$A$2927, $A8,'Raw Data'!AC$3:AC$2927) / COUNTIF('Raw Data'!$A$3:$A$2927,$A8))</f>
        <v>0.7142857142857143</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4</v>
      </c>
      <c r="AI8">
        <f>IF( COUNTIF('Raw Data'!$A$3:$A$2927,$A8)=0,0,SUMIF('Raw Data'!$A$3:$A$2927, $A8,'Raw Data'!AH$3:AH$2927) / COUNTIF('Raw Data'!$A$3:$A$2927,$A8))</f>
        <v>0.5714285714285714</v>
      </c>
      <c r="AJ8" s="117">
        <f>COUNTIF('Raw Data'!A$3:A$2927, $A8)</f>
        <v>7</v>
      </c>
      <c r="AK8">
        <f t="shared" si="4"/>
        <v>0.95142857142857151</v>
      </c>
      <c r="AL8">
        <f t="shared" si="0"/>
        <v>-1.214285714285714</v>
      </c>
      <c r="AM8">
        <f t="shared" si="1"/>
        <v>-1.1771428571428573</v>
      </c>
      <c r="AP8" t="s">
        <v>260</v>
      </c>
    </row>
    <row r="9" spans="1:49">
      <c r="A9">
        <v>2994</v>
      </c>
      <c r="B9" t="s">
        <v>203</v>
      </c>
      <c r="C9">
        <f t="shared" si="2"/>
        <v>13.799999999999999</v>
      </c>
      <c r="D9">
        <f t="shared" si="3"/>
        <v>4.1999999999999993</v>
      </c>
      <c r="E9">
        <f>IF( COUNTIF('Raw Data'!$A$3:$A$2927,$A9)=0,0,SUMIF('Raw Data'!$A$3:$A$2927, $A9,'Raw Data'!D$3:D$2927) / COUNTIF('Raw Data'!$A$3:$A$2927,$A9))</f>
        <v>1.7</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4</v>
      </c>
      <c r="R9">
        <f t="array" ref="R9">MAX(IF('Raw Data'!$A$3:$A$927=$A9, 'Raw Data'!$T$3:$T$927))</f>
        <v>1</v>
      </c>
      <c r="S9">
        <f>IF( COUNTIF('Raw Data'!$A$3:$A$2927,$A9)=0,0,SUMIF('Raw Data'!$A$3:$A$2927, $A9,'Raw Data'!P$3:P$2927) / COUNTIF('Raw Data'!$A$3:$A$2927,$A9))</f>
        <v>0.3</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4</v>
      </c>
      <c r="X9">
        <f>IF( COUNTIF('Raw Data'!$A$3:$A$2927,$A9)=0,0,SUMIF('Raw Data'!$A$3:$A$2927, $A9,'Raw Data'!U$3:U$2927) / COUNTIF('Raw Data'!$A$3:$A$2927,$A9))</f>
        <v>1.2</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1.6</v>
      </c>
      <c r="AE9" s="117">
        <f>IF( COUNTIF('Raw Data'!$A$3:$A$2927,$A9)=0,0,SUMIF('Raw Data'!$A$3:$A$2927, $A9,'Raw Data'!AD$3:AD$2927) / COUNTIF('Raw Data'!$A$3:$A$2927,$A9))</f>
        <v>0.1</v>
      </c>
      <c r="AF9">
        <f>IF( COUNTIF('Raw Data'!$A$3:$A$2927,$A9)=0,0,SUMIF('Raw Data'!$A$3:$A$2927, $A9,'Raw Data'!AE$3:AE$2927) / COUNTIF('Raw Data'!$A$3:$A$2927,$A9))</f>
        <v>0.1</v>
      </c>
      <c r="AG9">
        <f>IF( COUNTIF('Raw Data'!$A$3:$A$2927,$A9)=0,0,SUMIF('Raw Data'!$A$3:$A$2927, $A9,'Raw Data'!AF$3:AF$2927) / COUNTIF('Raw Data'!$A$3:$A$2927,$A9))</f>
        <v>0</v>
      </c>
      <c r="AH9">
        <f>IF( COUNTIF('Raw Data'!$A$3:$A$2927,$A9)=0,0,SUMIF('Raw Data'!$A$3:$A$2927, $A9,'Raw Data'!AG$3:AG$2927) / COUNTIF('Raw Data'!$A$3:$A$2927,$A9))</f>
        <v>0.3</v>
      </c>
      <c r="AI9">
        <f>IF( COUNTIF('Raw Data'!$A$3:$A$2927,$A9)=0,0,SUMIF('Raw Data'!$A$3:$A$2927, $A9,'Raw Data'!AH$3:AH$2927) / COUNTIF('Raw Data'!$A$3:$A$2927,$A9))</f>
        <v>0.8</v>
      </c>
      <c r="AJ9" s="117">
        <f>COUNTIF('Raw Data'!A$3:A$2927, $A9)</f>
        <v>10</v>
      </c>
      <c r="AK9">
        <f t="shared" si="4"/>
        <v>-5.799999999999994E-2</v>
      </c>
      <c r="AL9">
        <f t="shared" si="0"/>
        <v>-3.45</v>
      </c>
      <c r="AM9">
        <f t="shared" si="1"/>
        <v>0.70099999999999996</v>
      </c>
      <c r="AP9" t="s">
        <v>249</v>
      </c>
    </row>
    <row r="10" spans="1:49">
      <c r="A10">
        <v>3571</v>
      </c>
      <c r="B10" t="s">
        <v>204</v>
      </c>
      <c r="C10">
        <f t="shared" si="2"/>
        <v>5.25</v>
      </c>
      <c r="D10">
        <f t="shared" si="3"/>
        <v>0</v>
      </c>
      <c r="E10">
        <f>IF( COUNTIF('Raw Data'!$A$3:$A$2927,$A10)=0,0,SUMIF('Raw Data'!$A$3:$A$2927, $A10,'Raw Data'!D$3:D$2927) / COUNTIF('Raw Data'!$A$3:$A$2927,$A10))</f>
        <v>1.375</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7.5</v>
      </c>
      <c r="AC10">
        <f>IF( COUNTIF('Raw Data'!$A$3:$A$2927,$A10)=0,0,SUMIF('Raw Data'!$A$3:$A$2927, $A10,'Raw Data'!AB$3:AB$2927) / COUNTIF('Raw Data'!$A$3:$A$2927,$A10))</f>
        <v>0</v>
      </c>
      <c r="AD10">
        <f>IF( COUNTIF('Raw Data'!$A$3:$A$2927,$A10)=0,0,SUMIF('Raw Data'!$A$3:$A$2927, $A10,'Raw Data'!AC$3:AC$2927) / COUNTIF('Raw Data'!$A$3:$A$2927,$A10))</f>
        <v>0.5</v>
      </c>
      <c r="AE10" s="117">
        <f>IF( COUNTIF('Raw Data'!$A$3:$A$2927,$A10)=0,0,SUMIF('Raw Data'!$A$3:$A$2927, $A10,'Raw Data'!AD$3:AD$2927) / COUNTIF('Raw Data'!$A$3:$A$2927,$A10))</f>
        <v>0</v>
      </c>
      <c r="AF10">
        <f>IF( COUNTIF('Raw Data'!$A$3:$A$2927,$A10)=0,0,SUMIF('Raw Data'!$A$3:$A$2927, $A10,'Raw Data'!AE$3:AE$2927) / COUNTIF('Raw Data'!$A$3:$A$2927,$A10))</f>
        <v>0.5</v>
      </c>
      <c r="AG10">
        <f>IF( COUNTIF('Raw Data'!$A$3:$A$2927,$A10)=0,0,SUMIF('Raw Data'!$A$3:$A$2927, $A10,'Raw Data'!AF$3:AF$2927) / COUNTIF('Raw Data'!$A$3:$A$2927,$A10))</f>
        <v>0</v>
      </c>
      <c r="AH10">
        <f>IF( COUNTIF('Raw Data'!$A$3:$A$2927,$A10)=0,0,SUMIF('Raw Data'!$A$3:$A$2927, $A10,'Raw Data'!AG$3:AG$2927) / COUNTIF('Raw Data'!$A$3:$A$2927,$A10))</f>
        <v>0.375</v>
      </c>
      <c r="AI10">
        <f>IF( COUNTIF('Raw Data'!$A$3:$A$2927,$A10)=0,0,SUMIF('Raw Data'!$A$3:$A$2927, $A10,'Raw Data'!AH$3:AH$2927) / COUNTIF('Raw Data'!$A$3:$A$2927,$A10))</f>
        <v>0</v>
      </c>
      <c r="AJ10" s="117">
        <f>COUNTIF('Raw Data'!A$3:A$2927, $A10)</f>
        <v>8</v>
      </c>
      <c r="AK10">
        <f t="shared" si="4"/>
        <v>-1.1875</v>
      </c>
      <c r="AL10">
        <f t="shared" si="0"/>
        <v>-1.1875</v>
      </c>
      <c r="AM10">
        <f t="shared" si="1"/>
        <v>-1.12375</v>
      </c>
      <c r="AP10" t="s">
        <v>250</v>
      </c>
    </row>
    <row r="11" spans="1:49">
      <c r="A11">
        <v>4015</v>
      </c>
      <c r="B11" t="s">
        <v>205</v>
      </c>
      <c r="C11">
        <f t="shared" si="2"/>
        <v>9.3000000000000007</v>
      </c>
      <c r="D11">
        <f t="shared" si="3"/>
        <v>5.5000000000000009</v>
      </c>
      <c r="E11">
        <f>IF( COUNTIF('Raw Data'!$A$3:$A$2927,$A11)=0,0,SUMIF('Raw Data'!$A$3:$A$2927, $A11,'Raw Data'!D$3:D$2927) / COUNTIF('Raw Data'!$A$3:$A$2927,$A11))</f>
        <v>0.9</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0.1</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2</v>
      </c>
      <c r="S11">
        <f>IF( COUNTIF('Raw Data'!$A$3:$A$2927,$A11)=0,0,SUMIF('Raw Data'!$A$3:$A$2927, $A11,'Raw Data'!P$3:P$2927) / COUNTIF('Raw Data'!$A$3:$A$2927,$A11))</f>
        <v>0</v>
      </c>
      <c r="T11">
        <f>IF( COUNTIF('Raw Data'!$A$3:$A$2927,$A11)=0,0,SUMIF('Raw Data'!$A$3:$A$2927, $A11,'Raw Data'!Q$3:Q$2927) / COUNTIF('Raw Data'!$A$3:$A$2927,$A11))</f>
        <v>0.2</v>
      </c>
      <c r="U11">
        <f>IF( COUNTIF('Raw Data'!$A$3:$A$2927,$A11)=0,0,SUMIF('Raw Data'!$A$3:$A$2927, $A11,'Raw Data'!R$3:R$2927) / COUNTIF('Raw Data'!$A$3:$A$2927,$A11))</f>
        <v>0.1</v>
      </c>
      <c r="V11">
        <f>IF( COUNTIF('Raw Data'!$A$3:$A$2927,$A11)=0,0,SUMIF('Raw Data'!$A$3:$A$2927, $A11,'Raw Data'!S$3:S$2927) / COUNTIF('Raw Data'!$A$3:$A$2927,$A11))</f>
        <v>0</v>
      </c>
      <c r="W11">
        <f t="array" ref="W11">MAX(IF('Raw Data'!$A$3:$A$927=$A11, 'Raw Data'!$Y$3:$Y$927))</f>
        <v>3</v>
      </c>
      <c r="X11">
        <f>IF( COUNTIF('Raw Data'!$A$3:$A$2927,$A11)=0,0,SUMIF('Raw Data'!$A$3:$A$2927, $A11,'Raw Data'!U$3:U$2927) / COUNTIF('Raw Data'!$A$3:$A$2927,$A11))</f>
        <v>1.3</v>
      </c>
      <c r="Y11">
        <f>IF( COUNTIF('Raw Data'!$A$3:$A$2927,$A11)=0,0,SUMIF('Raw Data'!$A$3:$A$2927, $A11,'Raw Data'!V$3:V$2927) / COUNTIF('Raw Data'!$A$3:$A$2927,$A11))</f>
        <v>0.3</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3.8</v>
      </c>
      <c r="AC11">
        <f>IF( COUNTIF('Raw Data'!$A$3:$A$2927,$A11)=0,0,SUMIF('Raw Data'!$A$3:$A$2927, $A11,'Raw Data'!AB$3:AB$2927) / COUNTIF('Raw Data'!$A$3:$A$2927,$A11))</f>
        <v>0</v>
      </c>
      <c r="AD11">
        <f>IF( COUNTIF('Raw Data'!$A$3:$A$2927,$A11)=0,0,SUMIF('Raw Data'!$A$3:$A$2927, $A11,'Raw Data'!AC$3:AC$2927) / COUNTIF('Raw Data'!$A$3:$A$2927,$A11))</f>
        <v>0.5</v>
      </c>
      <c r="AE11" s="117">
        <f>IF( COUNTIF('Raw Data'!$A$3:$A$2927,$A11)=0,0,SUMIF('Raw Data'!$A$3:$A$2927, $A11,'Raw Data'!AD$3:AD$2927) / COUNTIF('Raw Data'!$A$3:$A$2927,$A11))</f>
        <v>0</v>
      </c>
      <c r="AF11">
        <f>IF( COUNTIF('Raw Data'!$A$3:$A$2927,$A11)=0,0,SUMIF('Raw Data'!$A$3:$A$2927, $A11,'Raw Data'!AE$3:AE$2927) / COUNTIF('Raw Data'!$A$3:$A$2927,$A11))</f>
        <v>0.3</v>
      </c>
      <c r="AG11">
        <f>IF( COUNTIF('Raw Data'!$A$3:$A$2927,$A11)=0,0,SUMIF('Raw Data'!$A$3:$A$2927, $A11,'Raw Data'!AF$3:AF$2927) / COUNTIF('Raw Data'!$A$3:$A$2927,$A11))</f>
        <v>0</v>
      </c>
      <c r="AH11">
        <f>IF( COUNTIF('Raw Data'!$A$3:$A$2927,$A11)=0,0,SUMIF('Raw Data'!$A$3:$A$2927, $A11,'Raw Data'!AG$3:AG$2927) / COUNTIF('Raw Data'!$A$3:$A$2927,$A11))</f>
        <v>0.6</v>
      </c>
      <c r="AI11">
        <f>IF( COUNTIF('Raw Data'!$A$3:$A$2927,$A11)=0,0,SUMIF('Raw Data'!$A$3:$A$2927, $A11,'Raw Data'!AH$3:AH$2927) / COUNTIF('Raw Data'!$A$3:$A$2927,$A11))</f>
        <v>0.2</v>
      </c>
      <c r="AJ11" s="117">
        <f>COUNTIF('Raw Data'!A$3:A$2927, $A11)</f>
        <v>10</v>
      </c>
      <c r="AK11">
        <f t="shared" si="4"/>
        <v>-0.82799999999999985</v>
      </c>
      <c r="AL11">
        <f t="shared" si="0"/>
        <v>-2.85</v>
      </c>
      <c r="AM11">
        <f t="shared" si="1"/>
        <v>-7.2999999999999843E-2</v>
      </c>
    </row>
    <row r="12" spans="1:49">
      <c r="A12">
        <v>4152</v>
      </c>
      <c r="B12" t="s">
        <v>206</v>
      </c>
      <c r="C12">
        <f t="shared" si="2"/>
        <v>19.8</v>
      </c>
      <c r="D12">
        <f t="shared" si="3"/>
        <v>9</v>
      </c>
      <c r="E12">
        <f>IF( COUNTIF('Raw Data'!$A$3:$A$2927,$A12)=0,0,SUMIF('Raw Data'!$A$3:$A$2927, $A12,'Raw Data'!D$3:D$2927) / COUNTIF('Raw Data'!$A$3:$A$2927,$A12))</f>
        <v>1.7</v>
      </c>
      <c r="F12">
        <f t="array" ref="F12">MAX(IF('Raw Data'!$A$3:$A$927=$A12, 'Raw Data'!$O$3:$O$927))</f>
        <v>1</v>
      </c>
      <c r="G12">
        <f t="array" ref="G12">MAX(IF('Raw Data'!$A$3:$A$927=$A12, 'Raw Data'!$I$3:$I$927))</f>
        <v>1</v>
      </c>
      <c r="H12">
        <f>IF( COUNTIF('Raw Data'!$A$3:$A$2927,$A12)=0,0,SUMIF('Raw Data'!$A$3:$A$2927, $A12,'Raw Data'!E$3:E$2927) / COUNTIF('Raw Data'!$A$3:$A$2927,$A12))</f>
        <v>0.5</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1</v>
      </c>
      <c r="M12">
        <f>IF( COUNTIF('Raw Data'!$A$3:$A$2927,$A12)=0,0,SUMIF('Raw Data'!$A$3:$A$2927, $A12,'Raw Data'!J$3:J$2927) / COUNTIF('Raw Data'!$A$3:$A$2927,$A12))</f>
        <v>0.1</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6</v>
      </c>
      <c r="R12">
        <f t="array" ref="R12">MAX(IF('Raw Data'!$A$3:$A$927=$A12, 'Raw Data'!$T$3:$T$927))</f>
        <v>6</v>
      </c>
      <c r="S12">
        <f>IF( COUNTIF('Raw Data'!$A$3:$A$2927,$A12)=0,0,SUMIF('Raw Data'!$A$3:$A$2927, $A12,'Raw Data'!P$3:P$2927) / COUNTIF('Raw Data'!$A$3:$A$2927,$A12))</f>
        <v>1.5</v>
      </c>
      <c r="T12">
        <f>IF( COUNTIF('Raw Data'!$A$3:$A$2927,$A12)=0,0,SUMIF('Raw Data'!$A$3:$A$2927, $A12,'Raw Data'!Q$3:Q$2927) / COUNTIF('Raw Data'!$A$3:$A$2927,$A12))</f>
        <v>0.7</v>
      </c>
      <c r="U12">
        <f>IF( COUNTIF('Raw Data'!$A$3:$A$2927,$A12)=0,0,SUMIF('Raw Data'!$A$3:$A$2927, $A12,'Raw Data'!R$3:R$2927) / COUNTIF('Raw Data'!$A$3:$A$2927,$A12))</f>
        <v>0.4</v>
      </c>
      <c r="V12">
        <f>IF( COUNTIF('Raw Data'!$A$3:$A$2927,$A12)=0,0,SUMIF('Raw Data'!$A$3:$A$2927, $A12,'Raw Data'!S$3:S$2927) / COUNTIF('Raw Data'!$A$3:$A$2927,$A12))</f>
        <v>0.2</v>
      </c>
      <c r="W12">
        <f t="array" ref="W12">MAX(IF('Raw Data'!$A$3:$A$927=$A12, 'Raw Data'!$Y$3:$Y$927))</f>
        <v>2</v>
      </c>
      <c r="X12">
        <f>IF( COUNTIF('Raw Data'!$A$3:$A$2927,$A12)=0,0,SUMIF('Raw Data'!$A$3:$A$2927, $A12,'Raw Data'!U$3:U$2927) / COUNTIF('Raw Data'!$A$3:$A$2927,$A12))</f>
        <v>0.7</v>
      </c>
      <c r="Y12">
        <f>IF( COUNTIF('Raw Data'!$A$3:$A$2927,$A12)=0,0,SUMIF('Raw Data'!$A$3:$A$2927, $A12,'Raw Data'!V$3:V$2927) / COUNTIF('Raw Data'!$A$3:$A$2927,$A12))</f>
        <v>0.4</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1.6</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0.3</v>
      </c>
      <c r="AI12">
        <f>IF( COUNTIF('Raw Data'!$A$3:$A$2927,$A12)=0,0,SUMIF('Raw Data'!$A$3:$A$2927, $A12,'Raw Data'!AH$3:AH$2927) / COUNTIF('Raw Data'!$A$3:$A$2927,$A12))</f>
        <v>0.1</v>
      </c>
      <c r="AJ12" s="117">
        <f>COUNTIF('Raw Data'!A$3:A$2927, $A12)</f>
        <v>10</v>
      </c>
      <c r="AK12">
        <f t="shared" si="4"/>
        <v>5.0419999999999998</v>
      </c>
      <c r="AL12">
        <f t="shared" si="0"/>
        <v>3.3000000000000007</v>
      </c>
      <c r="AM12">
        <f t="shared" si="1"/>
        <v>1.1260000000000001</v>
      </c>
      <c r="AP12" t="s">
        <v>251</v>
      </c>
    </row>
    <row r="13" spans="1:49">
      <c r="A13">
        <v>4476</v>
      </c>
      <c r="B13" t="s">
        <v>207</v>
      </c>
      <c r="C13">
        <f t="shared" si="2"/>
        <v>18.36363636363636</v>
      </c>
      <c r="D13">
        <f t="shared" si="3"/>
        <v>13.18181818181818</v>
      </c>
      <c r="E13">
        <f>IF( COUNTIF('Raw Data'!$A$3:$A$2927,$A13)=0,0,SUMIF('Raw Data'!$A$3:$A$2927, $A13,'Raw Data'!D$3:D$2927) / COUNTIF('Raw Data'!$A$3:$A$2927,$A13))</f>
        <v>1.7272727272727273</v>
      </c>
      <c r="F13">
        <f t="array" ref="F13">MAX(IF('Raw Data'!$A$3:$A$927=$A13, 'Raw Data'!$O$3:$O$927))</f>
        <v>1</v>
      </c>
      <c r="G13">
        <f t="array" ref="G13">MAX(IF('Raw Data'!$A$3:$A$927=$A13, 'Raw Data'!$I$3:$I$927))</f>
        <v>1</v>
      </c>
      <c r="H13">
        <f>IF( COUNTIF('Raw Data'!$A$3:$A$2927,$A13)=0,0,SUMIF('Raw Data'!$A$3:$A$2927, $A13,'Raw Data'!E$3:E$2927) / COUNTIF('Raw Data'!$A$3:$A$2927,$A13))</f>
        <v>0.54545454545454541</v>
      </c>
      <c r="I13">
        <f>IF( COUNTIF('Raw Data'!$A$3:$A$2927,$A13)=0,0,SUMIF('Raw Data'!$A$3:$A$2927, $A13,'Raw Data'!F$3:F$2927) / COUNTIF('Raw Data'!$A$3:$A$2927,$A13))</f>
        <v>9.0909090909090912E-2</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1</v>
      </c>
      <c r="M13">
        <f>IF( COUNTIF('Raw Data'!$A$3:$A$2927,$A13)=0,0,SUMIF('Raw Data'!$A$3:$A$2927, $A13,'Raw Data'!J$3:J$2927) / COUNTIF('Raw Data'!$A$3:$A$2927,$A13))</f>
        <v>9.0909090909090912E-2</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2</v>
      </c>
      <c r="S13">
        <f>IF( COUNTIF('Raw Data'!$A$3:$A$2927,$A13)=0,0,SUMIF('Raw Data'!$A$3:$A$2927, $A13,'Raw Data'!P$3:P$2927) / COUNTIF('Raw Data'!$A$3:$A$2927,$A13))</f>
        <v>0.54545454545454541</v>
      </c>
      <c r="T13">
        <f>IF( COUNTIF('Raw Data'!$A$3:$A$2927,$A13)=0,0,SUMIF('Raw Data'!$A$3:$A$2927, $A13,'Raw Data'!Q$3:Q$2927) / COUNTIF('Raw Data'!$A$3:$A$2927,$A13))</f>
        <v>0.36363636363636365</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5</v>
      </c>
      <c r="X13">
        <f>IF( COUNTIF('Raw Data'!$A$3:$A$2927,$A13)=0,0,SUMIF('Raw Data'!$A$3:$A$2927, $A13,'Raw Data'!U$3:U$2927) / COUNTIF('Raw Data'!$A$3:$A$2927,$A13))</f>
        <v>2.7272727272727271</v>
      </c>
      <c r="Y13">
        <f>IF( COUNTIF('Raw Data'!$A$3:$A$2927,$A13)=0,0,SUMIF('Raw Data'!$A$3:$A$2927, $A13,'Raw Data'!V$3:V$2927) / COUNTIF('Raw Data'!$A$3:$A$2927,$A13))</f>
        <v>0.54545454545454541</v>
      </c>
      <c r="Z13">
        <f>IF( COUNTIF('Raw Data'!$A$3:$A$2927,$A13)=0,0,SUMIF('Raw Data'!$A$3:$A$2927, $A13,'Raw Data'!W$3:W$2927) / COUNTIF('Raw Data'!$A$3:$A$2927,$A13))</f>
        <v>9.0909090909090912E-2</v>
      </c>
      <c r="AA13">
        <f>IF( COUNTIF('Raw Data'!$A$3:$A$2927,$A13)=0,0,SUMIF('Raw Data'!$A$3:$A$2927, $A13,'Raw Data'!X$3:X$2927) / COUNTIF('Raw Data'!$A$3:$A$2927,$A13))</f>
        <v>0</v>
      </c>
      <c r="AB13">
        <f>IF( COUNTIF('Raw Data'!$A$3:$A$2927,$A13)=0,0,SUMIF('Raw Data'!$A$3:$A$2927, $A13,'Raw Data'!AA$3:AA$2927) / COUNTIF('Raw Data'!$A$3:$A$2927,$A13))</f>
        <v>2.2727272727272729</v>
      </c>
      <c r="AC13">
        <f>IF( COUNTIF('Raw Data'!$A$3:$A$2927,$A13)=0,0,SUMIF('Raw Data'!$A$3:$A$2927, $A13,'Raw Data'!AB$3:AB$2927) / COUNTIF('Raw Data'!$A$3:$A$2927,$A13))</f>
        <v>0</v>
      </c>
      <c r="AD13">
        <f>IF( COUNTIF('Raw Data'!$A$3:$A$2927,$A13)=0,0,SUMIF('Raw Data'!$A$3:$A$2927, $A13,'Raw Data'!AC$3:AC$2927) / COUNTIF('Raw Data'!$A$3:$A$2927,$A13))</f>
        <v>0.54545454545454541</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9.0909090909090912E-2</v>
      </c>
      <c r="AH13">
        <f>IF( COUNTIF('Raw Data'!$A$3:$A$2927,$A13)=0,0,SUMIF('Raw Data'!$A$3:$A$2927, $A13,'Raw Data'!AG$3:AG$2927) / COUNTIF('Raw Data'!$A$3:$A$2927,$A13))</f>
        <v>1.9090909090909092</v>
      </c>
      <c r="AI13">
        <f>IF( COUNTIF('Raw Data'!$A$3:$A$2927,$A13)=0,0,SUMIF('Raw Data'!$A$3:$A$2927, $A13,'Raw Data'!AH$3:AH$2927) / COUNTIF('Raw Data'!$A$3:$A$2927,$A13))</f>
        <v>9.0909090909090912E-2</v>
      </c>
      <c r="AJ13" s="117">
        <f>COUNTIF('Raw Data'!A$3:A$2927, $A13)</f>
        <v>11</v>
      </c>
      <c r="AK13">
        <f t="shared" si="4"/>
        <v>3.7345454545454548</v>
      </c>
      <c r="AL13">
        <f t="shared" si="0"/>
        <v>0.5454545454545453</v>
      </c>
      <c r="AM13">
        <f t="shared" si="1"/>
        <v>2.8927272727272726</v>
      </c>
      <c r="AP13" s="139" t="s">
        <v>252</v>
      </c>
      <c r="AQ13" s="139"/>
      <c r="AS13" s="139" t="s">
        <v>117</v>
      </c>
      <c r="AT13" s="139"/>
      <c r="AV13" s="139" t="s">
        <v>116</v>
      </c>
      <c r="AW13" s="139"/>
    </row>
    <row r="14" spans="1:49">
      <c r="A14">
        <v>4519</v>
      </c>
      <c r="B14" t="s">
        <v>208</v>
      </c>
      <c r="C14">
        <f t="shared" si="2"/>
        <v>12.444444444444446</v>
      </c>
      <c r="D14">
        <f t="shared" si="3"/>
        <v>5.5555555555555554</v>
      </c>
      <c r="E14">
        <f>IF( COUNTIF('Raw Data'!$A$3:$A$2927,$A14)=0,0,SUMIF('Raw Data'!$A$3:$A$2927, $A14,'Raw Data'!D$3:D$2927) / COUNTIF('Raw Data'!$A$3:$A$2927,$A14))</f>
        <v>1.6666666666666667</v>
      </c>
      <c r="F14">
        <f t="array" ref="F14">MAX(IF('Raw Data'!$A$3:$A$927=$A14, 'Raw Data'!$O$3:$O$927))</f>
        <v>1</v>
      </c>
      <c r="G14">
        <f t="array" ref="G14">MAX(IF('Raw Data'!$A$3:$A$927=$A14, 'Raw Data'!$I$3:$I$927))</f>
        <v>1</v>
      </c>
      <c r="H14">
        <f>IF( COUNTIF('Raw Data'!$A$3:$A$2927,$A14)=0,0,SUMIF('Raw Data'!$A$3:$A$2927, $A14,'Raw Data'!E$3:E$2927) / COUNTIF('Raw Data'!$A$3:$A$2927,$A14))</f>
        <v>0.22222222222222221</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0.1111111111111111</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2</v>
      </c>
      <c r="S14">
        <f>IF( COUNTIF('Raw Data'!$A$3:$A$2927,$A14)=0,0,SUMIF('Raw Data'!$A$3:$A$2927, $A14,'Raw Data'!P$3:P$2927) / COUNTIF('Raw Data'!$A$3:$A$2927,$A14))</f>
        <v>0.33333333333333331</v>
      </c>
      <c r="T14">
        <f>IF( COUNTIF('Raw Data'!$A$3:$A$2927,$A14)=0,0,SUMIF('Raw Data'!$A$3:$A$2927, $A14,'Raw Data'!Q$3:Q$2927) / COUNTIF('Raw Data'!$A$3:$A$2927,$A14))</f>
        <v>0.22222222222222221</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1.1111111111111112</v>
      </c>
      <c r="Y14">
        <f>IF( COUNTIF('Raw Data'!$A$3:$A$2927,$A14)=0,0,SUMIF('Raw Data'!$A$3:$A$2927, $A14,'Raw Data'!V$3:V$2927) / COUNTIF('Raw Data'!$A$3:$A$2927,$A14))</f>
        <v>0.1111111111111111</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25.333333333333332</v>
      </c>
      <c r="AC14">
        <f>IF( COUNTIF('Raw Data'!$A$3:$A$2927,$A14)=0,0,SUMIF('Raw Data'!$A$3:$A$2927, $A14,'Raw Data'!AB$3:AB$2927) / COUNTIF('Raw Data'!$A$3:$A$2927,$A14))</f>
        <v>0</v>
      </c>
      <c r="AD14">
        <f>IF( COUNTIF('Raw Data'!$A$3:$A$2927,$A14)=0,0,SUMIF('Raw Data'!$A$3:$A$2927, $A14,'Raw Data'!AC$3:AC$2927) / COUNTIF('Raw Data'!$A$3:$A$2927,$A14))</f>
        <v>1.2222222222222223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1.7777777777777777</v>
      </c>
      <c r="AI14">
        <f>IF( COUNTIF('Raw Data'!$A$3:$A$2927,$A14)=0,0,SUMIF('Raw Data'!$A$3:$A$2927, $A14,'Raw Data'!AH$3:AH$2927) / COUNTIF('Raw Data'!$A$3:$A$2927,$A14))</f>
        <v>0.1111111111111111</v>
      </c>
      <c r="AJ14" s="117">
        <f>COUNTIF('Raw Data'!A$3:A$2927, $A14)</f>
        <v>9</v>
      </c>
      <c r="AK14">
        <f t="shared" si="4"/>
        <v>1.5466666666666669</v>
      </c>
      <c r="AL14">
        <f t="shared" si="0"/>
        <v>-0.44444444444444442</v>
      </c>
      <c r="AM14">
        <f t="shared" si="1"/>
        <v>0.77444444444444449</v>
      </c>
      <c r="AP14" t="s">
        <v>259</v>
      </c>
      <c r="AQ14">
        <v>1</v>
      </c>
      <c r="AS14" t="s">
        <v>270</v>
      </c>
      <c r="AT14">
        <v>1</v>
      </c>
      <c r="AV14" t="s">
        <v>273</v>
      </c>
      <c r="AW14">
        <v>1</v>
      </c>
    </row>
    <row r="15" spans="1:49">
      <c r="A15">
        <v>4525</v>
      </c>
      <c r="B15" t="s">
        <v>209</v>
      </c>
      <c r="C15">
        <f t="shared" si="2"/>
        <v>7</v>
      </c>
      <c r="D15">
        <f t="shared" si="3"/>
        <v>3.625</v>
      </c>
      <c r="E15">
        <f>IF( COUNTIF('Raw Data'!$A$3:$A$2927,$A15)=0,0,SUMIF('Raw Data'!$A$3:$A$2927, $A15,'Raw Data'!D$3:D$2927) / COUNTIF('Raw Data'!$A$3:$A$2927,$A15))</f>
        <v>1</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3</v>
      </c>
      <c r="S15">
        <f>IF( COUNTIF('Raw Data'!$A$3:$A$2927,$A15)=0,0,SUMIF('Raw Data'!$A$3:$A$2927, $A15,'Raw Data'!P$3:P$2927) / COUNTIF('Raw Data'!$A$3:$A$2927,$A15))</f>
        <v>0.75</v>
      </c>
      <c r="T15">
        <f>IF( COUNTIF('Raw Data'!$A$3:$A$2927,$A15)=0,0,SUMIF('Raw Data'!$A$3:$A$2927, $A15,'Raw Data'!Q$3:Q$2927) / COUNTIF('Raw Data'!$A$3:$A$2927,$A15))</f>
        <v>0.875</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1</v>
      </c>
      <c r="X15">
        <f>IF( COUNTIF('Raw Data'!$A$3:$A$2927,$A15)=0,0,SUMIF('Raw Data'!$A$3:$A$2927, $A15,'Raw Data'!U$3:U$2927) / COUNTIF('Raw Data'!$A$3:$A$2927,$A15))</f>
        <v>0.125</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6.875</v>
      </c>
      <c r="AC15">
        <f>IF( COUNTIF('Raw Data'!$A$3:$A$2927,$A15)=0,0,SUMIF('Raw Data'!$A$3:$A$2927, $A15,'Raw Data'!AB$3:AB$2927) / COUNTIF('Raw Data'!$A$3:$A$2927,$A15))</f>
        <v>0</v>
      </c>
      <c r="AD15">
        <f>IF( COUNTIF('Raw Data'!$A$3:$A$2927,$A15)=0,0,SUMIF('Raw Data'!$A$3:$A$2927, $A15,'Raw Data'!AC$3:AC$2927) / COUNTIF('Raw Data'!$A$3:$A$2927,$A15))</f>
        <v>0.75</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1.875</v>
      </c>
      <c r="AI15">
        <f>IF( COUNTIF('Raw Data'!$A$3:$A$2927,$A15)=0,0,SUMIF('Raw Data'!$A$3:$A$2927, $A15,'Raw Data'!AH$3:AH$2927) / COUNTIF('Raw Data'!$A$3:$A$2927,$A15))</f>
        <v>1</v>
      </c>
      <c r="AJ15" s="117">
        <f>COUNTIF('Raw Data'!A$3:A$2927, $A15)</f>
        <v>8</v>
      </c>
      <c r="AK15">
        <f t="shared" si="4"/>
        <v>-1.23</v>
      </c>
      <c r="AL15">
        <f t="shared" si="0"/>
        <v>-3.3125</v>
      </c>
      <c r="AM15">
        <f t="shared" si="1"/>
        <v>-0.49375000000000002</v>
      </c>
      <c r="AP15" t="s">
        <v>278</v>
      </c>
      <c r="AQ15">
        <v>1.5</v>
      </c>
      <c r="AS15" t="s">
        <v>285</v>
      </c>
      <c r="AT15">
        <v>0.5</v>
      </c>
      <c r="AV15" t="s">
        <v>287</v>
      </c>
      <c r="AW15">
        <v>0.5</v>
      </c>
    </row>
    <row r="16" spans="1:49">
      <c r="A16">
        <v>4704</v>
      </c>
      <c r="B16" t="s">
        <v>210</v>
      </c>
      <c r="C16">
        <f t="shared" si="2"/>
        <v>8.5</v>
      </c>
      <c r="D16">
        <f t="shared" si="3"/>
        <v>3.8</v>
      </c>
      <c r="E16">
        <f>IF( COUNTIF('Raw Data'!$A$3:$A$2927,$A16)=0,0,SUMIF('Raw Data'!$A$3:$A$2927, $A16,'Raw Data'!D$3:D$2927) / COUNTIF('Raw Data'!$A$3:$A$2927,$A16))</f>
        <v>0.9</v>
      </c>
      <c r="F16">
        <f t="array" ref="F16">MAX(IF('Raw Data'!$A$3:$A$927=$A16, 'Raw Data'!$O$3:$O$927))</f>
        <v>1</v>
      </c>
      <c r="G16">
        <f t="array" ref="G16">MAX(IF('Raw Data'!$A$3:$A$927=$A16, 'Raw Data'!$I$3:$I$927))</f>
        <v>1</v>
      </c>
      <c r="H16">
        <f>IF( COUNTIF('Raw Data'!$A$3:$A$2927,$A16)=0,0,SUMIF('Raw Data'!$A$3:$A$2927, $A16,'Raw Data'!E$3:E$2927) / COUNTIF('Raw Data'!$A$3:$A$2927,$A16))</f>
        <v>0.2</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4</v>
      </c>
      <c r="R16">
        <f t="array" ref="R16">MAX(IF('Raw Data'!$A$3:$A$927=$A16, 'Raw Data'!$T$3:$T$927))</f>
        <v>4</v>
      </c>
      <c r="S16">
        <f>IF( COUNTIF('Raw Data'!$A$3:$A$2927,$A16)=0,0,SUMIF('Raw Data'!$A$3:$A$2927, $A16,'Raw Data'!P$3:P$2927) / COUNTIF('Raw Data'!$A$3:$A$2927,$A16))</f>
        <v>0.4</v>
      </c>
      <c r="T16">
        <f>IF( COUNTIF('Raw Data'!$A$3:$A$2927,$A16)=0,0,SUMIF('Raw Data'!$A$3:$A$2927, $A16,'Raw Data'!Q$3:Q$2927) / COUNTIF('Raw Data'!$A$3:$A$2927,$A16))</f>
        <v>0.4</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2</v>
      </c>
      <c r="X16">
        <f>IF( COUNTIF('Raw Data'!$A$3:$A$2927,$A16)=0,0,SUMIF('Raw Data'!$A$3:$A$2927, $A16,'Raw Data'!U$3:U$2927) / COUNTIF('Raw Data'!$A$3:$A$2927,$A16))</f>
        <v>0.6</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0.1</v>
      </c>
      <c r="AB16">
        <f>IF( COUNTIF('Raw Data'!$A$3:$A$2927,$A16)=0,0,SUMIF('Raw Data'!$A$3:$A$2927, $A16,'Raw Data'!AA$3:AA$2927) / COUNTIF('Raw Data'!$A$3:$A$2927,$A16))</f>
        <v>0</v>
      </c>
      <c r="AC16">
        <f>IF( COUNTIF('Raw Data'!$A$3:$A$2927,$A16)=0,0,SUMIF('Raw Data'!$A$3:$A$2927, $A16,'Raw Data'!AB$3:AB$2927) / COUNTIF('Raw Data'!$A$3:$A$2927,$A16))</f>
        <v>0</v>
      </c>
      <c r="AD16">
        <f>IF( COUNTIF('Raw Data'!$A$3:$A$2927,$A16)=0,0,SUMIF('Raw Data'!$A$3:$A$2927, $A16,'Raw Data'!AC$3:AC$2927) / COUNTIF('Raw Data'!$A$3:$A$2927,$A16))</f>
        <v>0.9</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1</v>
      </c>
      <c r="AI16">
        <f>IF( COUNTIF('Raw Data'!$A$3:$A$2927,$A16)=0,0,SUMIF('Raw Data'!$A$3:$A$2927, $A16,'Raw Data'!AH$3:AH$2927) / COUNTIF('Raw Data'!$A$3:$A$2927,$A16))</f>
        <v>0.9</v>
      </c>
      <c r="AJ16" s="117">
        <f>COUNTIF('Raw Data'!A$3:A$2927, $A16)</f>
        <v>10</v>
      </c>
      <c r="AK16">
        <f t="shared" si="4"/>
        <v>-1.788</v>
      </c>
      <c r="AL16">
        <f t="shared" si="0"/>
        <v>-4.5</v>
      </c>
      <c r="AM16">
        <f t="shared" si="1"/>
        <v>-0.58000000000000007</v>
      </c>
      <c r="AP16" t="s">
        <v>253</v>
      </c>
      <c r="AQ16">
        <v>1</v>
      </c>
      <c r="AS16" t="s">
        <v>262</v>
      </c>
      <c r="AT16">
        <v>0.5</v>
      </c>
      <c r="AV16" t="s">
        <v>274</v>
      </c>
      <c r="AW16">
        <v>0.25</v>
      </c>
    </row>
    <row r="17" spans="1:51">
      <c r="A17">
        <v>4783</v>
      </c>
      <c r="B17" t="s">
        <v>211</v>
      </c>
      <c r="C17">
        <f t="shared" si="2"/>
        <v>8.4444444444444446</v>
      </c>
      <c r="D17">
        <f t="shared" si="3"/>
        <v>2.4444444444444446</v>
      </c>
      <c r="E17">
        <f>IF( COUNTIF('Raw Data'!$A$3:$A$2927,$A17)=0,0,SUMIF('Raw Data'!$A$3:$A$2927, $A17,'Raw Data'!D$3:D$2927) / COUNTIF('Raw Data'!$A$3:$A$2927,$A17))</f>
        <v>1.4444444444444444</v>
      </c>
      <c r="F17">
        <f t="array" ref="F17">MAX(IF('Raw Data'!$A$3:$A$927=$A17, 'Raw Data'!$O$3:$O$927))</f>
        <v>1</v>
      </c>
      <c r="G17">
        <f t="array" ref="G17">MAX(IF('Raw Data'!$A$3:$A$927=$A17, 'Raw Data'!$I$3:$I$927))</f>
        <v>1</v>
      </c>
      <c r="H17">
        <f>IF( COUNTIF('Raw Data'!$A$3:$A$2927,$A17)=0,0,SUMIF('Raw Data'!$A$3:$A$2927, $A17,'Raw Data'!E$3:E$2927) / COUNTIF('Raw Data'!$A$3:$A$2927,$A17))</f>
        <v>0.22222222222222221</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3</v>
      </c>
      <c r="R17">
        <f t="array" ref="R17">MAX(IF('Raw Data'!$A$3:$A$927=$A17, 'Raw Data'!$T$3:$T$927))</f>
        <v>3</v>
      </c>
      <c r="S17">
        <f>IF( COUNTIF('Raw Data'!$A$3:$A$2927,$A17)=0,0,SUMIF('Raw Data'!$A$3:$A$2927, $A17,'Raw Data'!P$3:P$2927) / COUNTIF('Raw Data'!$A$3:$A$2927,$A17))</f>
        <v>0.77777777777777779</v>
      </c>
      <c r="T17">
        <f>IF( COUNTIF('Raw Data'!$A$3:$A$2927,$A17)=0,0,SUMIF('Raw Data'!$A$3:$A$2927, $A17,'Raw Data'!Q$3:Q$2927) / COUNTIF('Raw Data'!$A$3:$A$2927,$A17))</f>
        <v>0.22222222222222221</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48</v>
      </c>
      <c r="AC17">
        <f>IF( COUNTIF('Raw Data'!$A$3:$A$2927,$A17)=0,0,SUMIF('Raw Data'!$A$3:$A$2927, $A17,'Raw Data'!AB$3:AB$2927) / COUNTIF('Raw Data'!$A$3:$A$2927,$A17))</f>
        <v>0</v>
      </c>
      <c r="AD17">
        <f>IF( COUNTIF('Raw Data'!$A$3:$A$2927,$A17)=0,0,SUMIF('Raw Data'!$A$3:$A$2927, $A17,'Raw Data'!AC$3:AC$2927) / COUNTIF('Raw Data'!$A$3:$A$2927,$A17))</f>
        <v>0.88888888888888884</v>
      </c>
      <c r="AE17" s="117">
        <f>IF( COUNTIF('Raw Data'!$A$3:$A$2927,$A17)=0,0,SUMIF('Raw Data'!$A$3:$A$2927, $A17,'Raw Data'!AD$3:AD$2927) / COUNTIF('Raw Data'!$A$3:$A$2927,$A17))</f>
        <v>0</v>
      </c>
      <c r="AF17">
        <f>IF( COUNTIF('Raw Data'!$A$3:$A$2927,$A17)=0,0,SUMIF('Raw Data'!$A$3:$A$2927, $A17,'Raw Data'!AE$3:AE$2927) / COUNTIF('Raw Data'!$A$3:$A$2927,$A17))</f>
        <v>0.1111111111111111</v>
      </c>
      <c r="AG17">
        <f>IF( COUNTIF('Raw Data'!$A$3:$A$2927,$A17)=0,0,SUMIF('Raw Data'!$A$3:$A$2927, $A17,'Raw Data'!AF$3:AF$2927) / COUNTIF('Raw Data'!$A$3:$A$2927,$A17))</f>
        <v>0</v>
      </c>
      <c r="AH17">
        <f>IF( COUNTIF('Raw Data'!$A$3:$A$2927,$A17)=0,0,SUMIF('Raw Data'!$A$3:$A$2927, $A17,'Raw Data'!AG$3:AG$2927) / COUNTIF('Raw Data'!$A$3:$A$2927,$A17))</f>
        <v>1</v>
      </c>
      <c r="AI17">
        <f>IF( COUNTIF('Raw Data'!$A$3:$A$2927,$A17)=0,0,SUMIF('Raw Data'!$A$3:$A$2927, $A17,'Raw Data'!AH$3:AH$2927) / COUNTIF('Raw Data'!$A$3:$A$2927,$A17))</f>
        <v>0.55555555555555558</v>
      </c>
      <c r="AJ17" s="117">
        <f>COUNTIF('Raw Data'!A$3:A$2927, $A17)</f>
        <v>9</v>
      </c>
      <c r="AK17">
        <f t="shared" si="4"/>
        <v>-0.61111111111111105</v>
      </c>
      <c r="AL17">
        <f t="shared" si="0"/>
        <v>-1.6111111111111112</v>
      </c>
      <c r="AM17">
        <f t="shared" si="1"/>
        <v>-0.55222222222222217</v>
      </c>
      <c r="AP17" t="s">
        <v>254</v>
      </c>
      <c r="AQ17">
        <v>0.66</v>
      </c>
      <c r="AS17" t="s">
        <v>263</v>
      </c>
      <c r="AT17">
        <v>-0.5</v>
      </c>
      <c r="AV17" t="s">
        <v>275</v>
      </c>
      <c r="AW17">
        <v>-0.33</v>
      </c>
    </row>
    <row r="18" spans="1:51">
      <c r="A18">
        <v>4907</v>
      </c>
      <c r="B18" t="s">
        <v>212</v>
      </c>
      <c r="C18">
        <f t="shared" si="2"/>
        <v>15</v>
      </c>
      <c r="D18">
        <f t="shared" si="3"/>
        <v>1.5999999999999999</v>
      </c>
      <c r="E18">
        <f>IF( COUNTIF('Raw Data'!$A$3:$A$2927,$A18)=0,0,SUMIF('Raw Data'!$A$3:$A$2927, $A18,'Raw Data'!D$3:D$2927) / COUNTIF('Raw Data'!$A$3:$A$2927,$A18))</f>
        <v>1.1000000000000001</v>
      </c>
      <c r="F18">
        <f t="array" ref="F18">MAX(IF('Raw Data'!$A$3:$A$927=$A18, 'Raw Data'!$O$3:$O$927))</f>
        <v>1</v>
      </c>
      <c r="G18">
        <f t="array" ref="G18">MAX(IF('Raw Data'!$A$3:$A$927=$A18, 'Raw Data'!$I$3:$I$927))</f>
        <v>1</v>
      </c>
      <c r="H18">
        <f>IF( COUNTIF('Raw Data'!$A$3:$A$2927,$A18)=0,0,SUMIF('Raw Data'!$A$3:$A$2927, $A18,'Raw Data'!E$3:E$2927) / COUNTIF('Raw Data'!$A$3:$A$2927,$A18))</f>
        <v>0.1</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0.1</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2</v>
      </c>
      <c r="R18">
        <f t="array" ref="R18">MAX(IF('Raw Data'!$A$3:$A$927=$A18, 'Raw Data'!$T$3:$T$927))</f>
        <v>2</v>
      </c>
      <c r="S18">
        <f>IF( COUNTIF('Raw Data'!$A$3:$A$2927,$A18)=0,0,SUMIF('Raw Data'!$A$3:$A$2927, $A18,'Raw Data'!P$3:P$2927) / COUNTIF('Raw Data'!$A$3:$A$2927,$A18))</f>
        <v>0.6</v>
      </c>
      <c r="T18">
        <f>IF( COUNTIF('Raw Data'!$A$3:$A$2927,$A18)=0,0,SUMIF('Raw Data'!$A$3:$A$2927, $A18,'Raw Data'!Q$3:Q$2927) / COUNTIF('Raw Data'!$A$3:$A$2927,$A18))</f>
        <v>0.1</v>
      </c>
      <c r="U18">
        <f>IF( COUNTIF('Raw Data'!$A$3:$A$2927,$A18)=0,0,SUMIF('Raw Data'!$A$3:$A$2927, $A18,'Raw Data'!R$3:R$2927) / COUNTIF('Raw Data'!$A$3:$A$2927,$A18))</f>
        <v>0.2</v>
      </c>
      <c r="V18">
        <f>IF( COUNTIF('Raw Data'!$A$3:$A$2927,$A18)=0,0,SUMIF('Raw Data'!$A$3:$A$2927, $A18,'Raw Data'!S$3:S$2927) / COUNTIF('Raw Data'!$A$3:$A$2927,$A18))</f>
        <v>0.4</v>
      </c>
      <c r="W18">
        <f t="array" ref="W18">MAX(IF('Raw Data'!$A$3:$A$927=$A18, 'Raw Data'!$Y$3:$Y$927))</f>
        <v>0</v>
      </c>
      <c r="X18">
        <f>IF( COUNTIF('Raw Data'!$A$3:$A$2927,$A18)=0,0,SUMIF('Raw Data'!$A$3:$A$2927, $A18,'Raw Data'!U$3:U$2927) / COUNTIF('Raw Data'!$A$3:$A$2927,$A18))</f>
        <v>0</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2.5</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0.8</v>
      </c>
      <c r="AJ18" s="117">
        <f>COUNTIF('Raw Data'!A$3:A$2927, $A18)</f>
        <v>10</v>
      </c>
      <c r="AK18">
        <f t="shared" si="4"/>
        <v>5.0999999999999996</v>
      </c>
      <c r="AL18">
        <f t="shared" si="0"/>
        <v>-1.4000000000000001</v>
      </c>
      <c r="AM18">
        <f t="shared" si="1"/>
        <v>-9.9000000000000005E-2</v>
      </c>
      <c r="AP18" t="s">
        <v>286</v>
      </c>
      <c r="AQ18">
        <v>0.5</v>
      </c>
      <c r="AR18" t="s">
        <v>255</v>
      </c>
      <c r="AS18" t="s">
        <v>271</v>
      </c>
      <c r="AT18">
        <v>-4</v>
      </c>
      <c r="AV18" t="s">
        <v>288</v>
      </c>
      <c r="AW18">
        <v>-2</v>
      </c>
    </row>
    <row r="19" spans="1:51">
      <c r="A19">
        <v>4936</v>
      </c>
      <c r="B19" t="s">
        <v>213</v>
      </c>
      <c r="C19">
        <f t="shared" si="2"/>
        <v>14.875</v>
      </c>
      <c r="D19">
        <f t="shared" si="3"/>
        <v>8.125</v>
      </c>
      <c r="E19">
        <f>IF( COUNTIF('Raw Data'!$A$3:$A$2927,$A19)=0,0,SUMIF('Raw Data'!$A$3:$A$2927, $A19,'Raw Data'!D$3:D$2927) / COUNTIF('Raw Data'!$A$3:$A$2927,$A19))</f>
        <v>1.5</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5</v>
      </c>
      <c r="R19">
        <f t="array" ref="R19">MAX(IF('Raw Data'!$A$3:$A$927=$A19, 'Raw Data'!$T$3:$T$927))</f>
        <v>5</v>
      </c>
      <c r="S19">
        <f>IF( COUNTIF('Raw Data'!$A$3:$A$2927,$A19)=0,0,SUMIF('Raw Data'!$A$3:$A$2927, $A19,'Raw Data'!P$3:P$2927) / COUNTIF('Raw Data'!$A$3:$A$2927,$A19))</f>
        <v>2.125</v>
      </c>
      <c r="T19">
        <f>IF( COUNTIF('Raw Data'!$A$3:$A$2927,$A19)=0,0,SUMIF('Raw Data'!$A$3:$A$2927, $A19,'Raw Data'!Q$3:Q$2927) / COUNTIF('Raw Data'!$A$3:$A$2927,$A19))</f>
        <v>0.25</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3</v>
      </c>
      <c r="X19">
        <f>IF( COUNTIF('Raw Data'!$A$3:$A$2927,$A19)=0,0,SUMIF('Raw Data'!$A$3:$A$2927, $A19,'Raw Data'!U$3:U$2927) / COUNTIF('Raw Data'!$A$3:$A$2927,$A19))</f>
        <v>1</v>
      </c>
      <c r="Y19">
        <f>IF( COUNTIF('Raw Data'!$A$3:$A$2927,$A19)=0,0,SUMIF('Raw Data'!$A$3:$A$2927, $A19,'Raw Data'!V$3:V$2927) / COUNTIF('Raw Data'!$A$3:$A$2927,$A19))</f>
        <v>0.125</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0.875</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0.375</v>
      </c>
      <c r="AI19">
        <f>IF( COUNTIF('Raw Data'!$A$3:$A$2927,$A19)=0,0,SUMIF('Raw Data'!$A$3:$A$2927, $A19,'Raw Data'!AH$3:AH$2927) / COUNTIF('Raw Data'!$A$3:$A$2927,$A19))</f>
        <v>0.625</v>
      </c>
      <c r="AJ19" s="117">
        <f>COUNTIF('Raw Data'!A$3:A$2927, $A19)</f>
        <v>8</v>
      </c>
      <c r="AK19">
        <f t="shared" si="4"/>
        <v>1.6800000000000002</v>
      </c>
      <c r="AL19">
        <f t="shared" si="0"/>
        <v>-0.3125</v>
      </c>
      <c r="AM19">
        <f t="shared" si="1"/>
        <v>1.00125</v>
      </c>
      <c r="AP19" t="s">
        <v>256</v>
      </c>
      <c r="AQ19">
        <v>5</v>
      </c>
      <c r="AS19" t="s">
        <v>284</v>
      </c>
      <c r="AT19">
        <v>-2</v>
      </c>
      <c r="AV19" t="s">
        <v>276</v>
      </c>
      <c r="AW19">
        <v>-1</v>
      </c>
    </row>
    <row r="20" spans="1:51">
      <c r="A20">
        <v>4946</v>
      </c>
      <c r="B20" t="s">
        <v>214</v>
      </c>
      <c r="C20">
        <f t="shared" si="2"/>
        <v>14.888888888888889</v>
      </c>
      <c r="D20">
        <f t="shared" si="3"/>
        <v>8.1111111111111107</v>
      </c>
      <c r="E20">
        <f>IF( COUNTIF('Raw Data'!$A$3:$A$2927,$A20)=0,0,SUMIF('Raw Data'!$A$3:$A$2927, $A20,'Raw Data'!D$3:D$2927) / COUNTIF('Raw Data'!$A$3:$A$2927,$A20))</f>
        <v>1.1111111111111112</v>
      </c>
      <c r="F20">
        <f t="array" ref="F20">MAX(IF('Raw Data'!$A$3:$A$927=$A20, 'Raw Data'!$O$3:$O$927))</f>
        <v>1</v>
      </c>
      <c r="G20">
        <f t="array" ref="G20">MAX(IF('Raw Data'!$A$3:$A$927=$A20, 'Raw Data'!$I$3:$I$927))</f>
        <v>1</v>
      </c>
      <c r="H20">
        <f>IF( COUNTIF('Raw Data'!$A$3:$A$2927,$A20)=0,0,SUMIF('Raw Data'!$A$3:$A$2927, $A20,'Raw Data'!E$3:E$2927) / COUNTIF('Raw Data'!$A$3:$A$2927,$A20))</f>
        <v>0.55555555555555558</v>
      </c>
      <c r="I20">
        <f>IF( COUNTIF('Raw Data'!$A$3:$A$2927,$A20)=0,0,SUMIF('Raw Data'!$A$3:$A$2927, $A20,'Raw Data'!F$3:F$2927) / COUNTIF('Raw Data'!$A$3:$A$2927,$A20))</f>
        <v>0.1111111111111111</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7</v>
      </c>
      <c r="R20">
        <f t="array" ref="R20">MAX(IF('Raw Data'!$A$3:$A$927=$A20, 'Raw Data'!$T$3:$T$927))</f>
        <v>5</v>
      </c>
      <c r="S20">
        <f>IF( COUNTIF('Raw Data'!$A$3:$A$2927,$A20)=0,0,SUMIF('Raw Data'!$A$3:$A$2927, $A20,'Raw Data'!P$3:P$2927) / COUNTIF('Raw Data'!$A$3:$A$2927,$A20))</f>
        <v>0.44444444444444442</v>
      </c>
      <c r="T20">
        <f>IF( COUNTIF('Raw Data'!$A$3:$A$2927,$A20)=0,0,SUMIF('Raw Data'!$A$3:$A$2927, $A20,'Raw Data'!Q$3:Q$2927) / COUNTIF('Raw Data'!$A$3:$A$2927,$A20))</f>
        <v>1.1111111111111112</v>
      </c>
      <c r="U20">
        <f>IF( COUNTIF('Raw Data'!$A$3:$A$2927,$A20)=0,0,SUMIF('Raw Data'!$A$3:$A$2927, $A20,'Raw Data'!R$3:R$2927) / COUNTIF('Raw Data'!$A$3:$A$2927,$A20))</f>
        <v>0.55555555555555558</v>
      </c>
      <c r="V20">
        <f>IF( COUNTIF('Raw Data'!$A$3:$A$2927,$A20)=0,0,SUMIF('Raw Data'!$A$3:$A$2927, $A20,'Raw Data'!S$3:S$2927) / COUNTIF('Raw Data'!$A$3:$A$2927,$A20))</f>
        <v>0.22222222222222221</v>
      </c>
      <c r="W20">
        <f t="array" ref="W20">MAX(IF('Raw Data'!$A$3:$A$927=$A20, 'Raw Data'!$Y$3:$Y$927))</f>
        <v>4</v>
      </c>
      <c r="X20">
        <f>IF( COUNTIF('Raw Data'!$A$3:$A$2927,$A20)=0,0,SUMIF('Raw Data'!$A$3:$A$2927, $A20,'Raw Data'!U$3:U$2927) / COUNTIF('Raw Data'!$A$3:$A$2927,$A20))</f>
        <v>0.66666666666666663</v>
      </c>
      <c r="Y20">
        <f>IF( COUNTIF('Raw Data'!$A$3:$A$2927,$A20)=0,0,SUMIF('Raw Data'!$A$3:$A$2927, $A20,'Raw Data'!V$3:V$2927) / COUNTIF('Raw Data'!$A$3:$A$2927,$A20))</f>
        <v>0.55555555555555558</v>
      </c>
      <c r="Z20">
        <f>IF( COUNTIF('Raw Data'!$A$3:$A$2927,$A20)=0,0,SUMIF('Raw Data'!$A$3:$A$2927, $A20,'Raw Data'!W$3:W$2927) / COUNTIF('Raw Data'!$A$3:$A$2927,$A20))</f>
        <v>0.1111111111111111</v>
      </c>
      <c r="AA20">
        <f>IF( COUNTIF('Raw Data'!$A$3:$A$2927,$A20)=0,0,SUMIF('Raw Data'!$A$3:$A$2927, $A20,'Raw Data'!X$3:X$2927) / COUNTIF('Raw Data'!$A$3:$A$2927,$A20))</f>
        <v>0.22222222222222221</v>
      </c>
      <c r="AB20">
        <f>IF( COUNTIF('Raw Data'!$A$3:$A$2927,$A20)=0,0,SUMIF('Raw Data'!$A$3:$A$2927, $A20,'Raw Data'!AA$3:AA$2927) / COUNTIF('Raw Data'!$A$3:$A$2927,$A20))</f>
        <v>2.7777777777777777</v>
      </c>
      <c r="AC20">
        <f>IF( COUNTIF('Raw Data'!$A$3:$A$2927,$A20)=0,0,SUMIF('Raw Data'!$A$3:$A$2927, $A20,'Raw Data'!AB$3:AB$2927) / COUNTIF('Raw Data'!$A$3:$A$2927,$A20))</f>
        <v>0</v>
      </c>
      <c r="AD20">
        <f>IF( COUNTIF('Raw Data'!$A$3:$A$2927,$A20)=0,0,SUMIF('Raw Data'!$A$3:$A$2927, $A20,'Raw Data'!AC$3:AC$2927) / COUNTIF('Raw Data'!$A$3:$A$2927,$A20))</f>
        <v>0.88888888888888884</v>
      </c>
      <c r="AE20" s="117">
        <f>IF( COUNTIF('Raw Data'!$A$3:$A$2927,$A20)=0,0,SUMIF('Raw Data'!$A$3:$A$2927, $A20,'Raw Data'!AD$3:AD$2927) / COUNTIF('Raw Data'!$A$3:$A$2927,$A20))</f>
        <v>0</v>
      </c>
      <c r="AF20">
        <f>IF( COUNTIF('Raw Data'!$A$3:$A$2927,$A20)=0,0,SUMIF('Raw Data'!$A$3:$A$2927, $A20,'Raw Data'!AE$3:AE$2927) / COUNTIF('Raw Data'!$A$3:$A$2927,$A20))</f>
        <v>0.1111111111111111</v>
      </c>
      <c r="AG20">
        <f>IF( COUNTIF('Raw Data'!$A$3:$A$2927,$A20)=0,0,SUMIF('Raw Data'!$A$3:$A$2927, $A20,'Raw Data'!AF$3:AF$2927) / COUNTIF('Raw Data'!$A$3:$A$2927,$A20))</f>
        <v>0</v>
      </c>
      <c r="AH20">
        <f>IF( COUNTIF('Raw Data'!$A$3:$A$2927,$A20)=0,0,SUMIF('Raw Data'!$A$3:$A$2927, $A20,'Raw Data'!AG$3:AG$2927) / COUNTIF('Raw Data'!$A$3:$A$2927,$A20))</f>
        <v>1.7777777777777777</v>
      </c>
      <c r="AI20">
        <f>IF( COUNTIF('Raw Data'!$A$3:$A$2927,$A20)=0,0,SUMIF('Raw Data'!$A$3:$A$2927, $A20,'Raw Data'!AH$3:AH$2927) / COUNTIF('Raw Data'!$A$3:$A$2927,$A20))</f>
        <v>0.33333333333333331</v>
      </c>
      <c r="AJ20" s="117">
        <f>COUNTIF('Raw Data'!A$3:A$2927, $A20)</f>
        <v>9</v>
      </c>
      <c r="AK20">
        <f t="shared" si="4"/>
        <v>2.804444444444445</v>
      </c>
      <c r="AL20">
        <f t="shared" si="0"/>
        <v>1.2777777777777781</v>
      </c>
      <c r="AM20">
        <f t="shared" si="1"/>
        <v>0.91333333333333366</v>
      </c>
      <c r="AP20" t="s">
        <v>279</v>
      </c>
      <c r="AQ20">
        <v>2.4500000000000002</v>
      </c>
      <c r="AS20" t="s">
        <v>272</v>
      </c>
      <c r="AT20">
        <v>-1.5</v>
      </c>
      <c r="AV20" t="s">
        <v>277</v>
      </c>
      <c r="AW20">
        <v>1</v>
      </c>
    </row>
    <row r="21" spans="1:51">
      <c r="A21">
        <v>4951</v>
      </c>
      <c r="B21" t="s">
        <v>215</v>
      </c>
      <c r="C21">
        <f t="shared" si="2"/>
        <v>17.428571428571431</v>
      </c>
      <c r="D21">
        <f t="shared" si="3"/>
        <v>12.285714285714286</v>
      </c>
      <c r="E21">
        <f>IF( COUNTIF('Raw Data'!$A$3:$A$2927,$A21)=0,0,SUMIF('Raw Data'!$A$3:$A$2927, $A21,'Raw Data'!D$3:D$2927) / COUNTIF('Raw Data'!$A$3:$A$2927,$A21))</f>
        <v>1.7142857142857142</v>
      </c>
      <c r="F21">
        <f t="array" ref="F21">MAX(IF('Raw Data'!$A$3:$A$927=$A21, 'Raw Data'!$O$3:$O$927))</f>
        <v>1</v>
      </c>
      <c r="G21">
        <f t="array" ref="G21">MAX(IF('Raw Data'!$A$3:$A$927=$A21, 'Raw Data'!$I$3:$I$927))</f>
        <v>1</v>
      </c>
      <c r="H21">
        <f>IF( COUNTIF('Raw Data'!$A$3:$A$2927,$A21)=0,0,SUMIF('Raw Data'!$A$3:$A$2927, $A21,'Raw Data'!E$3:E$2927) / COUNTIF('Raw Data'!$A$3:$A$2927,$A21))</f>
        <v>0.14285714285714285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1</v>
      </c>
      <c r="M21">
        <f>IF( COUNTIF('Raw Data'!$A$3:$A$2927,$A21)=0,0,SUMIF('Raw Data'!$A$3:$A$2927, $A21,'Raw Data'!J$3:J$2927) / COUNTIF('Raw Data'!$A$3:$A$2927,$A21))</f>
        <v>0.5714285714285714</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4</v>
      </c>
      <c r="R21">
        <f t="array" ref="R21">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v>
      </c>
      <c r="W21">
        <f t="array" ref="W21">MAX(IF('Raw Data'!$A$3:$A$927=$A21, 'Raw Data'!$Y$3:$Y$927))</f>
        <v>4</v>
      </c>
      <c r="X21">
        <f>IF( COUNTIF('Raw Data'!$A$3:$A$2927,$A21)=0,0,SUMIF('Raw Data'!$A$3:$A$2927, $A21,'Raw Data'!U$3:U$2927) / COUNTIF('Raw Data'!$A$3:$A$2927,$A21))</f>
        <v>2.8571428571428572</v>
      </c>
      <c r="Y21">
        <f>IF( COUNTIF('Raw Data'!$A$3:$A$2927,$A21)=0,0,SUMIF('Raw Data'!$A$3:$A$2927, $A21,'Raw Data'!V$3:V$2927) / COUNTIF('Raw Data'!$A$3:$A$2927,$A21))</f>
        <v>0.5714285714285714</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3</v>
      </c>
      <c r="AI21">
        <f>IF( COUNTIF('Raw Data'!$A$3:$A$2927,$A21)=0,0,SUMIF('Raw Data'!$A$3:$A$2927, $A21,'Raw Data'!AH$3:AH$2927) / COUNTIF('Raw Data'!$A$3:$A$2927,$A21))</f>
        <v>0</v>
      </c>
      <c r="AJ21" s="117">
        <f>COUNTIF('Raw Data'!A$3:A$2927, $A21)</f>
        <v>7</v>
      </c>
      <c r="AK21">
        <f t="shared" si="4"/>
        <v>2.2828571428571434</v>
      </c>
      <c r="AL21">
        <f t="shared" si="0"/>
        <v>-1.2857142857142858</v>
      </c>
      <c r="AM21">
        <f t="shared" si="1"/>
        <v>3.152857142857143</v>
      </c>
      <c r="AP21" t="s">
        <v>257</v>
      </c>
      <c r="AQ21">
        <v>2</v>
      </c>
      <c r="AS21" t="s">
        <v>267</v>
      </c>
      <c r="AT21">
        <v>1</v>
      </c>
    </row>
    <row r="22" spans="1:51">
      <c r="A22">
        <v>5036</v>
      </c>
      <c r="B22" t="s">
        <v>216</v>
      </c>
      <c r="C22">
        <f t="shared" si="2"/>
        <v>15.399999999999999</v>
      </c>
      <c r="D22">
        <f t="shared" si="3"/>
        <v>11.299999999999999</v>
      </c>
      <c r="E22">
        <f>IF( COUNTIF('Raw Data'!$A$3:$A$2927,$A22)=0,0,SUMIF('Raw Data'!$A$3:$A$2927, $A22,'Raw Data'!D$3:D$2927) / COUNTIF('Raw Data'!$A$3:$A$2927,$A22))</f>
        <v>1</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5</v>
      </c>
      <c r="R22">
        <f t="array" ref="R22">MAX(IF('Raw Data'!$A$3:$A$927=$A22, 'Raw Data'!$T$3:$T$927))</f>
        <v>2</v>
      </c>
      <c r="S22">
        <f>IF( COUNTIF('Raw Data'!$A$3:$A$2927,$A22)=0,0,SUMIF('Raw Data'!$A$3:$A$2927, $A22,'Raw Data'!P$3:P$2927) / COUNTIF('Raw Data'!$A$3:$A$2927,$A22))</f>
        <v>0.4</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5</v>
      </c>
      <c r="X22">
        <f>IF( COUNTIF('Raw Data'!$A$3:$A$2927,$A22)=0,0,SUMIF('Raw Data'!$A$3:$A$2927, $A22,'Raw Data'!U$3:U$2927) / COUNTIF('Raw Data'!$A$3:$A$2927,$A22))</f>
        <v>3.4</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11.5</v>
      </c>
      <c r="AC22">
        <f>IF( COUNTIF('Raw Data'!$A$3:$A$2927,$A22)=0,0,SUMIF('Raw Data'!$A$3:$A$2927, $A22,'Raw Data'!AB$3:AB$2927) / COUNTIF('Raw Data'!$A$3:$A$2927,$A22))</f>
        <v>0</v>
      </c>
      <c r="AD22">
        <f>IF( COUNTIF('Raw Data'!$A$3:$A$2927,$A22)=0,0,SUMIF('Raw Data'!$A$3:$A$2927, $A22,'Raw Data'!AC$3:AC$2927) / COUNTIF('Raw Data'!$A$3:$A$2927,$A22))</f>
        <v>0.8</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1.3</v>
      </c>
      <c r="AI22">
        <f>IF( COUNTIF('Raw Data'!$A$3:$A$2927,$A22)=0,0,SUMIF('Raw Data'!$A$3:$A$2927, $A22,'Raw Data'!AH$3:AH$2927) / COUNTIF('Raw Data'!$A$3:$A$2927,$A22))</f>
        <v>0.3</v>
      </c>
      <c r="AJ22" s="117">
        <f>COUNTIF('Raw Data'!A$3:A$2927, $A22)</f>
        <v>10</v>
      </c>
      <c r="AK22">
        <f t="shared" si="4"/>
        <v>1.4600000000000004</v>
      </c>
      <c r="AL22">
        <f t="shared" si="0"/>
        <v>-1.45</v>
      </c>
      <c r="AM22">
        <f t="shared" si="1"/>
        <v>3.0960000000000001</v>
      </c>
      <c r="AP22" t="s">
        <v>280</v>
      </c>
      <c r="AQ22">
        <v>1</v>
      </c>
      <c r="AS22" t="s">
        <v>268</v>
      </c>
      <c r="AT22">
        <v>2</v>
      </c>
    </row>
    <row r="23" spans="1:51">
      <c r="A23">
        <v>5409</v>
      </c>
      <c r="B23" t="s">
        <v>217</v>
      </c>
      <c r="C23">
        <f t="shared" si="2"/>
        <v>13.222222222222221</v>
      </c>
      <c r="D23">
        <f t="shared" si="3"/>
        <v>7</v>
      </c>
      <c r="E23">
        <f>IF( COUNTIF('Raw Data'!$A$3:$A$2927,$A23)=0,0,SUMIF('Raw Data'!$A$3:$A$2927, $A23,'Raw Data'!D$3:D$2927) / COUNTIF('Raw Data'!$A$3:$A$2927,$A23))</f>
        <v>1.4444444444444444</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7</v>
      </c>
      <c r="R23">
        <f t="array" ref="R23">MAX(IF('Raw Data'!$A$3:$A$927=$A23, 'Raw Data'!$T$3:$T$927))</f>
        <v>0</v>
      </c>
      <c r="S23">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7</v>
      </c>
      <c r="X23">
        <f>IF( COUNTIF('Raw Data'!$A$3:$A$2927,$A23)=0,0,SUMIF('Raw Data'!$A$3:$A$2927, $A23,'Raw Data'!U$3:U$2927) / COUNTIF('Raw Data'!$A$3:$A$2927,$A23))</f>
        <v>2.3333333333333335</v>
      </c>
      <c r="Y23">
        <f>IF( COUNTIF('Raw Data'!$A$3:$A$2927,$A23)=0,0,SUMIF('Raw Data'!$A$3:$A$2927, $A23,'Raw Data'!V$3:V$2927) / COUNTIF('Raw Data'!$A$3:$A$2927,$A23))</f>
        <v>0</v>
      </c>
      <c r="Z23">
        <f>IF( COUNTIF('Raw Data'!$A$3:$A$2927,$A23)=0,0,SUMIF('Raw Data'!$A$3:$A$2927, $A23,'Raw Data'!W$3:W$2927) / COUNTIF('Raw Data'!$A$3:$A$2927,$A23))</f>
        <v>0.22222222222222221</v>
      </c>
      <c r="AA23">
        <f>IF( COUNTIF('Raw Data'!$A$3:$A$2927,$A23)=0,0,SUMIF('Raw Data'!$A$3:$A$2927, $A23,'Raw Data'!X$3:X$2927) / COUNTIF('Raw Data'!$A$3:$A$2927,$A23))</f>
        <v>0.1111111111111111</v>
      </c>
      <c r="AB23">
        <f>IF( COUNTIF('Raw Data'!$A$3:$A$2927,$A23)=0,0,SUMIF('Raw Data'!$A$3:$A$2927, $A23,'Raw Data'!AA$3:AA$2927) / COUNTIF('Raw Data'!$A$3:$A$2927,$A23))</f>
        <v>4.2222222222222223</v>
      </c>
      <c r="AC23">
        <f>IF( COUNTIF('Raw Data'!$A$3:$A$2927,$A23)=0,0,SUMIF('Raw Data'!$A$3:$A$2927, $A23,'Raw Data'!AB$3:AB$2927) / COUNTIF('Raw Data'!$A$3:$A$2927,$A23))</f>
        <v>0</v>
      </c>
      <c r="AD23">
        <f>IF( COUNTIF('Raw Data'!$A$3:$A$2927,$A23)=0,0,SUMIF('Raw Data'!$A$3:$A$2927, $A23,'Raw Data'!AC$3:AC$2927) / COUNTIF('Raw Data'!$A$3:$A$2927,$A23))</f>
        <v>0.77777777777777779</v>
      </c>
      <c r="AE23" s="117">
        <f>IF( COUNTIF('Raw Data'!$A$3:$A$2927,$A23)=0,0,SUMIF('Raw Data'!$A$3:$A$2927, $A23,'Raw Data'!AD$3:AD$2927) / COUNTIF('Raw Data'!$A$3:$A$2927,$A23))</f>
        <v>0</v>
      </c>
      <c r="AF23">
        <f>IF( COUNTIF('Raw Data'!$A$3:$A$2927,$A23)=0,0,SUMIF('Raw Data'!$A$3:$A$2927, $A23,'Raw Data'!AE$3:AE$2927) / COUNTIF('Raw Data'!$A$3:$A$2927,$A23))</f>
        <v>0.1111111111111111</v>
      </c>
      <c r="AG23">
        <f>IF( COUNTIF('Raw Data'!$A$3:$A$2927,$A23)=0,0,SUMIF('Raw Data'!$A$3:$A$2927, $A23,'Raw Data'!AF$3:AF$2927) / COUNTIF('Raw Data'!$A$3:$A$2927,$A23))</f>
        <v>0</v>
      </c>
      <c r="AH23">
        <f>IF( COUNTIF('Raw Data'!$A$3:$A$2927,$A23)=0,0,SUMIF('Raw Data'!$A$3:$A$2927, $A23,'Raw Data'!AG$3:AG$2927) / COUNTIF('Raw Data'!$A$3:$A$2927,$A23))</f>
        <v>1.4444444444444444</v>
      </c>
      <c r="AI23">
        <f>IF( COUNTIF('Raw Data'!$A$3:$A$2927,$A23)=0,0,SUMIF('Raw Data'!$A$3:$A$2927, $A23,'Raw Data'!AH$3:AH$2927) / COUNTIF('Raw Data'!$A$3:$A$2927,$A23))</f>
        <v>0</v>
      </c>
      <c r="AJ23" s="117">
        <f>COUNTIF('Raw Data'!A$3:A$2927, $A23)</f>
        <v>9</v>
      </c>
      <c r="AK23">
        <f t="shared" si="4"/>
        <v>0.98222222222222266</v>
      </c>
      <c r="AL23">
        <f t="shared" si="0"/>
        <v>-0.94444444444444442</v>
      </c>
      <c r="AM23">
        <f t="shared" si="1"/>
        <v>2.1344444444444446</v>
      </c>
      <c r="AP23" t="s">
        <v>258</v>
      </c>
      <c r="AQ23">
        <v>-0.5</v>
      </c>
      <c r="AS23" t="s">
        <v>269</v>
      </c>
      <c r="AT23">
        <v>0.5</v>
      </c>
    </row>
    <row r="24" spans="1:51">
      <c r="A24">
        <v>5426</v>
      </c>
      <c r="B24" t="s">
        <v>218</v>
      </c>
      <c r="C24">
        <f t="shared" si="2"/>
        <v>9.9999999999999982</v>
      </c>
      <c r="D24">
        <f t="shared" si="3"/>
        <v>3.4</v>
      </c>
      <c r="E24">
        <f>IF( COUNTIF('Raw Data'!$A$3:$A$2927,$A24)=0,0,SUMIF('Raw Data'!$A$3:$A$2927, $A24,'Raw Data'!D$3:D$2927) / COUNTIF('Raw Data'!$A$3:$A$2927,$A24))</f>
        <v>1.8</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5</v>
      </c>
      <c r="R24">
        <f t="array" ref="R24">MAX(IF('Raw Data'!$A$3:$A$927=$A24, 'Raw Data'!$T$3:$T$927))</f>
        <v>5</v>
      </c>
      <c r="S24">
        <f>IF( COUNTIF('Raw Data'!$A$3:$A$2927,$A24)=0,0,SUMIF('Raw Data'!$A$3:$A$2927, $A24,'Raw Data'!P$3:P$2927) / COUNTIF('Raw Data'!$A$3:$A$2927,$A24))</f>
        <v>0.2</v>
      </c>
      <c r="T24">
        <f>IF( COUNTIF('Raw Data'!$A$3:$A$2927,$A24)=0,0,SUMIF('Raw Data'!$A$3:$A$2927, $A24,'Raw Data'!Q$3:Q$2927) / COUNTIF('Raw Data'!$A$3:$A$2927,$A24))</f>
        <v>1.2</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2</v>
      </c>
      <c r="X24">
        <f>IF( COUNTIF('Raw Data'!$A$3:$A$2927,$A24)=0,0,SUMIF('Raw Data'!$A$3:$A$2927, $A24,'Raw Data'!U$3:U$2927) / COUNTIF('Raw Data'!$A$3:$A$2927,$A24))</f>
        <v>0</v>
      </c>
      <c r="Y24">
        <f>IF( COUNTIF('Raw Data'!$A$3:$A$2927,$A24)=0,0,SUMIF('Raw Data'!$A$3:$A$2927, $A24,'Raw Data'!V$3:V$2927) / COUNTIF('Raw Data'!$A$3:$A$2927,$A24))</f>
        <v>0.2</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15.5</v>
      </c>
      <c r="AC24">
        <f>IF( COUNTIF('Raw Data'!$A$3:$A$2927,$A24)=0,0,SUMIF('Raw Data'!$A$3:$A$2927, $A24,'Raw Data'!AB$3:AB$2927) / COUNTIF('Raw Data'!$A$3:$A$2927,$A24))</f>
        <v>0</v>
      </c>
      <c r="AD24">
        <f>IF( COUNTIF('Raw Data'!$A$3:$A$2927,$A24)=0,0,SUMIF('Raw Data'!$A$3:$A$2927, $A24,'Raw Data'!AC$3:AC$2927) / COUNTIF('Raw Data'!$A$3:$A$2927,$A24))</f>
        <v>0.7</v>
      </c>
      <c r="AE24" s="117">
        <f>IF( COUNTIF('Raw Data'!$A$3:$A$2927,$A24)=0,0,SUMIF('Raw Data'!$A$3:$A$2927, $A24,'Raw Data'!AD$3:AD$2927) / COUNTIF('Raw Data'!$A$3:$A$2927,$A24))</f>
        <v>0</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0.9</v>
      </c>
      <c r="AI24">
        <f>IF( COUNTIF('Raw Data'!$A$3:$A$2927,$A24)=0,0,SUMIF('Raw Data'!$A$3:$A$2927, $A24,'Raw Data'!AH$3:AH$2927) / COUNTIF('Raw Data'!$A$3:$A$2927,$A24))</f>
        <v>0.3</v>
      </c>
      <c r="AJ24" s="117">
        <f>COUNTIF('Raw Data'!A$3:A$2927, $A24)</f>
        <v>10</v>
      </c>
      <c r="AK24">
        <f t="shared" si="4"/>
        <v>1.2819999999999998</v>
      </c>
      <c r="AL24">
        <f t="shared" si="0"/>
        <v>-0.45</v>
      </c>
      <c r="AM24">
        <f t="shared" si="1"/>
        <v>-0.29700000000000004</v>
      </c>
      <c r="AP24" t="s">
        <v>264</v>
      </c>
      <c r="AQ24">
        <v>-2</v>
      </c>
    </row>
    <row r="25" spans="1:51">
      <c r="A25">
        <v>5885</v>
      </c>
      <c r="B25" t="s">
        <v>219</v>
      </c>
      <c r="C25">
        <f t="shared" si="2"/>
        <v>23.666666666666664</v>
      </c>
      <c r="D25">
        <f t="shared" si="3"/>
        <v>8</v>
      </c>
      <c r="E25">
        <f>IF( COUNTIF('Raw Data'!$A$3:$A$2927,$A25)=0,0,SUMIF('Raw Data'!$A$3:$A$2927, $A25,'Raw Data'!D$3:D$2927) / COUNTIF('Raw Data'!$A$3:$A$2927,$A25))</f>
        <v>1.7777777777777777</v>
      </c>
      <c r="F25">
        <f t="array" ref="F25">MAX(IF('Raw Data'!$A$3:$A$927=$A25, 'Raw Data'!$O$3:$O$927))</f>
        <v>1</v>
      </c>
      <c r="G25">
        <f t="array" ref="G25">MAX(IF('Raw Data'!$A$3:$A$927=$A25, 'Raw Data'!$I$3:$I$927))</f>
        <v>1</v>
      </c>
      <c r="H25">
        <f>IF( COUNTIF('Raw Data'!$A$3:$A$2927,$A25)=0,0,SUMIF('Raw Data'!$A$3:$A$2927, $A25,'Raw Data'!E$3:E$2927) / COUNTIF('Raw Data'!$A$3:$A$2927,$A25))</f>
        <v>0.44444444444444442</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6</v>
      </c>
      <c r="R25">
        <f t="array" ref="R25">MAX(IF('Raw Data'!$A$3:$A$927=$A25, 'Raw Data'!$T$3:$T$927))</f>
        <v>6</v>
      </c>
      <c r="S25">
        <f>IF( COUNTIF('Raw Data'!$A$3:$A$2927,$A25)=0,0,SUMIF('Raw Data'!$A$3:$A$2927, $A25,'Raw Data'!P$3:P$2927) / COUNTIF('Raw Data'!$A$3:$A$2927,$A25))</f>
        <v>2.6666666666666665</v>
      </c>
      <c r="T25">
        <f>IF( COUNTIF('Raw Data'!$A$3:$A$2927,$A25)=0,0,SUMIF('Raw Data'!$A$3:$A$2927, $A25,'Raw Data'!Q$3:Q$2927) / COUNTIF('Raw Data'!$A$3:$A$2927,$A25))</f>
        <v>0.88888888888888884</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0</v>
      </c>
      <c r="AC25">
        <f>IF( COUNTIF('Raw Data'!$A$3:$A$2927,$A25)=0,0,SUMIF('Raw Data'!$A$3:$A$2927, $A25,'Raw Data'!AB$3:AB$2927) / COUNTIF('Raw Data'!$A$3:$A$2927,$A25))</f>
        <v>0</v>
      </c>
      <c r="AD25">
        <f>IF( COUNTIF('Raw Data'!$A$3:$A$2927,$A25)=0,0,SUMIF('Raw Data'!$A$3:$A$2927, $A25,'Raw Data'!AC$3:AC$2927) / COUNTIF('Raw Data'!$A$3:$A$2927,$A25))</f>
        <v>3</v>
      </c>
      <c r="AE25" s="117">
        <f>IF( COUNTIF('Raw Data'!$A$3:$A$2927,$A25)=0,0,SUMIF('Raw Data'!$A$3:$A$2927, $A25,'Raw Data'!AD$3:AD$2927) / COUNTIF('Raw Data'!$A$3:$A$2927,$A25))</f>
        <v>0</v>
      </c>
      <c r="AF25">
        <f>IF( COUNTIF('Raw Data'!$A$3:$A$2927,$A25)=0,0,SUMIF('Raw Data'!$A$3:$A$2927, $A25,'Raw Data'!AE$3:AE$2927) / COUNTIF('Raw Data'!$A$3:$A$2927,$A25))</f>
        <v>0</v>
      </c>
      <c r="AG25">
        <f>IF( COUNTIF('Raw Data'!$A$3:$A$2927,$A25)=0,0,SUMIF('Raw Data'!$A$3:$A$2927, $A25,'Raw Data'!AF$3:AF$2927) / COUNTIF('Raw Data'!$A$3:$A$2927,$A25))</f>
        <v>0</v>
      </c>
      <c r="AH25">
        <f>IF( COUNTIF('Raw Data'!$A$3:$A$2927,$A25)=0,0,SUMIF('Raw Data'!$A$3:$A$2927, $A25,'Raw Data'!AG$3:AG$2927) / COUNTIF('Raw Data'!$A$3:$A$2927,$A25))</f>
        <v>1.6666666666666667</v>
      </c>
      <c r="AI25">
        <f>IF( COUNTIF('Raw Data'!$A$3:$A$2927,$A25)=0,0,SUMIF('Raw Data'!$A$3:$A$2927, $A25,'Raw Data'!AH$3:AH$2927) / COUNTIF('Raw Data'!$A$3:$A$2927,$A25))</f>
        <v>0.44444444444444442</v>
      </c>
      <c r="AJ25" s="117">
        <f>COUNTIF('Raw Data'!A$3:A$2927, $A25)</f>
        <v>9</v>
      </c>
      <c r="AK25">
        <f t="shared" si="4"/>
        <v>8.2777777777777768</v>
      </c>
      <c r="AL25">
        <f t="shared" si="0"/>
        <v>1.6111111111111112</v>
      </c>
      <c r="AM25">
        <f t="shared" si="1"/>
        <v>-0.55000000000000004</v>
      </c>
      <c r="AP25" t="s">
        <v>283</v>
      </c>
      <c r="AQ25">
        <v>-2</v>
      </c>
    </row>
    <row r="26" spans="1:51">
      <c r="A26">
        <v>6070</v>
      </c>
      <c r="B26" t="s">
        <v>220</v>
      </c>
      <c r="C26">
        <f t="shared" si="2"/>
        <v>8.7272727272727266</v>
      </c>
      <c r="D26">
        <f t="shared" si="3"/>
        <v>3.6363636363636362</v>
      </c>
      <c r="E26">
        <f>IF( COUNTIF('Raw Data'!$A$3:$A$2927,$A26)=0,0,SUMIF('Raw Data'!$A$3:$A$2927, $A26,'Raw Data'!D$3:D$2927) / COUNTIF('Raw Data'!$A$3:$A$2927,$A26))</f>
        <v>1.3636363636363635</v>
      </c>
      <c r="F26">
        <f t="array" ref="F26">MAX(IF('Raw Data'!$A$3:$A$927=$A26, 'Raw Data'!$O$3:$O$927))</f>
        <v>1</v>
      </c>
      <c r="G26">
        <f t="array" ref="G26">MAX(IF('Raw Data'!$A$3:$A$927=$A26, 'Raw Data'!$I$3:$I$927))</f>
        <v>1</v>
      </c>
      <c r="H26">
        <f>IF( COUNTIF('Raw Data'!$A$3:$A$2927,$A26)=0,0,SUMIF('Raw Data'!$A$3:$A$2927, $A26,'Raw Data'!E$3:E$2927) / COUNTIF('Raw Data'!$A$3:$A$2927,$A26))</f>
        <v>0.27272727272727271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4</v>
      </c>
      <c r="R26">
        <f t="array" ref="R26">MAX(IF('Raw Data'!$A$3:$A$927=$A26, 'Raw Data'!$T$3:$T$927))</f>
        <v>4</v>
      </c>
      <c r="S26">
        <f>IF( COUNTIF('Raw Data'!$A$3:$A$2927,$A26)=0,0,SUMIF('Raw Data'!$A$3:$A$2927, $A26,'Raw Data'!P$3:P$2927) / COUNTIF('Raw Data'!$A$3:$A$2927,$A26))</f>
        <v>0.54545454545454541</v>
      </c>
      <c r="T26">
        <f>IF( COUNTIF('Raw Data'!$A$3:$A$2927,$A26)=0,0,SUMIF('Raw Data'!$A$3:$A$2927, $A26,'Raw Data'!Q$3:Q$2927) / COUNTIF('Raw Data'!$A$3:$A$2927,$A26))</f>
        <v>1</v>
      </c>
      <c r="U26">
        <f>IF( COUNTIF('Raw Data'!$A$3:$A$2927,$A26)=0,0,SUMIF('Raw Data'!$A$3:$A$2927, $A26,'Raw Data'!R$3:R$2927) / COUNTIF('Raw Data'!$A$3:$A$2927,$A26))</f>
        <v>0.54545454545454541</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0.90909090909090906</v>
      </c>
      <c r="AC26">
        <f>IF( COUNTIF('Raw Data'!$A$3:$A$2927,$A26)=0,0,SUMIF('Raw Data'!$A$3:$A$2927, $A26,'Raw Data'!AB$3:AB$2927) / COUNTIF('Raw Data'!$A$3:$A$2927,$A26))</f>
        <v>0</v>
      </c>
      <c r="AD26">
        <f>IF( COUNTIF('Raw Data'!$A$3:$A$2927,$A26)=0,0,SUMIF('Raw Data'!$A$3:$A$2927, $A26,'Raw Data'!AC$3:AC$2927) / COUNTIF('Raw Data'!$A$3:$A$2927,$A26))</f>
        <v>0.72727272727272729</v>
      </c>
      <c r="AE26" s="117">
        <f>IF( COUNTIF('Raw Data'!$A$3:$A$2927,$A26)=0,0,SUMIF('Raw Data'!$A$3:$A$2927, $A26,'Raw Data'!AD$3:AD$2927) / COUNTIF('Raw Data'!$A$3:$A$2927,$A26))</f>
        <v>0</v>
      </c>
      <c r="AF26">
        <f>IF( COUNTIF('Raw Data'!$A$3:$A$2927,$A26)=0,0,SUMIF('Raw Data'!$A$3:$A$2927, $A26,'Raw Data'!AE$3:AE$2927) / COUNTIF('Raw Data'!$A$3:$A$2927,$A26))</f>
        <v>0.18181818181818182</v>
      </c>
      <c r="AG26">
        <f>IF( COUNTIF('Raw Data'!$A$3:$A$2927,$A26)=0,0,SUMIF('Raw Data'!$A$3:$A$2927, $A26,'Raw Data'!AF$3:AF$2927) / COUNTIF('Raw Data'!$A$3:$A$2927,$A26))</f>
        <v>0</v>
      </c>
      <c r="AH26">
        <f>IF( COUNTIF('Raw Data'!$A$3:$A$2927,$A26)=0,0,SUMIF('Raw Data'!$A$3:$A$2927, $A26,'Raw Data'!AG$3:AG$2927) / COUNTIF('Raw Data'!$A$3:$A$2927,$A26))</f>
        <v>2.2727272727272729</v>
      </c>
      <c r="AI26">
        <f>IF( COUNTIF('Raw Data'!$A$3:$A$2927,$A26)=0,0,SUMIF('Raw Data'!$A$3:$A$2927, $A26,'Raw Data'!AH$3:AH$2927) / COUNTIF('Raw Data'!$A$3:$A$2927,$A26))</f>
        <v>0.90909090909090906</v>
      </c>
      <c r="AJ26" s="117">
        <f>COUNTIF('Raw Data'!A$3:A$2927, $A26)</f>
        <v>11</v>
      </c>
      <c r="AK26">
        <f t="shared" si="4"/>
        <v>-0.68181818181818243</v>
      </c>
      <c r="AL26">
        <f t="shared" si="0"/>
        <v>-2.3636363636363646</v>
      </c>
      <c r="AM26">
        <f t="shared" si="1"/>
        <v>-1.1136363636363638</v>
      </c>
      <c r="AP26" t="s">
        <v>265</v>
      </c>
      <c r="AQ26">
        <v>-1</v>
      </c>
    </row>
    <row r="27" spans="1:51">
      <c r="A27">
        <v>6110</v>
      </c>
      <c r="B27" t="s">
        <v>221</v>
      </c>
      <c r="C27">
        <f t="shared" si="2"/>
        <v>11.700000000000001</v>
      </c>
      <c r="D27">
        <f t="shared" si="3"/>
        <v>8.8000000000000007</v>
      </c>
      <c r="E27">
        <f>IF( COUNTIF('Raw Data'!$A$3:$A$2927,$A27)=0,0,SUMIF('Raw Data'!$A$3:$A$2927, $A27,'Raw Data'!D$3:D$2927) / COUNTIF('Raw Data'!$A$3:$A$2927,$A27))</f>
        <v>1</v>
      </c>
      <c r="F27">
        <f t="array" ref="F27">MAX(IF('Raw Data'!$A$3:$A$927=$A27, 'Raw Data'!$O$3:$O$927))</f>
        <v>1</v>
      </c>
      <c r="G27">
        <f t="array" ref="G27">MAX(IF('Raw Data'!$A$3:$A$927=$A27, 'Raw Data'!$I$3:$I$927))</f>
        <v>1</v>
      </c>
      <c r="H27">
        <f>IF( COUNTIF('Raw Data'!$A$3:$A$2927,$A27)=0,0,SUMIF('Raw Data'!$A$3:$A$2927, $A27,'Raw Data'!E$3:E$2927) / COUNTIF('Raw Data'!$A$3:$A$2927,$A27))</f>
        <v>0.2</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f>IF( COUNTIF('Raw Data'!$A$3:$A$2927,$A27)=0,0,SUMIF('Raw Data'!$A$3:$A$2927, $A27,'Raw Data'!P$3:P$2927) / COUNTIF('Raw Data'!$A$3:$A$2927,$A27))</f>
        <v>1.2</v>
      </c>
      <c r="T27">
        <f>IF( COUNTIF('Raw Data'!$A$3:$A$2927,$A27)=0,0,SUMIF('Raw Data'!$A$3:$A$2927, $A27,'Raw Data'!Q$3:Q$2927) / COUNTIF('Raw Data'!$A$3:$A$2927,$A27))</f>
        <v>0</v>
      </c>
      <c r="U27">
        <f>IF( COUNTIF('Raw Data'!$A$3:$A$2927,$A27)=0,0,SUMIF('Raw Data'!$A$3:$A$2927, $A27,'Raw Data'!R$3:R$2927) / COUNTIF('Raw Data'!$A$3:$A$2927,$A27))</f>
        <v>0</v>
      </c>
      <c r="V27">
        <f>IF( COUNTIF('Raw Data'!$A$3:$A$2927,$A27)=0,0,SUMIF('Raw Data'!$A$3:$A$2927, $A27,'Raw Data'!S$3:S$2927) / COUNTIF('Raw Data'!$A$3:$A$2927,$A27))</f>
        <v>0</v>
      </c>
      <c r="W27">
        <f t="array" ref="W27">MAX(IF('Raw Data'!$A$3:$A$927=$A27, 'Raw Data'!$Y$3:$Y$927))</f>
        <v>4</v>
      </c>
      <c r="X27">
        <f>IF( COUNTIF('Raw Data'!$A$3:$A$2927,$A27)=0,0,SUMIF('Raw Data'!$A$3:$A$2927, $A27,'Raw Data'!U$3:U$2927) / COUNTIF('Raw Data'!$A$3:$A$2927,$A27))</f>
        <v>2</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v>
      </c>
      <c r="AE27" s="117">
        <f>IF( COUNTIF('Raw Data'!$A$3:$A$2927,$A27)=0,0,SUMIF('Raw Data'!$A$3:$A$2927, $A27,'Raw Data'!AD$3:AD$2927) / COUNTIF('Raw Data'!$A$3:$A$2927,$A27))</f>
        <v>0</v>
      </c>
      <c r="AF27">
        <f>IF( COUNTIF('Raw Data'!$A$3:$A$2927,$A27)=0,0,SUMIF('Raw Data'!$A$3:$A$2927, $A27,'Raw Data'!AE$3:AE$2927) / COUNTIF('Raw Data'!$A$3:$A$2927,$A27))</f>
        <v>0.2</v>
      </c>
      <c r="AG27">
        <f>IF( COUNTIF('Raw Data'!$A$3:$A$2927,$A27)=0,0,SUMIF('Raw Data'!$A$3:$A$2927, $A27,'Raw Data'!AF$3:AF$2927) / COUNTIF('Raw Data'!$A$3:$A$2927,$A27))</f>
        <v>0</v>
      </c>
      <c r="AH27">
        <f>IF( COUNTIF('Raw Data'!$A$3:$A$2927,$A27)=0,0,SUMIF('Raw Data'!$A$3:$A$2927, $A27,'Raw Data'!AG$3:AG$2927) / COUNTIF('Raw Data'!$A$3:$A$2927,$A27))</f>
        <v>2.5</v>
      </c>
      <c r="AI27">
        <f>IF( COUNTIF('Raw Data'!$A$3:$A$2927,$A27)=0,0,SUMIF('Raw Data'!$A$3:$A$2927, $A27,'Raw Data'!AH$3:AH$2927) / COUNTIF('Raw Data'!$A$3:$A$2927,$A27))</f>
        <v>0.4</v>
      </c>
      <c r="AJ27" s="117">
        <f>COUNTIF('Raw Data'!A$3:A$2927, $A27)</f>
        <v>10</v>
      </c>
      <c r="AK27">
        <f t="shared" si="4"/>
        <v>0.26999999999999968</v>
      </c>
      <c r="AL27">
        <f t="shared" si="0"/>
        <v>-1.75</v>
      </c>
      <c r="AM27">
        <f t="shared" si="1"/>
        <v>0.7749999999999998</v>
      </c>
      <c r="AP27" t="s">
        <v>266</v>
      </c>
      <c r="AQ27">
        <v>1</v>
      </c>
    </row>
    <row r="28" spans="1:51">
      <c r="A28" s="133">
        <v>6135</v>
      </c>
      <c r="B28" s="133" t="s">
        <v>222</v>
      </c>
      <c r="C28" s="133">
        <f t="shared" si="2"/>
        <v>18.666666666666664</v>
      </c>
      <c r="D28" s="133">
        <f t="shared" si="3"/>
        <v>10.666666666666668</v>
      </c>
      <c r="E28" s="133">
        <f>IF( COUNTIF('Raw Data'!$A$3:$A$2927,$A28)=0,0,SUMIF('Raw Data'!$A$3:$A$2927, $A28,'Raw Data'!D$3:D$2927) / COUNTIF('Raw Data'!$A$3:$A$2927,$A28))</f>
        <v>1.7777777777777777</v>
      </c>
      <c r="F28" s="133">
        <f t="array" ref="F28">MAX(IF('Raw Data'!$A$3:$A$927=$A28, 'Raw Data'!$O$3:$O$927))</f>
        <v>1</v>
      </c>
      <c r="G28" s="133">
        <f t="array" ref="G28">MAX(IF('Raw Data'!$A$3:$A$927=$A28, 'Raw Data'!$I$3:$I$927))</f>
        <v>1</v>
      </c>
      <c r="H28" s="133">
        <f>IF( COUNTIF('Raw Data'!$A$3:$A$2927,$A28)=0,0,SUMIF('Raw Data'!$A$3:$A$2927, $A28,'Raw Data'!E$3:E$2927) / COUNTIF('Raw Data'!$A$3:$A$2927,$A28))</f>
        <v>0.1111111111111111</v>
      </c>
      <c r="I28" s="133">
        <f>IF( COUNTIF('Raw Data'!$A$3:$A$2927,$A28)=0,0,SUMIF('Raw Data'!$A$3:$A$2927, $A28,'Raw Data'!F$3:F$2927) / COUNTIF('Raw Data'!$A$3:$A$2927,$A28))</f>
        <v>0.1111111111111111</v>
      </c>
      <c r="J28" s="133">
        <f>IF( COUNTIF('Raw Data'!$A$3:$A$2927,$A28)=0,0,SUMIF('Raw Data'!$A$3:$A$2927, $A28,'Raw Data'!G$3:G$2927) / COUNTIF('Raw Data'!$A$3:$A$2927,$A28))</f>
        <v>0</v>
      </c>
      <c r="K28" s="133">
        <f>IF( COUNTIF('Raw Data'!$A$3:$A$2927,$A28)=0,0,SUMIF('Raw Data'!$A$3:$A$2927, $A28,'Raw Data'!H$3:H$2927) / COUNTIF('Raw Data'!$A$3:$A$2927,$A28))</f>
        <v>0</v>
      </c>
      <c r="L28" s="133">
        <f t="array" ref="L28">MAX(IF('Raw Data'!$A$3:$A$927=$A28, 'Raw Data'!$N$3:$N$927))</f>
        <v>0</v>
      </c>
      <c r="M28" s="133">
        <f>IF( COUNTIF('Raw Data'!$A$3:$A$2927,$A28)=0,0,SUMIF('Raw Data'!$A$3:$A$2927, $A28,'Raw Data'!J$3:J$2927) / COUNTIF('Raw Data'!$A$3:$A$2927,$A28))</f>
        <v>0</v>
      </c>
      <c r="N28" s="133">
        <f>IF( COUNTIF('Raw Data'!$A$3:$A$2927,$A28)=0,0,SUMIF('Raw Data'!$A$3:$A$2927, $A28,'Raw Data'!K$3:K$2927) / COUNTIF('Raw Data'!$A$3:$A$2927,$A28))</f>
        <v>0</v>
      </c>
      <c r="O28" s="133">
        <f>IF( COUNTIF('Raw Data'!$A$3:$A$2927,$A28)=0,0,SUMIF('Raw Data'!$A$3:$A$2927, $A28,'Raw Data'!L$3:L$2927) / COUNTIF('Raw Data'!$A$3:$A$2927,$A28))</f>
        <v>0</v>
      </c>
      <c r="P28" s="134">
        <f>IF( COUNTIF('Raw Data'!$A$3:$A$2927,$A28)=0,0,SUMIF('Raw Data'!$A$3:$A$2927, $A28,'Raw Data'!M$3:M$2927) / COUNTIF('Raw Data'!$A$3:$A$2927,$A28))</f>
        <v>0</v>
      </c>
      <c r="Q28" s="133">
        <f t="array" ref="Q28">MAX(IF('Raw Data'!$A$3:$A$927=$A28, 'Raw Data'!$Z$3:$Z$927))</f>
        <v>6</v>
      </c>
      <c r="R28" s="133">
        <f t="array" ref="R28">MAX(IF('Raw Data'!$A$3:$A$927=$A28, 'Raw Data'!$T$3:$T$927))</f>
        <v>3</v>
      </c>
      <c r="S28" s="133">
        <f>IF( COUNTIF('Raw Data'!$A$3:$A$2927,$A28)=0,0,SUMIF('Raw Data'!$A$3:$A$2927, $A28,'Raw Data'!P$3:P$2927) / COUNTIF('Raw Data'!$A$3:$A$2927,$A28))</f>
        <v>0.66666666666666663</v>
      </c>
      <c r="T28" s="133">
        <f>IF( COUNTIF('Raw Data'!$A$3:$A$2927,$A28)=0,0,SUMIF('Raw Data'!$A$3:$A$2927, $A28,'Raw Data'!Q$3:Q$2927) / COUNTIF('Raw Data'!$A$3:$A$2927,$A28))</f>
        <v>0.77777777777777779</v>
      </c>
      <c r="U28" s="133">
        <f>IF( COUNTIF('Raw Data'!$A$3:$A$2927,$A28)=0,0,SUMIF('Raw Data'!$A$3:$A$2927, $A28,'Raw Data'!R$3:R$2927) / COUNTIF('Raw Data'!$A$3:$A$2927,$A28))</f>
        <v>0</v>
      </c>
      <c r="V28" s="133">
        <f>IF( COUNTIF('Raw Data'!$A$3:$A$2927,$A28)=0,0,SUMIF('Raw Data'!$A$3:$A$2927, $A28,'Raw Data'!S$3:S$2927) / COUNTIF('Raw Data'!$A$3:$A$2927,$A28))</f>
        <v>0</v>
      </c>
      <c r="W28" s="133">
        <f t="array" ref="W28">MAX(IF('Raw Data'!$A$3:$A$927=$A28, 'Raw Data'!$Y$3:$Y$927))</f>
        <v>4</v>
      </c>
      <c r="X28" s="133">
        <f>IF( COUNTIF('Raw Data'!$A$3:$A$2927,$A28)=0,0,SUMIF('Raw Data'!$A$3:$A$2927, $A28,'Raw Data'!U$3:U$2927) / COUNTIF('Raw Data'!$A$3:$A$2927,$A28))</f>
        <v>2.1111111111111112</v>
      </c>
      <c r="Y28" s="133">
        <f>IF( COUNTIF('Raw Data'!$A$3:$A$2927,$A28)=0,0,SUMIF('Raw Data'!$A$3:$A$2927, $A28,'Raw Data'!V$3:V$2927) / COUNTIF('Raw Data'!$A$3:$A$2927,$A28))</f>
        <v>0.33333333333333331</v>
      </c>
      <c r="Z28" s="133">
        <f>IF( COUNTIF('Raw Data'!$A$3:$A$2927,$A28)=0,0,SUMIF('Raw Data'!$A$3:$A$2927, $A28,'Raw Data'!W$3:W$2927) / COUNTIF('Raw Data'!$A$3:$A$2927,$A28))</f>
        <v>0</v>
      </c>
      <c r="AA28" s="133">
        <f>IF( COUNTIF('Raw Data'!$A$3:$A$2927,$A28)=0,0,SUMIF('Raw Data'!$A$3:$A$2927, $A28,'Raw Data'!X$3:X$2927) / COUNTIF('Raw Data'!$A$3:$A$2927,$A28))</f>
        <v>0</v>
      </c>
      <c r="AB28" s="133">
        <f>IF( COUNTIF('Raw Data'!$A$3:$A$2927,$A28)=0,0,SUMIF('Raw Data'!$A$3:$A$2927, $A28,'Raw Data'!AA$3:AA$2927) / COUNTIF('Raw Data'!$A$3:$A$2927,$A28))</f>
        <v>6.8888888888888893</v>
      </c>
      <c r="AC28" s="133">
        <f>IF( COUNTIF('Raw Data'!$A$3:$A$2927,$A28)=0,0,SUMIF('Raw Data'!$A$3:$A$2927, $A28,'Raw Data'!AB$3:AB$2927) / COUNTIF('Raw Data'!$A$3:$A$2927,$A28))</f>
        <v>0</v>
      </c>
      <c r="AD28" s="133">
        <f>IF( COUNTIF('Raw Data'!$A$3:$A$2927,$A28)=0,0,SUMIF('Raw Data'!$A$3:$A$2927, $A28,'Raw Data'!AC$3:AC$2927) / COUNTIF('Raw Data'!$A$3:$A$2927,$A28))</f>
        <v>1.1111111111111112</v>
      </c>
      <c r="AE28" s="135">
        <f>IF( COUNTIF('Raw Data'!$A$3:$A$2927,$A28)=0,0,SUMIF('Raw Data'!$A$3:$A$2927, $A28,'Raw Data'!AD$3:AD$2927) / COUNTIF('Raw Data'!$A$3:$A$2927,$A28))</f>
        <v>0</v>
      </c>
      <c r="AF28" s="133">
        <f>IF( COUNTIF('Raw Data'!$A$3:$A$2927,$A28)=0,0,SUMIF('Raw Data'!$A$3:$A$2927, $A28,'Raw Data'!AE$3:AE$2927) / COUNTIF('Raw Data'!$A$3:$A$2927,$A28))</f>
        <v>0</v>
      </c>
      <c r="AG28" s="133">
        <f>IF( COUNTIF('Raw Data'!$A$3:$A$2927,$A28)=0,0,SUMIF('Raw Data'!$A$3:$A$2927, $A28,'Raw Data'!AF$3:AF$2927) / COUNTIF('Raw Data'!$A$3:$A$2927,$A28))</f>
        <v>0</v>
      </c>
      <c r="AH28" s="133">
        <f>IF( COUNTIF('Raw Data'!$A$3:$A$2927,$A28)=0,0,SUMIF('Raw Data'!$A$3:$A$2927, $A28,'Raw Data'!AG$3:AG$2927) / COUNTIF('Raw Data'!$A$3:$A$2927,$A28))</f>
        <v>0.66666666666666663</v>
      </c>
      <c r="AI28" s="133">
        <f>IF( COUNTIF('Raw Data'!$A$3:$A$2927,$A28)=0,0,SUMIF('Raw Data'!$A$3:$A$2927, $A28,'Raw Data'!AH$3:AH$2927) / COUNTIF('Raw Data'!$A$3:$A$2927,$A28))</f>
        <v>0.22222222222222221</v>
      </c>
      <c r="AJ28" s="135">
        <f>COUNTIF('Raw Data'!A$3:A$2927, $A28)</f>
        <v>9</v>
      </c>
      <c r="AK28" s="133">
        <f t="shared" si="4"/>
        <v>3.5022222222222226</v>
      </c>
      <c r="AL28" s="133">
        <f t="shared" si="0"/>
        <v>0.55555555555555558</v>
      </c>
      <c r="AM28" s="133">
        <f t="shared" si="1"/>
        <v>2.2244444444444444</v>
      </c>
      <c r="AP28" t="s">
        <v>281</v>
      </c>
      <c r="AQ28">
        <v>-20</v>
      </c>
    </row>
    <row r="29" spans="1:51">
      <c r="A29">
        <v>6514</v>
      </c>
      <c r="B29" t="s">
        <v>223</v>
      </c>
      <c r="C29">
        <f t="shared" si="2"/>
        <v>6.7777777777777777</v>
      </c>
      <c r="D29">
        <f t="shared" si="3"/>
        <v>1.7777777777777777</v>
      </c>
      <c r="E29">
        <f>IF( COUNTIF('Raw Data'!$A$3:$A$2927,$A29)=0,0,SUMIF('Raw Data'!$A$3:$A$2927, $A29,'Raw Data'!D$3:D$2927) / COUNTIF('Raw Data'!$A$3:$A$2927,$A29))</f>
        <v>1.3333333333333333</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2</v>
      </c>
      <c r="R29">
        <f t="array" ref="R29">MAX(IF('Raw Data'!$A$3:$A$927=$A29, 'Raw Data'!$T$3:$T$927))</f>
        <v>2</v>
      </c>
      <c r="S29">
        <f>IF( COUNTIF('Raw Data'!$A$3:$A$2927,$A29)=0,0,SUMIF('Raw Data'!$A$3:$A$2927, $A29,'Raw Data'!P$3:P$2927) / COUNTIF('Raw Data'!$A$3:$A$2927,$A29))</f>
        <v>0.66666666666666663</v>
      </c>
      <c r="T29">
        <f>IF( COUNTIF('Raw Data'!$A$3:$A$2927,$A29)=0,0,SUMIF('Raw Data'!$A$3:$A$2927, $A29,'Raw Data'!Q$3:Q$2927) / COUNTIF('Raw Data'!$A$3:$A$2927,$A29))</f>
        <v>0.22222222222222221</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0.55555555555555558</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0.66666666666666663</v>
      </c>
      <c r="AI29">
        <f>IF( COUNTIF('Raw Data'!$A$3:$A$2927,$A29)=0,0,SUMIF('Raw Data'!$A$3:$A$2927, $A29,'Raw Data'!AH$3:AH$2927) / COUNTIF('Raw Data'!$A$3:$A$2927,$A29))</f>
        <v>0.66666666666666663</v>
      </c>
      <c r="AJ29" s="117">
        <f>COUNTIF('Raw Data'!A$3:A$2927, $A29)</f>
        <v>9</v>
      </c>
      <c r="AK29">
        <f t="shared" si="4"/>
        <v>-0.77777777777777768</v>
      </c>
      <c r="AL29">
        <f t="shared" si="0"/>
        <v>-2.1111111111111107</v>
      </c>
      <c r="AM29">
        <f t="shared" si="1"/>
        <v>-0.22</v>
      </c>
      <c r="AP29" t="s">
        <v>282</v>
      </c>
      <c r="AQ29">
        <v>5</v>
      </c>
    </row>
    <row r="30" spans="1:51">
      <c r="A30">
        <v>6859</v>
      </c>
      <c r="B30" t="s">
        <v>224</v>
      </c>
      <c r="C30">
        <f t="shared" si="2"/>
        <v>5.1111111111111116</v>
      </c>
      <c r="D30">
        <f t="shared" si="3"/>
        <v>2.7777777777777777</v>
      </c>
      <c r="E30">
        <f>IF( COUNTIF('Raw Data'!$A$3:$A$2927,$A30)=0,0,SUMIF('Raw Data'!$A$3:$A$2927, $A30,'Raw Data'!D$3:D$2927) / COUNTIF('Raw Data'!$A$3:$A$2927,$A30))</f>
        <v>1</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2</v>
      </c>
      <c r="R30">
        <f t="array" ref="R30">MAX(IF('Raw Data'!$A$3:$A$927=$A30, 'Raw Data'!$T$3:$T$927))</f>
        <v>1</v>
      </c>
      <c r="S30">
        <f>IF( COUNTIF('Raw Data'!$A$3:$A$2927,$A30)=0,0,SUMIF('Raw Data'!$A$3:$A$2927, $A30,'Raw Data'!P$3:P$2927) / COUNTIF('Raw Data'!$A$3:$A$2927,$A30))</f>
        <v>0.1111111111111111</v>
      </c>
      <c r="T30">
        <f>IF( COUNTIF('Raw Data'!$A$3:$A$2927,$A30)=0,0,SUMIF('Raw Data'!$A$3:$A$2927, $A30,'Raw Data'!Q$3:Q$2927) / COUNTIF('Raw Data'!$A$3:$A$2927,$A30))</f>
        <v>0.1111111111111111</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2</v>
      </c>
      <c r="X30">
        <f>IF( COUNTIF('Raw Data'!$A$3:$A$2927,$A30)=0,0,SUMIF('Raw Data'!$A$3:$A$2927, $A30,'Raw Data'!U$3:U$2927) / COUNTIF('Raw Data'!$A$3:$A$2927,$A30))</f>
        <v>0.77777777777777779</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0.66666666666666663</v>
      </c>
      <c r="AC30">
        <f>IF( COUNTIF('Raw Data'!$A$3:$A$2927,$A30)=0,0,SUMIF('Raw Data'!$A$3:$A$2927, $A30,'Raw Data'!AB$3:AB$2927) / COUNTIF('Raw Data'!$A$3:$A$2927,$A30))</f>
        <v>0</v>
      </c>
      <c r="AD30">
        <f>IF( COUNTIF('Raw Data'!$A$3:$A$2927,$A30)=0,0,SUMIF('Raw Data'!$A$3:$A$2927, $A30,'Raw Data'!AC$3:AC$2927) / COUNTIF('Raw Data'!$A$3:$A$2927,$A30))</f>
        <v>0.44444444444444442</v>
      </c>
      <c r="AE30" s="117">
        <f>IF( COUNTIF('Raw Data'!$A$3:$A$2927,$A30)=0,0,SUMIF('Raw Data'!$A$3:$A$2927, $A30,'Raw Data'!AD$3:AD$2927) / COUNTIF('Raw Data'!$A$3:$A$2927,$A30))</f>
        <v>0</v>
      </c>
      <c r="AF30">
        <f>IF( COUNTIF('Raw Data'!$A$3:$A$2927,$A30)=0,0,SUMIF('Raw Data'!$A$3:$A$2927, $A30,'Raw Data'!AE$3:AE$2927) / COUNTIF('Raw Data'!$A$3:$A$2927,$A30))</f>
        <v>0.1111111111111111</v>
      </c>
      <c r="AG30">
        <f>IF( COUNTIF('Raw Data'!$A$3:$A$2927,$A30)=0,0,SUMIF('Raw Data'!$A$3:$A$2927, $A30,'Raw Data'!AF$3:AF$2927) / COUNTIF('Raw Data'!$A$3:$A$2927,$A30))</f>
        <v>0</v>
      </c>
      <c r="AH30">
        <f>IF( COUNTIF('Raw Data'!$A$3:$A$2927,$A30)=0,0,SUMIF('Raw Data'!$A$3:$A$2927, $A30,'Raw Data'!AG$3:AG$2927) / COUNTIF('Raw Data'!$A$3:$A$2927,$A30))</f>
        <v>2</v>
      </c>
      <c r="AI30">
        <f>IF( COUNTIF('Raw Data'!$A$3:$A$2927,$A30)=0,0,SUMIF('Raw Data'!$A$3:$A$2927, $A30,'Raw Data'!AH$3:AH$2927) / COUNTIF('Raw Data'!$A$3:$A$2927,$A30))</f>
        <v>0.1111111111111111</v>
      </c>
      <c r="AJ30" s="117">
        <f>COUNTIF('Raw Data'!A$3:A$2927, $A30)</f>
        <v>9</v>
      </c>
      <c r="AK30">
        <f t="shared" si="4"/>
        <v>-0.70888888888888879</v>
      </c>
      <c r="AL30">
        <f t="shared" si="0"/>
        <v>-1.4444444444444446</v>
      </c>
      <c r="AM30">
        <f t="shared" si="1"/>
        <v>-0.10444444444444445</v>
      </c>
      <c r="AU30" t="s">
        <v>244</v>
      </c>
      <c r="AX30" t="s">
        <v>245</v>
      </c>
    </row>
    <row r="31" spans="1:51">
      <c r="A31">
        <v>6864</v>
      </c>
      <c r="B31" t="s">
        <v>225</v>
      </c>
      <c r="C31">
        <f t="shared" si="2"/>
        <v>7.8181818181818201</v>
      </c>
      <c r="D31">
        <f t="shared" si="3"/>
        <v>3.7272727272727275</v>
      </c>
      <c r="E31">
        <f>IF( COUNTIF('Raw Data'!$A$3:$A$2927,$A31)=0,0,SUMIF('Raw Data'!$A$3:$A$2927, $A31,'Raw Data'!D$3:D$2927) / COUNTIF('Raw Data'!$A$3:$A$2927,$A31))</f>
        <v>1.1818181818181819</v>
      </c>
      <c r="F31">
        <f t="array" ref="F31">MAX(IF('Raw Data'!$A$3:$A$927=$A31, 'Raw Data'!$O$3:$O$927))</f>
        <v>1</v>
      </c>
      <c r="G31">
        <f t="array" ref="G31">MAX(IF('Raw Data'!$A$3:$A$927=$A31, 'Raw Data'!$I$3:$I$927))</f>
        <v>1</v>
      </c>
      <c r="H31">
        <f>IF( COUNTIF('Raw Data'!$A$3:$A$2927,$A31)=0,0,SUMIF('Raw Data'!$A$3:$A$2927, $A31,'Raw Data'!E$3:E$2927) / COUNTIF('Raw Data'!$A$3:$A$2927,$A31))</f>
        <v>9.0909090909090912E-2</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3</v>
      </c>
      <c r="R31">
        <f t="array" ref="R31">MAX(IF('Raw Data'!$A$3:$A$927=$A31, 'Raw Data'!$T$3:$T$927))</f>
        <v>1</v>
      </c>
      <c r="S31">
        <f>IF( COUNTIF('Raw Data'!$A$3:$A$2927,$A31)=0,0,SUMIF('Raw Data'!$A$3:$A$2927, $A31,'Raw Data'!P$3:P$2927) / COUNTIF('Raw Data'!$A$3:$A$2927,$A31))</f>
        <v>0.27272727272727271</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9.1818181818181817</v>
      </c>
      <c r="AC31">
        <f>IF( COUNTIF('Raw Data'!$A$3:$A$2927,$A31)=0,0,SUMIF('Raw Data'!$A$3:$A$2927, $A31,'Raw Data'!AB$3:AB$2927) / COUNTIF('Raw Data'!$A$3:$A$2927,$A31))</f>
        <v>0</v>
      </c>
      <c r="AD31">
        <f>IF( COUNTIF('Raw Data'!$A$3:$A$2927,$A31)=0,0,SUMIF('Raw Data'!$A$3:$A$2927, $A31,'Raw Data'!AC$3:AC$2927) / COUNTIF('Raw Data'!$A$3:$A$2927,$A31))</f>
        <v>0.63636363636363635</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1.3636363636363635</v>
      </c>
      <c r="AI31">
        <f>IF( COUNTIF('Raw Data'!$A$3:$A$2927,$A31)=0,0,SUMIF('Raw Data'!$A$3:$A$2927, $A31,'Raw Data'!AH$3:AH$2927) / COUNTIF('Raw Data'!$A$3:$A$2927,$A31))</f>
        <v>0.45454545454545453</v>
      </c>
      <c r="AJ31" s="117">
        <f>COUNTIF('Raw Data'!A$3:A$2927, $A31)</f>
        <v>11</v>
      </c>
      <c r="AK31">
        <f t="shared" si="4"/>
        <v>-0.56727272727272715</v>
      </c>
      <c r="AL31">
        <f t="shared" si="0"/>
        <v>-2.0909090909090908</v>
      </c>
      <c r="AM31">
        <f t="shared" si="1"/>
        <v>0.55000000000000004</v>
      </c>
      <c r="AU31" t="s">
        <v>246</v>
      </c>
      <c r="AV31" t="s">
        <v>247</v>
      </c>
      <c r="AX31" t="s">
        <v>246</v>
      </c>
      <c r="AY31" t="s">
        <v>247</v>
      </c>
    </row>
    <row r="32" spans="1:51">
      <c r="A32">
        <v>6866</v>
      </c>
      <c r="B32" t="s">
        <v>226</v>
      </c>
      <c r="C32">
        <f t="shared" si="2"/>
        <v>13.75</v>
      </c>
      <c r="D32">
        <f t="shared" si="3"/>
        <v>8.125</v>
      </c>
      <c r="E32">
        <f>IF( COUNTIF('Raw Data'!$A$3:$A$2927,$A32)=0,0,SUMIF('Raw Data'!$A$3:$A$2927, $A32,'Raw Data'!D$3:D$2927) / COUNTIF('Raw Data'!$A$3:$A$2927,$A32))</f>
        <v>1.75</v>
      </c>
      <c r="F32">
        <f t="array" ref="F32">MAX(IF('Raw Data'!$A$3:$A$927=$A32, 'Raw Data'!$O$3:$O$927))</f>
        <v>0</v>
      </c>
      <c r="G32">
        <f t="array" ref="G32">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4</v>
      </c>
      <c r="R32">
        <f t="array" ref="R32">MAX(IF('Raw Data'!$A$3:$A$927=$A32, 'Raw Data'!$T$3:$T$927))</f>
        <v>1</v>
      </c>
      <c r="S32">
        <f>IF( COUNTIF('Raw Data'!$A$3:$A$2927,$A32)=0,0,SUMIF('Raw Data'!$A$3:$A$2927, $A32,'Raw Data'!P$3:P$2927) / COUNTIF('Raw Data'!$A$3:$A$2927,$A32))</f>
        <v>0.125</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4</v>
      </c>
      <c r="X32">
        <f>IF( COUNTIF('Raw Data'!$A$3:$A$2927,$A32)=0,0,SUMIF('Raw Data'!$A$3:$A$2927, $A32,'Raw Data'!U$3:U$2927) / COUNTIF('Raw Data'!$A$3:$A$2927,$A32))</f>
        <v>2.625</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6.875</v>
      </c>
      <c r="AC32">
        <f>IF( COUNTIF('Raw Data'!$A$3:$A$2927,$A32)=0,0,SUMIF('Raw Data'!$A$3:$A$2927, $A32,'Raw Data'!AB$3:AB$2927) / COUNTIF('Raw Data'!$A$3:$A$2927,$A32))</f>
        <v>0</v>
      </c>
      <c r="AD32">
        <f>IF( COUNTIF('Raw Data'!$A$3:$A$2927,$A32)=0,0,SUMIF('Raw Data'!$A$3:$A$2927, $A32,'Raw Data'!AC$3:AC$2927) / COUNTIF('Raw Data'!$A$3:$A$2927,$A32))</f>
        <v>0.875</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2.25</v>
      </c>
      <c r="AI32">
        <f>IF( COUNTIF('Raw Data'!$A$3:$A$2927,$A32)=0,0,SUMIF('Raw Data'!$A$3:$A$2927, $A32,'Raw Data'!AH$3:AH$2927) / COUNTIF('Raw Data'!$A$3:$A$2927,$A32))</f>
        <v>0</v>
      </c>
      <c r="AJ32" s="117">
        <f>COUNTIF('Raw Data'!A$3:A$2927, $A32)</f>
        <v>8</v>
      </c>
      <c r="AK32">
        <f t="shared" si="4"/>
        <v>1.7324999999999999</v>
      </c>
      <c r="AL32">
        <f t="shared" si="0"/>
        <v>-1</v>
      </c>
      <c r="AM32">
        <f t="shared" si="1"/>
        <v>1.8824999999999998</v>
      </c>
      <c r="AU32">
        <v>610</v>
      </c>
      <c r="AV32">
        <v>8</v>
      </c>
      <c r="AX32">
        <v>5426</v>
      </c>
      <c r="AY32">
        <v>34</v>
      </c>
    </row>
    <row r="33" spans="1:51">
      <c r="A33">
        <v>6867</v>
      </c>
      <c r="B33" t="s">
        <v>227</v>
      </c>
      <c r="C33">
        <f t="shared" si="2"/>
        <v>16.818181818181817</v>
      </c>
      <c r="D33">
        <f t="shared" si="3"/>
        <v>8.9090909090909083</v>
      </c>
      <c r="E33">
        <f>IF( COUNTIF('Raw Data'!$A$3:$A$2927,$A33)=0,0,SUMIF('Raw Data'!$A$3:$A$2927, $A33,'Raw Data'!D$3:D$2927) / COUNTIF('Raw Data'!$A$3:$A$2927,$A33))</f>
        <v>1.7272727272727273</v>
      </c>
      <c r="F33">
        <f t="array" ref="F33">MAX(IF('Raw Data'!$A$3:$A$927=$A33, 'Raw Data'!$O$3:$O$927))</f>
        <v>1</v>
      </c>
      <c r="G33">
        <f t="array" ref="G33">MAX(IF('Raw Data'!$A$3:$A$927=$A33, 'Raw Data'!$I$3:$I$927))</f>
        <v>1</v>
      </c>
      <c r="H33">
        <f>IF( COUNTIF('Raw Data'!$A$3:$A$2927,$A33)=0,0,SUMIF('Raw Data'!$A$3:$A$2927, $A33,'Raw Data'!E$3:E$2927) / COUNTIF('Raw Data'!$A$3:$A$2927,$A33))</f>
        <v>0.54545454545454541</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5</v>
      </c>
      <c r="R33">
        <f t="array" ref="R33">MAX(IF('Raw Data'!$A$3:$A$927=$A33, 'Raw Data'!$T$3:$T$927))</f>
        <v>5</v>
      </c>
      <c r="S33">
        <f>IF( COUNTIF('Raw Data'!$A$3:$A$2927,$A33)=0,0,SUMIF('Raw Data'!$A$3:$A$2927, $A33,'Raw Data'!P$3:P$2927) / COUNTIF('Raw Data'!$A$3:$A$2927,$A33))</f>
        <v>2.5454545454545454</v>
      </c>
      <c r="T33">
        <f>IF( COUNTIF('Raw Data'!$A$3:$A$2927,$A33)=0,0,SUMIF('Raw Data'!$A$3:$A$2927, $A33,'Raw Data'!Q$3:Q$2927) / COUNTIF('Raw Data'!$A$3:$A$2927,$A33))</f>
        <v>1.0909090909090908</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2</v>
      </c>
      <c r="X33">
        <f>IF( COUNTIF('Raw Data'!$A$3:$A$2927,$A33)=0,0,SUMIF('Raw Data'!$A$3:$A$2927, $A33,'Raw Data'!U$3:U$2927) / COUNTIF('Raw Data'!$A$3:$A$2927,$A33))</f>
        <v>0.18181818181818182</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3.1818181818181817</v>
      </c>
      <c r="AC33">
        <f>IF( COUNTIF('Raw Data'!$A$3:$A$2927,$A33)=0,0,SUMIF('Raw Data'!$A$3:$A$2927, $A33,'Raw Data'!AB$3:AB$2927) / COUNTIF('Raw Data'!$A$3:$A$2927,$A33))</f>
        <v>0</v>
      </c>
      <c r="AD33">
        <f>IF( COUNTIF('Raw Data'!$A$3:$A$2927,$A33)=0,0,SUMIF('Raw Data'!$A$3:$A$2927, $A33,'Raw Data'!AC$3:AC$2927) / COUNTIF('Raw Data'!$A$3:$A$2927,$A33))</f>
        <v>1.4545454545454546</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1.6363636363636365</v>
      </c>
      <c r="AI33">
        <f>IF( COUNTIF('Raw Data'!$A$3:$A$2927,$A33)=0,0,SUMIF('Raw Data'!$A$3:$A$2927, $A33,'Raw Data'!AH$3:AH$2927) / COUNTIF('Raw Data'!$A$3:$A$2927,$A33))</f>
        <v>0.81818181818181823</v>
      </c>
      <c r="AJ33" s="117">
        <f>COUNTIF('Raw Data'!A$3:A$2927, $A33)</f>
        <v>11</v>
      </c>
      <c r="AK33">
        <f t="shared" si="4"/>
        <v>2.8472727272727267</v>
      </c>
      <c r="AL33">
        <f t="shared" si="0"/>
        <v>0.36363636363636287</v>
      </c>
      <c r="AM33">
        <f t="shared" si="1"/>
        <v>-0.35818181818181821</v>
      </c>
      <c r="AU33">
        <v>2708</v>
      </c>
      <c r="AV33">
        <v>11</v>
      </c>
      <c r="AX33">
        <v>4525</v>
      </c>
      <c r="AY33">
        <v>37</v>
      </c>
    </row>
    <row r="34" spans="1:51">
      <c r="A34">
        <v>6975</v>
      </c>
      <c r="B34" t="s">
        <v>228</v>
      </c>
      <c r="C34">
        <f t="shared" si="2"/>
        <v>2.8888888888888893</v>
      </c>
      <c r="D34">
        <f t="shared" si="3"/>
        <v>0.22222222222222221</v>
      </c>
      <c r="E34">
        <f>IF( COUNTIF('Raw Data'!$A$3:$A$2927,$A34)=0,0,SUMIF('Raw Data'!$A$3:$A$2927, $A34,'Raw Data'!D$3:D$2927) / COUNTIF('Raw Data'!$A$3:$A$2927,$A34))</f>
        <v>0.88888888888888884</v>
      </c>
      <c r="F34">
        <f t="array" ref="F34">MAX(IF('Raw Data'!$A$3:$A$927=$A34, 'Raw Data'!$O$3:$O$927))</f>
        <v>1</v>
      </c>
      <c r="G34">
        <f t="array" ref="G34">MAX(IF('Raw Data'!$A$3:$A$927=$A34, 'Raw Data'!$I$3:$I$927))</f>
        <v>1</v>
      </c>
      <c r="H34">
        <f>IF( COUNTIF('Raw Data'!$A$3:$A$2927,$A34)=0,0,SUMIF('Raw Data'!$A$3:$A$2927, $A34,'Raw Data'!E$3:E$2927) / COUNTIF('Raw Data'!$A$3:$A$2927,$A34))</f>
        <v>0.1111111111111111</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68.666666666666671</v>
      </c>
      <c r="AC34">
        <f>IF( COUNTIF('Raw Data'!$A$3:$A$2927,$A34)=0,0,SUMIF('Raw Data'!$A$3:$A$2927, $A34,'Raw Data'!AB$3:AB$2927) / COUNTIF('Raw Data'!$A$3:$A$2927,$A34))</f>
        <v>0</v>
      </c>
      <c r="AD34">
        <f>IF( COUNTIF('Raw Data'!$A$3:$A$2927,$A34)=0,0,SUMIF('Raw Data'!$A$3:$A$2927, $A34,'Raw Data'!AC$3:AC$2927) / COUNTIF('Raw Data'!$A$3:$A$2927,$A34))</f>
        <v>0.44444444444444442</v>
      </c>
      <c r="AE34" s="117">
        <f>IF( COUNTIF('Raw Data'!$A$3:$A$2927,$A34)=0,0,SUMIF('Raw Data'!$A$3:$A$2927, $A34,'Raw Data'!AD$3:AD$2927) / COUNTIF('Raw Data'!$A$3:$A$2927,$A34))</f>
        <v>0</v>
      </c>
      <c r="AF34">
        <f>IF( COUNTIF('Raw Data'!$A$3:$A$2927,$A34)=0,0,SUMIF('Raw Data'!$A$3:$A$2927, $A34,'Raw Data'!AE$3:AE$2927) / COUNTIF('Raw Data'!$A$3:$A$2927,$A34))</f>
        <v>0.22222222222222221</v>
      </c>
      <c r="AG34">
        <f>IF( COUNTIF('Raw Data'!$A$3:$A$2927,$A34)=0,0,SUMIF('Raw Data'!$A$3:$A$2927, $A34,'Raw Data'!AF$3:AF$2927) / COUNTIF('Raw Data'!$A$3:$A$2927,$A34))</f>
        <v>0</v>
      </c>
      <c r="AH34">
        <f>IF( COUNTIF('Raw Data'!$A$3:$A$2927,$A34)=0,0,SUMIF('Raw Data'!$A$3:$A$2927, $A34,'Raw Data'!AG$3:AG$2927) / COUNTIF('Raw Data'!$A$3:$A$2927,$A34))</f>
        <v>1.3333333333333333</v>
      </c>
      <c r="AI34">
        <f>IF( COUNTIF('Raw Data'!$A$3:$A$2927,$A34)=0,0,SUMIF('Raw Data'!$A$3:$A$2927, $A34,'Raw Data'!AH$3:AH$2927) / COUNTIF('Raw Data'!$A$3:$A$2927,$A34))</f>
        <v>0</v>
      </c>
      <c r="AJ34" s="117">
        <f>COUNTIF('Raw Data'!A$3:A$2927, $A34)</f>
        <v>9</v>
      </c>
      <c r="AK34">
        <f t="shared" si="4"/>
        <v>-22</v>
      </c>
      <c r="AL34">
        <f t="shared" si="0"/>
        <v>-2.4444444444444446</v>
      </c>
      <c r="AM34">
        <f t="shared" si="1"/>
        <v>-1.8844444444444444</v>
      </c>
      <c r="AU34">
        <v>2200</v>
      </c>
      <c r="AV34">
        <v>12</v>
      </c>
      <c r="AX34">
        <v>2852</v>
      </c>
      <c r="AY34">
        <v>38</v>
      </c>
    </row>
    <row r="35" spans="1:51">
      <c r="A35">
        <v>6987</v>
      </c>
      <c r="B35" t="s">
        <v>229</v>
      </c>
      <c r="C35">
        <f t="shared" si="2"/>
        <v>5.4444444444444446</v>
      </c>
      <c r="D35">
        <f t="shared" si="3"/>
        <v>0.44444444444444442</v>
      </c>
      <c r="E35">
        <f>IF( COUNTIF('Raw Data'!$A$3:$A$2927,$A35)=0,0,SUMIF('Raw Data'!$A$3:$A$2927, $A35,'Raw Data'!D$3:D$2927) / COUNTIF('Raw Data'!$A$3:$A$2927,$A35))</f>
        <v>1.2222222222222223</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2</v>
      </c>
      <c r="R35">
        <f t="array" ref="R35">MAX(IF('Raw Data'!$A$3:$A$927=$A35, 'Raw Data'!$T$3:$T$927))</f>
        <v>2</v>
      </c>
      <c r="S35">
        <f>IF( COUNTIF('Raw Data'!$A$3:$A$2927,$A35)=0,0,SUMIF('Raw Data'!$A$3:$A$2927, $A35,'Raw Data'!P$3:P$2927) / COUNTIF('Raw Data'!$A$3:$A$2927,$A35))</f>
        <v>0.1111111111111111</v>
      </c>
      <c r="T35">
        <f>IF( COUNTIF('Raw Data'!$A$3:$A$2927,$A35)=0,0,SUMIF('Raw Data'!$A$3:$A$2927, $A35,'Raw Data'!Q$3:Q$2927) / COUNTIF('Raw Data'!$A$3:$A$2927,$A35))</f>
        <v>0.1111111111111111</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70.333333333333329</v>
      </c>
      <c r="AC35">
        <f>IF( COUNTIF('Raw Data'!$A$3:$A$2927,$A35)=0,0,SUMIF('Raw Data'!$A$3:$A$2927, $A35,'Raw Data'!AB$3:AB$2927) / COUNTIF('Raw Data'!$A$3:$A$2927,$A35))</f>
        <v>0</v>
      </c>
      <c r="AD35">
        <f>IF( COUNTIF('Raw Data'!$A$3:$A$2927,$A35)=0,0,SUMIF('Raw Data'!$A$3:$A$2927, $A35,'Raw Data'!AC$3:AC$2927) / COUNTIF('Raw Data'!$A$3:$A$2927,$A35))</f>
        <v>1</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1.6666666666666667</v>
      </c>
      <c r="AI35">
        <f>IF( COUNTIF('Raw Data'!$A$3:$A$2927,$A35)=0,0,SUMIF('Raw Data'!$A$3:$A$2927, $A35,'Raw Data'!AH$3:AH$2927) / COUNTIF('Raw Data'!$A$3:$A$2927,$A35))</f>
        <v>0</v>
      </c>
      <c r="AJ35" s="117">
        <f>COUNTIF('Raw Data'!A$3:A$2927, $A35)</f>
        <v>9</v>
      </c>
      <c r="AK35">
        <f t="shared" si="4"/>
        <v>-0.61111111111111116</v>
      </c>
      <c r="AL35">
        <f t="shared" si="0"/>
        <v>-0.61111111111111116</v>
      </c>
      <c r="AM35">
        <f t="shared" si="1"/>
        <v>-0.55000000000000004</v>
      </c>
      <c r="AU35">
        <v>4476</v>
      </c>
      <c r="AV35">
        <v>18</v>
      </c>
      <c r="AX35">
        <v>7267</v>
      </c>
      <c r="AY35">
        <v>42</v>
      </c>
    </row>
    <row r="36" spans="1:51">
      <c r="A36">
        <v>7267</v>
      </c>
      <c r="B36" t="s">
        <v>230</v>
      </c>
      <c r="C36">
        <f t="shared" si="2"/>
        <v>13.888888888888891</v>
      </c>
      <c r="D36">
        <f t="shared" si="3"/>
        <v>9.6666666666666679</v>
      </c>
      <c r="E36">
        <f>IF( COUNTIF('Raw Data'!$A$3:$A$2927,$A36)=0,0,SUMIF('Raw Data'!$A$3:$A$2927, $A36,'Raw Data'!D$3:D$2927) / COUNTIF('Raw Data'!$A$3:$A$2927,$A36))</f>
        <v>1.3333333333333333</v>
      </c>
      <c r="F36">
        <f t="array" ref="F36">MAX(IF('Raw Data'!$A$3:$A$927=$A36, 'Raw Data'!$O$3:$O$927))</f>
        <v>1</v>
      </c>
      <c r="G36">
        <f t="array" ref="G36">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0.1111111111111111</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4</v>
      </c>
      <c r="R36">
        <f t="array" ref="R36">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4</v>
      </c>
      <c r="X36">
        <f>IF( COUNTIF('Raw Data'!$A$3:$A$2927,$A36)=0,0,SUMIF('Raw Data'!$A$3:$A$2927, $A36,'Raw Data'!U$3:U$2927) / COUNTIF('Raw Data'!$A$3:$A$2927,$A36))</f>
        <v>3</v>
      </c>
      <c r="Y36">
        <f>IF( COUNTIF('Raw Data'!$A$3:$A$2927,$A36)=0,0,SUMIF('Raw Data'!$A$3:$A$2927, $A36,'Raw Data'!V$3:V$2927) / COUNTIF('Raw Data'!$A$3:$A$2927,$A36))</f>
        <v>0.1111111111111111</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2</v>
      </c>
      <c r="AC36">
        <f>IF( COUNTIF('Raw Data'!$A$3:$A$2927,$A36)=0,0,SUMIF('Raw Data'!$A$3:$A$2927, $A36,'Raw Data'!AB$3:AB$2927) / COUNTIF('Raw Data'!$A$3:$A$2927,$A36))</f>
        <v>0</v>
      </c>
      <c r="AD36">
        <f>IF( COUNTIF('Raw Data'!$A$3:$A$2927,$A36)=0,0,SUMIF('Raw Data'!$A$3:$A$2927, $A36,'Raw Data'!AC$3:AC$2927) / COUNTIF('Raw Data'!$A$3:$A$2927,$A36))</f>
        <v>0.44444444444444442</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1.1111111111111112</v>
      </c>
      <c r="AI36">
        <f>IF( COUNTIF('Raw Data'!$A$3:$A$2927,$A36)=0,0,SUMIF('Raw Data'!$A$3:$A$2927, $A36,'Raw Data'!AH$3:AH$2927) / COUNTIF('Raw Data'!$A$3:$A$2927,$A36))</f>
        <v>0.1111111111111111</v>
      </c>
      <c r="AJ36" s="117">
        <f>COUNTIF('Raw Data'!A$3:A$2927, $A36)</f>
        <v>9</v>
      </c>
      <c r="AK36">
        <f t="shared" si="4"/>
        <v>1.3488888888888892</v>
      </c>
      <c r="AL36">
        <f t="shared" si="0"/>
        <v>-1</v>
      </c>
      <c r="AM36">
        <f t="shared" si="1"/>
        <v>2.8833333333333333</v>
      </c>
      <c r="AU36">
        <v>4946</v>
      </c>
      <c r="AV36">
        <v>23</v>
      </c>
      <c r="AX36">
        <v>6070</v>
      </c>
      <c r="AY36">
        <v>43</v>
      </c>
    </row>
    <row r="37" spans="1:51">
      <c r="A37">
        <v>7564</v>
      </c>
      <c r="B37" t="s">
        <v>231</v>
      </c>
      <c r="C37">
        <f t="shared" si="2"/>
        <v>7.7142857142857144</v>
      </c>
      <c r="D37">
        <f t="shared" si="3"/>
        <v>0.42857142857142855</v>
      </c>
      <c r="E37">
        <f>IF( COUNTIF('Raw Data'!$A$3:$A$2927,$A37)=0,0,SUMIF('Raw Data'!$A$3:$A$2927, $A37,'Raw Data'!D$3:D$2927) / COUNTIF('Raw Data'!$A$3:$A$2927,$A37))</f>
        <v>2</v>
      </c>
      <c r="F37">
        <f t="array" ref="F37">MAX(IF('Raw Data'!$A$3:$A$927=$A37, 'Raw Data'!$O$3:$O$927))</f>
        <v>1</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0.14285714285714285</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40</v>
      </c>
      <c r="AC37">
        <f>IF( COUNTIF('Raw Data'!$A$3:$A$2927,$A37)=0,0,SUMIF('Raw Data'!$A$3:$A$2927, $A37,'Raw Data'!AB$3:AB$2927) / COUNTIF('Raw Data'!$A$3:$A$2927,$A37))</f>
        <v>0.14285714285714285</v>
      </c>
      <c r="AD37">
        <f>IF( COUNTIF('Raw Data'!$A$3:$A$2927,$A37)=0,0,SUMIF('Raw Data'!$A$3:$A$2927, $A37,'Raw Data'!AC$3:AC$2927) / COUNTIF('Raw Data'!$A$3:$A$2927,$A37))</f>
        <v>0.7142857142857143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1.2857142857142858</v>
      </c>
      <c r="AI37">
        <f>IF( COUNTIF('Raw Data'!$A$3:$A$2927,$A37)=0,0,SUMIF('Raw Data'!$A$3:$A$2927, $A37,'Raw Data'!AH$3:AH$2927) / COUNTIF('Raw Data'!$A$3:$A$2927,$A37))</f>
        <v>0</v>
      </c>
      <c r="AJ37" s="117">
        <f>COUNTIF('Raw Data'!A$3:A$2927, $A37)</f>
        <v>7</v>
      </c>
      <c r="AK37">
        <f t="shared" si="4"/>
        <v>0.4514285714285714</v>
      </c>
      <c r="AL37">
        <f t="shared" si="0"/>
        <v>-0.6428571428571429</v>
      </c>
      <c r="AM37">
        <f t="shared" si="1"/>
        <v>-0.24571428571428577</v>
      </c>
      <c r="AU37">
        <v>188</v>
      </c>
      <c r="AV37">
        <v>24</v>
      </c>
      <c r="AX37">
        <v>5885</v>
      </c>
      <c r="AY37">
        <v>45</v>
      </c>
    </row>
    <row r="38" spans="1:51">
      <c r="A38">
        <v>7614</v>
      </c>
      <c r="B38" t="s">
        <v>232</v>
      </c>
      <c r="C38">
        <f t="shared" si="2"/>
        <v>11</v>
      </c>
      <c r="D38">
        <f t="shared" si="3"/>
        <v>5.75</v>
      </c>
      <c r="E38">
        <f>IF( COUNTIF('Raw Data'!$A$3:$A$2927,$A38)=0,0,SUMIF('Raw Data'!$A$3:$A$2927, $A38,'Raw Data'!D$3:D$2927) / COUNTIF('Raw Data'!$A$3:$A$2927,$A38))</f>
        <v>1</v>
      </c>
      <c r="F38">
        <f t="array" ref="F38">MAX(IF('Raw Data'!$A$3:$A$927=$A38, 'Raw Data'!$O$3:$O$927))</f>
        <v>1</v>
      </c>
      <c r="G38">
        <f t="array" ref="G38">MAX(IF('Raw Data'!$A$3:$A$927=$A38, 'Raw Data'!$I$3:$I$927))</f>
        <v>1</v>
      </c>
      <c r="H38">
        <f>IF( COUNTIF('Raw Data'!$A$3:$A$2927,$A38)=0,0,SUMIF('Raw Data'!$A$3:$A$2927, $A38,'Raw Data'!E$3:E$2927) / COUNTIF('Raw Data'!$A$3:$A$2927,$A38))</f>
        <v>0.125</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1</v>
      </c>
      <c r="M38">
        <f>IF( COUNTIF('Raw Data'!$A$3:$A$2927,$A38)=0,0,SUMIF('Raw Data'!$A$3:$A$2927, $A38,'Raw Data'!J$3:J$2927) / COUNTIF('Raw Data'!$A$3:$A$2927,$A38))</f>
        <v>0.25</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3</v>
      </c>
      <c r="R38">
        <f t="array" ref="R38">MAX(IF('Raw Data'!$A$3:$A$927=$A38, 'Raw Data'!$T$3:$T$927))</f>
        <v>1</v>
      </c>
      <c r="S38">
        <f>IF( COUNTIF('Raw Data'!$A$3:$A$2927,$A38)=0,0,SUMIF('Raw Data'!$A$3:$A$2927, $A38,'Raw Data'!P$3:P$2927) / COUNTIF('Raw Data'!$A$3:$A$2927,$A38))</f>
        <v>0.125</v>
      </c>
      <c r="T38">
        <f>IF( COUNTIF('Raw Data'!$A$3:$A$2927,$A38)=0,0,SUMIF('Raw Data'!$A$3:$A$2927, $A38,'Raw Data'!Q$3:Q$2927) / COUNTIF('Raw Data'!$A$3:$A$2927,$A38))</f>
        <v>0</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3</v>
      </c>
      <c r="X38">
        <f>IF( COUNTIF('Raw Data'!$A$3:$A$2927,$A38)=0,0,SUMIF('Raw Data'!$A$3:$A$2927, $A38,'Raw Data'!U$3:U$2927) / COUNTIF('Raw Data'!$A$3:$A$2927,$A38))</f>
        <v>1.5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0.125</v>
      </c>
      <c r="AG38">
        <f>IF( COUNTIF('Raw Data'!$A$3:$A$2927,$A38)=0,0,SUMIF('Raw Data'!$A$3:$A$2927, $A38,'Raw Data'!AF$3:AF$2927) / COUNTIF('Raw Data'!$A$3:$A$2927,$A38))</f>
        <v>0</v>
      </c>
      <c r="AH38">
        <f>IF( COUNTIF('Raw Data'!$A$3:$A$2927,$A38)=0,0,SUMIF('Raw Data'!$A$3:$A$2927, $A38,'Raw Data'!AG$3:AG$2927) / COUNTIF('Raw Data'!$A$3:$A$2927,$A38))</f>
        <v>0</v>
      </c>
      <c r="AI38">
        <f>IF( COUNTIF('Raw Data'!$A$3:$A$2927,$A38)=0,0,SUMIF('Raw Data'!$A$3:$A$2927, $A38,'Raw Data'!AH$3:AH$2927) / COUNTIF('Raw Data'!$A$3:$A$2927,$A38))</f>
        <v>0.25</v>
      </c>
      <c r="AJ38" s="117">
        <f>COUNTIF('Raw Data'!A$3:A$2927, $A38)</f>
        <v>8</v>
      </c>
      <c r="AK38">
        <f t="shared" si="4"/>
        <v>0.65500000000000003</v>
      </c>
      <c r="AL38">
        <f t="shared" si="0"/>
        <v>-0.9375</v>
      </c>
      <c r="AM38">
        <f t="shared" si="1"/>
        <v>1.5625</v>
      </c>
      <c r="AU38">
        <v>5036</v>
      </c>
      <c r="AV38">
        <v>27</v>
      </c>
      <c r="AX38">
        <v>2386</v>
      </c>
      <c r="AY38">
        <v>49</v>
      </c>
    </row>
    <row r="39" spans="1:51">
      <c r="A39">
        <v>7690</v>
      </c>
      <c r="B39" t="s">
        <v>233</v>
      </c>
      <c r="C39">
        <f t="shared" si="2"/>
        <v>7</v>
      </c>
      <c r="D39">
        <f t="shared" si="3"/>
        <v>1.2727272727272727</v>
      </c>
      <c r="E39">
        <f>IF( COUNTIF('Raw Data'!$A$3:$A$2927,$A39)=0,0,SUMIF('Raw Data'!$A$3:$A$2927, $A39,'Raw Data'!D$3:D$2927) / COUNTIF('Raw Data'!$A$3:$A$2927,$A39))</f>
        <v>1.1818181818181819</v>
      </c>
      <c r="F39">
        <f t="array" ref="F39">MAX(IF('Raw Data'!$A$3:$A$927=$A39, 'Raw Data'!$O$3:$O$927))</f>
        <v>1</v>
      </c>
      <c r="G39">
        <f t="array" ref="G39">MAX(IF('Raw Data'!$A$3:$A$927=$A39, 'Raw Data'!$I$3:$I$927))</f>
        <v>1</v>
      </c>
      <c r="H39">
        <f>IF( COUNTIF('Raw Data'!$A$3:$A$2927,$A39)=0,0,SUMIF('Raw Data'!$A$3:$A$2927, $A39,'Raw Data'!E$3:E$2927) / COUNTIF('Raw Data'!$A$3:$A$2927,$A39))</f>
        <v>0</v>
      </c>
      <c r="I39">
        <f>IF( COUNTIF('Raw Data'!$A$3:$A$2927,$A39)=0,0,SUMIF('Raw Data'!$A$3:$A$2927, $A39,'Raw Data'!F$3:F$2927) / COUNTIF('Raw Data'!$A$3:$A$2927,$A39))</f>
        <v>9.0909090909090912E-2</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2</v>
      </c>
      <c r="R39">
        <f t="array" ref="R39">MAX(IF('Raw Data'!$A$3:$A$927=$A39, 'Raw Data'!$T$3:$T$927))</f>
        <v>2</v>
      </c>
      <c r="S39">
        <f>IF( COUNTIF('Raw Data'!$A$3:$A$2927,$A39)=0,0,SUMIF('Raw Data'!$A$3:$A$2927, $A39,'Raw Data'!P$3:P$2927) / COUNTIF('Raw Data'!$A$3:$A$2927,$A39))</f>
        <v>0.45454545454545453</v>
      </c>
      <c r="T39">
        <f>IF( COUNTIF('Raw Data'!$A$3:$A$2927,$A39)=0,0,SUMIF('Raw Data'!$A$3:$A$2927, $A39,'Raw Data'!Q$3:Q$2927) / COUNTIF('Raw Data'!$A$3:$A$2927,$A39))</f>
        <v>9.0909090909090912E-2</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1.8181818181818181</v>
      </c>
      <c r="AC39">
        <f>IF( COUNTIF('Raw Data'!$A$3:$A$2927,$A39)=0,0,SUMIF('Raw Data'!$A$3:$A$2927, $A39,'Raw Data'!AB$3:AB$2927) / COUNTIF('Raw Data'!$A$3:$A$2927,$A39))</f>
        <v>0</v>
      </c>
      <c r="AD39">
        <f>IF( COUNTIF('Raw Data'!$A$3:$A$2927,$A39)=0,0,SUMIF('Raw Data'!$A$3:$A$2927, $A39,'Raw Data'!AC$3:AC$2927) / COUNTIF('Raw Data'!$A$3:$A$2927,$A39))</f>
        <v>0.72727272727272729</v>
      </c>
      <c r="AE39" s="117">
        <f>IF( COUNTIF('Raw Data'!$A$3:$A$2927,$A39)=0,0,SUMIF('Raw Data'!$A$3:$A$2927, $A39,'Raw Data'!AD$3:AD$2927) / COUNTIF('Raw Data'!$A$3:$A$2927,$A39))</f>
        <v>0</v>
      </c>
      <c r="AF39">
        <f>IF( COUNTIF('Raw Data'!$A$3:$A$2927,$A39)=0,0,SUMIF('Raw Data'!$A$3:$A$2927, $A39,'Raw Data'!AE$3:AE$2927) / COUNTIF('Raw Data'!$A$3:$A$2927,$A39))</f>
        <v>0.36363636363636365</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1.2727272727272727</v>
      </c>
      <c r="AJ39" s="117">
        <f>COUNTIF('Raw Data'!A$3:A$2927, $A39)</f>
        <v>11</v>
      </c>
      <c r="AK39">
        <f t="shared" si="4"/>
        <v>-2.6363636363636367</v>
      </c>
      <c r="AL39">
        <f t="shared" si="0"/>
        <v>-5.1363636363636367</v>
      </c>
      <c r="AM39">
        <f t="shared" si="1"/>
        <v>-0.72727272727272729</v>
      </c>
      <c r="AX39">
        <v>4936</v>
      </c>
      <c r="AY39">
        <v>50</v>
      </c>
    </row>
    <row r="40" spans="1:51">
      <c r="A40">
        <v>7710</v>
      </c>
      <c r="B40" t="s">
        <v>234</v>
      </c>
      <c r="C40">
        <f t="shared" si="2"/>
        <v>10.571428571428571</v>
      </c>
      <c r="D40">
        <f t="shared" si="3"/>
        <v>2</v>
      </c>
      <c r="E40">
        <f>IF( COUNTIF('Raw Data'!$A$3:$A$2927,$A40)=0,0,SUMIF('Raw Data'!$A$3:$A$2927, $A40,'Raw Data'!D$3:D$2927) / COUNTIF('Raw Data'!$A$3:$A$2927,$A40))</f>
        <v>2</v>
      </c>
      <c r="F40">
        <f t="array" ref="F40">MAX(IF('Raw Data'!$A$3:$A$927=$A40, 'Raw Data'!$O$3:$O$927))</f>
        <v>1</v>
      </c>
      <c r="G40">
        <f t="array" ref="G40">MAX(IF('Raw Data'!$A$3:$A$927=$A40, 'Raw Data'!$I$3:$I$927))</f>
        <v>1</v>
      </c>
      <c r="H40">
        <f>IF( COUNTIF('Raw Data'!$A$3:$A$2927,$A40)=0,0,SUMIF('Raw Data'!$A$3:$A$2927, $A40,'Raw Data'!E$3:E$2927) / COUNTIF('Raw Data'!$A$3:$A$2927,$A40))</f>
        <v>0.14285714285714285</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2</v>
      </c>
      <c r="R40">
        <f t="array" ref="R40">MAX(IF('Raw Data'!$A$3:$A$927=$A40, 'Raw Data'!$T$3:$T$927))</f>
        <v>2</v>
      </c>
      <c r="S40">
        <f>IF( COUNTIF('Raw Data'!$A$3:$A$2927,$A40)=0,0,SUMIF('Raw Data'!$A$3:$A$2927, $A40,'Raw Data'!P$3:P$2927) / COUNTIF('Raw Data'!$A$3:$A$2927,$A40))</f>
        <v>0.14285714285714285</v>
      </c>
      <c r="T40">
        <f>IF( COUNTIF('Raw Data'!$A$3:$A$2927,$A40)=0,0,SUMIF('Raw Data'!$A$3:$A$2927, $A40,'Raw Data'!Q$3:Q$2927) / COUNTIF('Raw Data'!$A$3:$A$2927,$A40))</f>
        <v>0.7142857142857143</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9.8571428571428577</v>
      </c>
      <c r="AC40">
        <f>IF( COUNTIF('Raw Data'!$A$3:$A$2927,$A40)=0,0,SUMIF('Raw Data'!$A$3:$A$2927, $A40,'Raw Data'!AB$3:AB$2927) / COUNTIF('Raw Data'!$A$3:$A$2927,$A40))</f>
        <v>0.14285714285714285</v>
      </c>
      <c r="AD40">
        <f>IF( COUNTIF('Raw Data'!$A$3:$A$2927,$A40)=0,0,SUMIF('Raw Data'!$A$3:$A$2927, $A40,'Raw Data'!AC$3:AC$2927) / COUNTIF('Raw Data'!$A$3:$A$2927,$A40))</f>
        <v>0.7142857142857143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1</v>
      </c>
      <c r="AJ40" s="117">
        <f>COUNTIF('Raw Data'!A$3:A$2927, $A40)</f>
        <v>7</v>
      </c>
      <c r="AK40">
        <f t="shared" si="4"/>
        <v>0</v>
      </c>
      <c r="AL40">
        <f t="shared" si="0"/>
        <v>-2.9285714285714288</v>
      </c>
      <c r="AM40">
        <f t="shared" si="1"/>
        <v>0</v>
      </c>
      <c r="AX40">
        <v>6110</v>
      </c>
      <c r="AY40">
        <v>59</v>
      </c>
    </row>
    <row r="41" spans="1:51">
      <c r="A41">
        <v>7712</v>
      </c>
      <c r="B41" t="s">
        <v>235</v>
      </c>
      <c r="C41">
        <f t="shared" si="2"/>
        <v>4.75</v>
      </c>
      <c r="D41">
        <f t="shared" si="3"/>
        <v>1</v>
      </c>
      <c r="E41">
        <f>IF( COUNTIF('Raw Data'!$A$3:$A$2927,$A41)=0,0,SUMIF('Raw Data'!$A$3:$A$2927, $A41,'Raw Data'!D$3:D$2927) / COUNTIF('Raw Data'!$A$3:$A$2927,$A41))</f>
        <v>0.875</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2</v>
      </c>
      <c r="R41">
        <f t="array" ref="R41">MAX(IF('Raw Data'!$A$3:$A$927=$A41, 'Raw Data'!$T$3:$T$927))</f>
        <v>1</v>
      </c>
      <c r="S41">
        <f>IF( COUNTIF('Raw Data'!$A$3:$A$2927,$A41)=0,0,SUMIF('Raw Data'!$A$3:$A$2927, $A41,'Raw Data'!P$3:P$2927) / COUNTIF('Raw Data'!$A$3:$A$2927,$A41))</f>
        <v>0</v>
      </c>
      <c r="T41">
        <f>IF( COUNTIF('Raw Data'!$A$3:$A$2927,$A41)=0,0,SUMIF('Raw Data'!$A$3:$A$2927, $A41,'Raw Data'!Q$3:Q$2927) / COUNTIF('Raw Data'!$A$3:$A$2927,$A41))</f>
        <v>0.125</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1</v>
      </c>
      <c r="X41">
        <f>IF( COUNTIF('Raw Data'!$A$3:$A$2927,$A41)=0,0,SUMIF('Raw Data'!$A$3:$A$2927, $A41,'Raw Data'!U$3:U$2927) / COUNTIF('Raw Data'!$A$3:$A$2927,$A41))</f>
        <v>0.25</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6.875</v>
      </c>
      <c r="AC41">
        <f>IF( COUNTIF('Raw Data'!$A$3:$A$2927,$A41)=0,0,SUMIF('Raw Data'!$A$3:$A$2927, $A41,'Raw Data'!AB$3:AB$2927) / COUNTIF('Raw Data'!$A$3:$A$2927,$A41))</f>
        <v>0</v>
      </c>
      <c r="AD41">
        <f>IF( COUNTIF('Raw Data'!$A$3:$A$2927,$A41)=0,0,SUMIF('Raw Data'!$A$3:$A$2927, $A41,'Raw Data'!AC$3:AC$2927) / COUNTIF('Raw Data'!$A$3:$A$2927,$A41))</f>
        <v>0.625</v>
      </c>
      <c r="AE41" s="117">
        <f>IF( COUNTIF('Raw Data'!$A$3:$A$2927,$A41)=0,0,SUMIF('Raw Data'!$A$3:$A$2927, $A41,'Raw Data'!AD$3:AD$2927) / COUNTIF('Raw Data'!$A$3:$A$2927,$A41))</f>
        <v>0</v>
      </c>
      <c r="AF41">
        <f>IF( COUNTIF('Raw Data'!$A$3:$A$2927,$A41)=0,0,SUMIF('Raw Data'!$A$3:$A$2927, $A41,'Raw Data'!AE$3:AE$2927) / COUNTIF('Raw Data'!$A$3:$A$2927,$A41))</f>
        <v>0.5</v>
      </c>
      <c r="AG41">
        <f>IF( COUNTIF('Raw Data'!$A$3:$A$2927,$A41)=0,0,SUMIF('Raw Data'!$A$3:$A$2927, $A41,'Raw Data'!AF$3:AF$2927) / COUNTIF('Raw Data'!$A$3:$A$2927,$A41))</f>
        <v>0</v>
      </c>
      <c r="AH41">
        <f>IF( COUNTIF('Raw Data'!$A$3:$A$2927,$A41)=0,0,SUMIF('Raw Data'!$A$3:$A$2927, $A41,'Raw Data'!AG$3:AG$2927) / COUNTIF('Raw Data'!$A$3:$A$2927,$A41))</f>
        <v>0.75</v>
      </c>
      <c r="AI41">
        <f>IF( COUNTIF('Raw Data'!$A$3:$A$2927,$A41)=0,0,SUMIF('Raw Data'!$A$3:$A$2927, $A41,'Raw Data'!AH$3:AH$2927) / COUNTIF('Raw Data'!$A$3:$A$2927,$A41))</f>
        <v>0.25</v>
      </c>
      <c r="AJ41" s="117">
        <f>COUNTIF('Raw Data'!A$3:A$2927, $A41)</f>
        <v>8</v>
      </c>
      <c r="AK41">
        <f t="shared" si="4"/>
        <v>-22.585000000000001</v>
      </c>
      <c r="AL41">
        <f t="shared" si="0"/>
        <v>-3.75</v>
      </c>
      <c r="AM41">
        <f t="shared" si="1"/>
        <v>-1.9975000000000001</v>
      </c>
    </row>
    <row r="42" spans="1:51">
      <c r="A42">
        <v>7735</v>
      </c>
      <c r="B42" t="s">
        <v>236</v>
      </c>
      <c r="C42">
        <f t="shared" si="2"/>
        <v>12.700000000000001</v>
      </c>
      <c r="D42">
        <f t="shared" si="3"/>
        <v>6.4</v>
      </c>
      <c r="E42">
        <f>IF( COUNTIF('Raw Data'!$A$3:$A$2927,$A42)=0,0,SUMIF('Raw Data'!$A$3:$A$2927, $A42,'Raw Data'!D$3:D$2927) / COUNTIF('Raw Data'!$A$3:$A$2927,$A42))</f>
        <v>1.6</v>
      </c>
      <c r="F42">
        <f t="array" ref="F42">MAX(IF('Raw Data'!$A$3:$A$927=$A42, 'Raw Data'!$O$3:$O$927))</f>
        <v>1</v>
      </c>
      <c r="G42">
        <f t="array" ref="G42">MAX(IF('Raw Data'!$A$3:$A$927=$A42, 'Raw Data'!$I$3:$I$927))</f>
        <v>1</v>
      </c>
      <c r="H42">
        <f>IF( COUNTIF('Raw Data'!$A$3:$A$2927,$A42)=0,0,SUMIF('Raw Data'!$A$3:$A$2927, $A42,'Raw Data'!E$3:E$2927) / COUNTIF('Raw Data'!$A$3:$A$2927,$A42))</f>
        <v>0</v>
      </c>
      <c r="I42">
        <f>IF( COUNTIF('Raw Data'!$A$3:$A$2927,$A42)=0,0,SUMIF('Raw Data'!$A$3:$A$2927, $A42,'Raw Data'!F$3:F$2927) / COUNTIF('Raw Data'!$A$3:$A$2927,$A42))</f>
        <v>0.1</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5</v>
      </c>
      <c r="R42">
        <f t="array" ref="R42">MAX(IF('Raw Data'!$A$3:$A$927=$A42, 'Raw Data'!$T$3:$T$927))</f>
        <v>1</v>
      </c>
      <c r="S42">
        <f>IF( COUNTIF('Raw Data'!$A$3:$A$2927,$A42)=0,0,SUMIF('Raw Data'!$A$3:$A$2927, $A42,'Raw Data'!P$3:P$2927) / COUNTIF('Raw Data'!$A$3:$A$2927,$A42))</f>
        <v>0.3</v>
      </c>
      <c r="T42">
        <f>IF( COUNTIF('Raw Data'!$A$3:$A$2927,$A42)=0,0,SUMIF('Raw Data'!$A$3:$A$2927, $A42,'Raw Data'!Q$3:Q$2927) / COUNTIF('Raw Data'!$A$3:$A$2927,$A42))</f>
        <v>0.1</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4</v>
      </c>
      <c r="X42">
        <f>IF( COUNTIF('Raw Data'!$A$3:$A$2927,$A42)=0,0,SUMIF('Raw Data'!$A$3:$A$2927, $A42,'Raw Data'!U$3:U$2927) / COUNTIF('Raw Data'!$A$3:$A$2927,$A42))</f>
        <v>1.8</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9</v>
      </c>
      <c r="AC42">
        <f>IF( COUNTIF('Raw Data'!$A$3:$A$2927,$A42)=0,0,SUMIF('Raw Data'!$A$3:$A$2927, $A42,'Raw Data'!AB$3:AB$2927) / COUNTIF('Raw Data'!$A$3:$A$2927,$A42))</f>
        <v>0</v>
      </c>
      <c r="AD42">
        <f>IF( COUNTIF('Raw Data'!$A$3:$A$2927,$A42)=0,0,SUMIF('Raw Data'!$A$3:$A$2927, $A42,'Raw Data'!AC$3:AC$2927) / COUNTIF('Raw Data'!$A$3:$A$2927,$A42))</f>
        <v>0.8</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0.9</v>
      </c>
      <c r="AI42">
        <f>IF( COUNTIF('Raw Data'!$A$3:$A$2927,$A42)=0,0,SUMIF('Raw Data'!$A$3:$A$2927, $A42,'Raw Data'!AH$3:AH$2927) / COUNTIF('Raw Data'!$A$3:$A$2927,$A42))</f>
        <v>0.1</v>
      </c>
      <c r="AJ42" s="117">
        <f>COUNTIF('Raw Data'!A$3:A$2927, $A42)</f>
        <v>10</v>
      </c>
      <c r="AK42">
        <f t="shared" si="4"/>
        <v>2.0379999999999998</v>
      </c>
      <c r="AL42">
        <f t="shared" si="0"/>
        <v>-0.3</v>
      </c>
      <c r="AM42">
        <f t="shared" si="1"/>
        <v>1.5030000000000001</v>
      </c>
    </row>
  </sheetData>
  <mergeCells count="7">
    <mergeCell ref="AS13:AT13"/>
    <mergeCell ref="AV13:AW13"/>
    <mergeCell ref="A1:B1"/>
    <mergeCell ref="G1:P1"/>
    <mergeCell ref="Q1:AD1"/>
    <mergeCell ref="AE1:AI1"/>
    <mergeCell ref="AP13:AQ13"/>
  </mergeCells>
  <conditionalFormatting sqref="AP14:AW29">
    <cfRule type="containsText" dxfId="30" priority="5" operator="containsText" text="threshold">
      <formula>NOT(ISERROR(SEARCH("threshold",AP14)))</formula>
    </cfRule>
  </conditionalFormatting>
  <conditionalFormatting sqref="AP14:AW28">
    <cfRule type="cellIs" dxfId="29" priority="4" operator="lessThan">
      <formula>0</formula>
    </cfRule>
  </conditionalFormatting>
  <conditionalFormatting sqref="A3:AM42">
    <cfRule type="expression" dxfId="28" priority="6">
      <formula>IF($AJ3=0,TRUE,FALSE)</formula>
    </cfRule>
  </conditionalFormatting>
  <conditionalFormatting sqref="F1:F1048576">
    <cfRule type="cellIs" dxfId="27" priority="1" operator="greaterThan">
      <formula>$AQ$20</formula>
    </cfRule>
    <cfRule type="cellIs" dxfId="26"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E364-AAE0-48FC-8E68-CE734877D3B6}">
  <sheetPr codeName="Sheet5"/>
  <dimension ref="A1:Z41"/>
  <sheetViews>
    <sheetView zoomScale="58" workbookViewId="0">
      <selection activeCell="A2" sqref="A2:G41"/>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v>4519</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Output'!A12</f>
        <v>4152</v>
      </c>
      <c r="B2" t="str">
        <f>'Scouting Output'!B12</f>
        <v>Hoya Robotics</v>
      </c>
      <c r="C2">
        <f>VLOOKUP($A2,'Scouting Output'!$A$3:$AM$42,37,FALSE)</f>
        <v>5.0419999999999998</v>
      </c>
      <c r="D2">
        <f>VLOOKUP($A2,'Scouting Output'!$A$3:$AM$42,38,FALSE)</f>
        <v>3.3000000000000007</v>
      </c>
      <c r="E2">
        <f>VLOOKUP($A2,'Scouting Output'!$A$3:$AM$42,39,FALSE)</f>
        <v>1.1260000000000001</v>
      </c>
      <c r="F2">
        <f>VLOOKUP($A2, 'Scouting Output'!$A$3:$AM47, 30, FALSE)</f>
        <v>1.6</v>
      </c>
      <c r="G2">
        <f>VLOOKUP($A2, 'Scouting Output'!$A$3:$AM$42, 3, FALSE)</f>
        <v>19.8</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Output'!A4</f>
        <v>610</v>
      </c>
      <c r="B3" t="str">
        <f>'Scouting Output'!B4</f>
        <v>Crescent Coyotes</v>
      </c>
      <c r="C3">
        <f>VLOOKUP($A3,'Scouting Output'!$A$3:$AM$42,37,FALSE)</f>
        <v>4.522222222222223</v>
      </c>
      <c r="D3">
        <f>VLOOKUP($A3,'Scouting Output'!$A$3:$AM$42,38,FALSE)</f>
        <v>2.4444444444444446</v>
      </c>
      <c r="E3">
        <f>VLOOKUP($A3,'Scouting Output'!$A$3:$AM$42,39,FALSE)</f>
        <v>2.3633333333333333</v>
      </c>
      <c r="F3">
        <f>VLOOKUP($A3, 'Scouting Output'!$A$3:$AM48, 30, FALSE)</f>
        <v>2</v>
      </c>
      <c r="G3">
        <f>VLOOKUP($A3, 'Scouting Output'!$A$3:$AM$42, 3, FALSE)</f>
        <v>21.555555555555554</v>
      </c>
      <c r="L3">
        <f>'Scouting Output'!A21</f>
        <v>4951</v>
      </c>
      <c r="M3" t="str">
        <f>'Scouting Output'!$B4</f>
        <v>Crescent Coyotes</v>
      </c>
      <c r="N3">
        <f>VLOOKUP(L3,'Scouting Output'!$A$3:$AM$42,37,FALSE)</f>
        <v>2.2828571428571434</v>
      </c>
      <c r="O3">
        <f>VLOOKUP(L3,'Scouting Output'!$A$3:$AM$42,38,FALSE)</f>
        <v>-1.2857142857142858</v>
      </c>
      <c r="P3">
        <f>VLOOKUP(L3,'Scouting Output'!$A$3:$AM$42,39,FALSE)</f>
        <v>3.152857142857143</v>
      </c>
      <c r="Q3">
        <f>VLOOKUP(L3,'Scouting Output'!$A$3:$AM$42,30,FALSE)</f>
        <v>1</v>
      </c>
      <c r="R3">
        <f>VLOOKUP(L3, 'Scouting Output'!$A$3:$AM$42, 3, FALSE)</f>
        <v>17.428571428571431</v>
      </c>
      <c r="T3">
        <f>'Scouting Output'!$A4</f>
        <v>610</v>
      </c>
      <c r="U3" t="str">
        <f>'Scouting Output'!$B4</f>
        <v>Crescent Coyotes</v>
      </c>
      <c r="V3">
        <f>VLOOKUP(T3,'Scouting Output'!$A$3:$AM$42,37,FALSE)</f>
        <v>4.522222222222223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4946</v>
      </c>
      <c r="B4" t="str">
        <f>'Scouting Output'!B20</f>
        <v>The Alpha Dogs</v>
      </c>
      <c r="C4">
        <f>VLOOKUP($A4,'Scouting Output'!$A$3:$AM$42,37,FALSE)</f>
        <v>2.804444444444445</v>
      </c>
      <c r="D4">
        <f>VLOOKUP($A4,'Scouting Output'!$A$3:$AM$42,38,FALSE)</f>
        <v>1.2777777777777781</v>
      </c>
      <c r="E4">
        <f>VLOOKUP($A4,'Scouting Output'!$A$3:$AM$42,39,FALSE)</f>
        <v>0.91333333333333366</v>
      </c>
      <c r="F4">
        <f>VLOOKUP($A4, 'Scouting Output'!$A$3:$AM50, 30, FALSE)</f>
        <v>0.88888888888888884</v>
      </c>
      <c r="G4">
        <f>VLOOKUP($A4, 'Scouting Output'!$A$3:$AM$42, 3, FALSE)</f>
        <v>14.888888888888889</v>
      </c>
      <c r="L4">
        <f>'Scouting Output'!A22</f>
        <v>5036</v>
      </c>
      <c r="M4" t="str">
        <f>'Scouting Output'!$B5</f>
        <v>MMRambotics</v>
      </c>
      <c r="N4">
        <f>VLOOKUP(L4,'Scouting Output'!$A$3:$AM$42,37,FALSE)</f>
        <v>1.4600000000000004</v>
      </c>
      <c r="O4">
        <f>VLOOKUP(L4,'Scouting Output'!$A$3:$AM$42,38,FALSE)</f>
        <v>-1.45</v>
      </c>
      <c r="P4">
        <f>VLOOKUP(L4,'Scouting Output'!$A$3:$AM$42,39,FALSE)</f>
        <v>3.0960000000000001</v>
      </c>
      <c r="Q4">
        <f>VLOOKUP(L4,'Scouting Output'!$A$3:$AM$42,30,FALSE)</f>
        <v>0.8</v>
      </c>
      <c r="R4">
        <f>VLOOKUP(L4, 'Scouting Output'!$A$3:$AM$42, 3, FALSE)</f>
        <v>15.399999999999999</v>
      </c>
      <c r="T4">
        <f>'Scouting Output'!$A5</f>
        <v>2200</v>
      </c>
      <c r="U4" t="str">
        <f>'Scouting Output'!$B5</f>
        <v>MMRambotics</v>
      </c>
      <c r="V4">
        <f>VLOOKUP(T4,'Scouting Output'!$A$3:$AM$42,37,FALSE)</f>
        <v>8.9975000000000005</v>
      </c>
      <c r="W4">
        <f>VLOOKUP(T4,'Scouting Output'!$A$3:$AM$42,38,FALSE)</f>
        <v>1.1875</v>
      </c>
      <c r="X4">
        <f>VLOOKUP(T4,'Scouting Output'!$A$3:$AM$42,39,FALSE)</f>
        <v>2.3774999999999999</v>
      </c>
      <c r="Y4">
        <f>VLOOKUP(T4,'Scouting Output'!$A$3:$AM$42,30,FALSE)</f>
        <v>2.625</v>
      </c>
      <c r="Z4">
        <f>VLOOKUP(T4, 'Scouting Output'!$A$3:$AM$42, 3, FALSE)</f>
        <v>28.125</v>
      </c>
    </row>
    <row r="5" spans="1:26">
      <c r="A5">
        <f>'Scouting Output'!A25</f>
        <v>5885</v>
      </c>
      <c r="B5" t="str">
        <f>'Scouting Output'!B25</f>
        <v>Villanova WiredCats</v>
      </c>
      <c r="C5">
        <f>VLOOKUP($A5,'Scouting Output'!$A$3:$AM$42,37,FALSE)</f>
        <v>8.2777777777777768</v>
      </c>
      <c r="D5">
        <f>VLOOKUP($A5,'Scouting Output'!$A$3:$AM$42,38,FALSE)</f>
        <v>1.6111111111111112</v>
      </c>
      <c r="E5">
        <f>VLOOKUP($A5,'Scouting Output'!$A$3:$AM$42,39,FALSE)</f>
        <v>-0.55000000000000004</v>
      </c>
      <c r="F5">
        <f>VLOOKUP($A5, 'Scouting Output'!$A$3:$AM44, 30, FALSE)</f>
        <v>3</v>
      </c>
      <c r="G5">
        <f>VLOOKUP($A5, 'Scouting Output'!$A$3:$AM$42, 3, FALSE)</f>
        <v>23.666666666666664</v>
      </c>
      <c r="L5">
        <f>'Scouting Output'!A6</f>
        <v>2386</v>
      </c>
      <c r="M5" t="str">
        <f>'Scouting Output'!$B6</f>
        <v>Trojans</v>
      </c>
      <c r="N5">
        <f>VLOOKUP(L5,'Scouting Output'!$A$3:$AM$42,37,FALSE)</f>
        <v>8.2222222222222214</v>
      </c>
      <c r="O5">
        <f>VLOOKUP(L5,'Scouting Output'!$A$3:$AM$42,38,FALSE)</f>
        <v>-0.55555555555555536</v>
      </c>
      <c r="P5">
        <f>VLOOKUP(L5,'Scouting Output'!$A$3:$AM$42,39,FALSE)</f>
        <v>2.9722222222222219</v>
      </c>
      <c r="Q5">
        <f>VLOOKUP(L5,'Scouting Output'!$A$3:$AM$42,30,FALSE)</f>
        <v>3</v>
      </c>
      <c r="R5">
        <f>VLOOKUP(L5, 'Scouting Output'!$A$3:$AM$42, 3, FALSE)</f>
        <v>28</v>
      </c>
      <c r="T5">
        <f>'Scouting Output'!$A6</f>
        <v>2386</v>
      </c>
      <c r="U5" t="str">
        <f>'Scouting Output'!$B6</f>
        <v>Trojans</v>
      </c>
      <c r="V5">
        <f>VLOOKUP(T5,'Scouting Output'!$A$3:$AM$42,37,FALSE)</f>
        <v>8.2222222222222214</v>
      </c>
      <c r="W5">
        <f>VLOOKUP(T5,'Scouting Output'!$A$3:$AM$42,38,FALSE)</f>
        <v>-0.55555555555555536</v>
      </c>
      <c r="X5">
        <f>VLOOKUP(T5,'Scouting Output'!$A$3:$AM$42,39,FALSE)</f>
        <v>2.9722222222222219</v>
      </c>
      <c r="Y5">
        <f>VLOOKUP(T5,'Scouting Output'!$A$3:$AM$42,30,FALSE)</f>
        <v>3</v>
      </c>
      <c r="Z5">
        <f>VLOOKUP(T5, 'Scouting Output'!$A$3:$AM$42, 3, FALSE)</f>
        <v>28</v>
      </c>
    </row>
    <row r="6" spans="1:26">
      <c r="A6">
        <f>'Scouting Output'!A5</f>
        <v>2200</v>
      </c>
      <c r="B6" t="str">
        <f>'Scouting Output'!B5</f>
        <v>MMRambotics</v>
      </c>
      <c r="C6">
        <f>VLOOKUP($A6,'Scouting Output'!$A$3:$AM$42,37,FALSE)</f>
        <v>8.9975000000000005</v>
      </c>
      <c r="D6">
        <f>VLOOKUP($A6,'Scouting Output'!$A$3:$AM$42,38,FALSE)</f>
        <v>1.1875</v>
      </c>
      <c r="E6">
        <f>VLOOKUP($A6,'Scouting Output'!$A$3:$AM$42,39,FALSE)</f>
        <v>2.3774999999999999</v>
      </c>
      <c r="F6">
        <f>VLOOKUP($A6, 'Scouting Output'!$A$3:$AM42, 30, FALSE)</f>
        <v>2.625</v>
      </c>
      <c r="G6">
        <f>VLOOKUP($A6, 'Scouting Output'!$A$3:$AM$42, 3, FALSE)</f>
        <v>28.125</v>
      </c>
      <c r="I6" t="s">
        <v>323</v>
      </c>
      <c r="L6">
        <f>'Scouting Output'!A36</f>
        <v>7267</v>
      </c>
      <c r="M6" t="str">
        <f>'Scouting Output'!$B7</f>
        <v>Lake Effect Robotics</v>
      </c>
      <c r="N6">
        <f>VLOOKUP(L6,'Scouting Output'!$A$3:$AM$42,37,FALSE)</f>
        <v>1.3488888888888892</v>
      </c>
      <c r="O6">
        <f>VLOOKUP(L6,'Scouting Output'!$A$3:$AM$42,38,FALSE)</f>
        <v>-1</v>
      </c>
      <c r="P6">
        <f>VLOOKUP(L6,'Scouting Output'!$A$3:$AM$42,39,FALSE)</f>
        <v>2.8833333333333333</v>
      </c>
      <c r="Q6">
        <f>VLOOKUP(L6,'Scouting Output'!$A$3:$AM$42,30,FALSE)</f>
        <v>0.44444444444444442</v>
      </c>
      <c r="R6">
        <f>VLOOKUP(L6, 'Scouting Output'!$A$3:$AM$42, 3, FALSE)</f>
        <v>13.888888888888891</v>
      </c>
      <c r="T6">
        <f>'Scouting Output'!$A7</f>
        <v>2708</v>
      </c>
      <c r="U6" t="str">
        <f>'Scouting Output'!$B7</f>
        <v>Lake Effect Robotics</v>
      </c>
      <c r="V6">
        <f>VLOOKUP(T6,'Scouting Output'!$A$3:$AM$42,37,FALSE)</f>
        <v>-22.4</v>
      </c>
      <c r="W6">
        <f>VLOOKUP(T6,'Scouting Output'!$A$3:$AM$42,38,FALSE)</f>
        <v>-3.8125</v>
      </c>
      <c r="X6">
        <f>VLOOKUP(T6,'Scouting Output'!$A$3:$AM$42,39,FALSE)</f>
        <v>-0.78</v>
      </c>
      <c r="Y6">
        <f>VLOOKUP(T6,'Scouting Output'!$A$3:$AM$42,30,FALSE)</f>
        <v>0.75</v>
      </c>
      <c r="Z6">
        <f>VLOOKUP(T6, 'Scouting Output'!$A$3:$AM$42, 3, FALSE)</f>
        <v>4.625</v>
      </c>
    </row>
    <row r="7" spans="1:26">
      <c r="A7">
        <f>'Scouting Output'!A28</f>
        <v>6135</v>
      </c>
      <c r="B7" t="str">
        <f>'Scouting Output'!B28</f>
        <v>Arctos</v>
      </c>
      <c r="C7">
        <f>VLOOKUP($A7,'Scouting Output'!$A$3:$AM$42,37,FALSE)</f>
        <v>3.5022222222222226</v>
      </c>
      <c r="D7">
        <f>VLOOKUP($A7,'Scouting Output'!$A$3:$AM$42,38,FALSE)</f>
        <v>0.55555555555555558</v>
      </c>
      <c r="E7">
        <f>VLOOKUP($A7,'Scouting Output'!$A$3:$AM$42,39,FALSE)</f>
        <v>2.2244444444444444</v>
      </c>
      <c r="F7">
        <f>VLOOKUP($A7, 'Scouting Output'!$A$3:$AM51, 30, FALSE)</f>
        <v>1.1111111111111112</v>
      </c>
      <c r="G7">
        <f>VLOOKUP($A7, 'Scouting Output'!$A$3:$AM$42, 3, FALSE)</f>
        <v>18.666666666666664</v>
      </c>
      <c r="I7">
        <v>2386</v>
      </c>
      <c r="L7">
        <f>'Scouting Output'!A13</f>
        <v>4476</v>
      </c>
      <c r="M7" t="str">
        <f>'Scouting Output'!$B8</f>
        <v>DM High Voltage</v>
      </c>
      <c r="N7">
        <f>VLOOKUP(L7,'Scouting Output'!$A$3:$AM$42,37,FALSE)</f>
        <v>3.7345454545454548</v>
      </c>
      <c r="O7">
        <f>VLOOKUP(L7,'Scouting Output'!$A$3:$AM$42,38,FALSE)</f>
        <v>0.5454545454545453</v>
      </c>
      <c r="P7">
        <f>VLOOKUP(L7,'Scouting Output'!$A$3:$AM$42,39,FALSE)</f>
        <v>2.8927272727272726</v>
      </c>
      <c r="Q7">
        <f>VLOOKUP(L7,'Scouting Output'!$A$3:$AM$42,30,FALSE)</f>
        <v>0.54545454545454541</v>
      </c>
      <c r="R7">
        <f>VLOOKUP(L7, 'Scouting Output'!$A$3:$AM$42, 3, FALSE)</f>
        <v>18.36363636363636</v>
      </c>
      <c r="T7">
        <f>'Scouting Output'!$A8</f>
        <v>2852</v>
      </c>
      <c r="U7" t="str">
        <f>'Scouting Output'!$B8</f>
        <v>DM High Voltage</v>
      </c>
      <c r="V7">
        <f>VLOOKUP(T7,'Scouting Output'!$A$3:$AM$42,37,FALSE)</f>
        <v>0.95142857142857151</v>
      </c>
      <c r="W7">
        <f>VLOOKUP(T7,'Scouting Output'!$A$3:$AM$42,38,FALSE)</f>
        <v>-1.214285714285714</v>
      </c>
      <c r="X7">
        <f>VLOOKUP(T7,'Scouting Output'!$A$3:$AM$42,39,FALSE)</f>
        <v>-1.1771428571428573</v>
      </c>
      <c r="Y7">
        <f>VLOOKUP(T7,'Scouting Output'!$A$3:$AM$42,30,FALSE)</f>
        <v>0.7142857142857143</v>
      </c>
      <c r="Z7">
        <f>VLOOKUP(T7, 'Scouting Output'!$A$3:$AM$42, 3, FALSE)</f>
        <v>9.2857142857142847</v>
      </c>
    </row>
    <row r="8" spans="1:26">
      <c r="A8">
        <f>'Scouting Output'!A33</f>
        <v>6867</v>
      </c>
      <c r="B8" t="str">
        <f>'Scouting Output'!B33</f>
        <v>Panthera Tech</v>
      </c>
      <c r="C8">
        <f>VLOOKUP($A8,'Scouting Output'!$A$3:$AM$42,37,FALSE)</f>
        <v>2.8472727272727267</v>
      </c>
      <c r="D8">
        <f>VLOOKUP($A8,'Scouting Output'!$A$3:$AM$42,38,FALSE)</f>
        <v>0.36363636363636287</v>
      </c>
      <c r="E8">
        <f>VLOOKUP($A8,'Scouting Output'!$A$3:$AM$42,39,FALSE)</f>
        <v>-0.35818181818181821</v>
      </c>
      <c r="F8">
        <f>VLOOKUP($A8, 'Scouting Output'!$A$3:$AM49, 30, FALSE)</f>
        <v>1.4545454545454546</v>
      </c>
      <c r="G8">
        <f>VLOOKUP($A8, 'Scouting Output'!$A$3:$AM$42, 3, FALSE)</f>
        <v>16.818181818181817</v>
      </c>
      <c r="I8">
        <v>4946</v>
      </c>
      <c r="L8">
        <f>'Scouting Output'!A5</f>
        <v>2200</v>
      </c>
      <c r="M8" t="str">
        <f>'Scouting Output'!$B9</f>
        <v>ASTECHZ</v>
      </c>
      <c r="N8">
        <f>VLOOKUP(L8,'Scouting Output'!$A$3:$AM$42,37,FALSE)</f>
        <v>8.9975000000000005</v>
      </c>
      <c r="O8">
        <f>VLOOKUP(L8,'Scouting Output'!$A$3:$AM$42,38,FALSE)</f>
        <v>1.1875</v>
      </c>
      <c r="P8">
        <f>VLOOKUP(L8,'Scouting Output'!$A$3:$AM$42,39,FALSE)</f>
        <v>2.3774999999999999</v>
      </c>
      <c r="Q8">
        <f>VLOOKUP(L8,'Scouting Output'!$A$3:$AM$42,30,FALSE)</f>
        <v>2.625</v>
      </c>
      <c r="R8">
        <f>VLOOKUP(L8, 'Scouting Output'!$A$3:$AM$42, 3, FALSE)</f>
        <v>28.125</v>
      </c>
      <c r="T8">
        <f>'Scouting Output'!$A9</f>
        <v>2994</v>
      </c>
      <c r="U8" t="str">
        <f>'Scouting Output'!$B9</f>
        <v>ASTECHZ</v>
      </c>
      <c r="V8">
        <f>VLOOKUP(T8,'Scouting Output'!$A$3:$AM$42,37,FALSE)</f>
        <v>-5.799999999999994E-2</v>
      </c>
      <c r="W8">
        <f>VLOOKUP(T8,'Scouting Output'!$A$3:$AM$42,38,FALSE)</f>
        <v>-3.45</v>
      </c>
      <c r="X8">
        <f>VLOOKUP(T8,'Scouting Output'!$A$3:$AM$42,39,FALSE)</f>
        <v>0.70099999999999996</v>
      </c>
      <c r="Y8">
        <f>VLOOKUP(T8,'Scouting Output'!$A$3:$AM$42,30,FALSE)</f>
        <v>1.6</v>
      </c>
      <c r="Z8">
        <f>VLOOKUP(T8, 'Scouting Output'!$A$3:$AM$42, 3, FALSE)</f>
        <v>13.799999999999999</v>
      </c>
    </row>
    <row r="9" spans="1:26">
      <c r="A9">
        <f>'Scouting Output'!A13</f>
        <v>4476</v>
      </c>
      <c r="B9" t="str">
        <f>'Scouting Output'!B13</f>
        <v>W.A.F.F.L.E.S</v>
      </c>
      <c r="C9">
        <f>VLOOKUP($A9,'Scouting Output'!$A$3:$AM$42,37,FALSE)</f>
        <v>3.7345454545454548</v>
      </c>
      <c r="D9">
        <f>VLOOKUP($A9,'Scouting Output'!$A$3:$AM$42,38,FALSE)</f>
        <v>0.5454545454545453</v>
      </c>
      <c r="E9">
        <f>VLOOKUP($A9,'Scouting Output'!$A$3:$AM$42,39,FALSE)</f>
        <v>2.8927272727272726</v>
      </c>
      <c r="F9">
        <f>VLOOKUP($A9, 'Scouting Output'!$A$3:$AM54, 30, FALSE)</f>
        <v>0.54545454545454541</v>
      </c>
      <c r="G9">
        <f>VLOOKUP($A9, 'Scouting Output'!$A$3:$AM$42, 3, FALSE)</f>
        <v>18.36363636363636</v>
      </c>
      <c r="I9" s="125">
        <v>2994</v>
      </c>
      <c r="J9" t="s">
        <v>324</v>
      </c>
      <c r="L9">
        <f>'Scouting Output'!A4</f>
        <v>610</v>
      </c>
      <c r="M9" t="str">
        <f>'Scouting Output'!$B10</f>
        <v>Mustang Robotics</v>
      </c>
      <c r="N9">
        <f>VLOOKUP(L9,'Scouting Output'!$A$3:$AM$42,37,FALSE)</f>
        <v>4.522222222222223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3571</v>
      </c>
      <c r="U9" t="str">
        <f>'Scouting Output'!$B10</f>
        <v>Mustang Robotics</v>
      </c>
      <c r="V9">
        <f>VLOOKUP(T9,'Scouting Output'!$A$3:$AM$42,37,FALSE)</f>
        <v>-1.1875</v>
      </c>
      <c r="W9">
        <f>VLOOKUP(T9,'Scouting Output'!$A$3:$AM$42,38,FALSE)</f>
        <v>-1.1875</v>
      </c>
      <c r="X9">
        <f>VLOOKUP(T9,'Scouting Output'!$A$3:$AM$42,39,FALSE)</f>
        <v>-1.12375</v>
      </c>
      <c r="Y9">
        <f>VLOOKUP(T9,'Scouting Output'!$A$3:$AM$42,30,FALSE)</f>
        <v>0.5</v>
      </c>
      <c r="Z9">
        <f>VLOOKUP(T9, 'Scouting Output'!$A$3:$AM$42, 3, FALSE)</f>
        <v>5.25</v>
      </c>
    </row>
    <row r="10" spans="1:26">
      <c r="A10">
        <f>'Scouting Output'!A42</f>
        <v>7735</v>
      </c>
      <c r="B10" t="str">
        <f>'Scouting Output'!B42</f>
        <v>Miliken Mills H.S.</v>
      </c>
      <c r="C10">
        <f>VLOOKUP($A10,'Scouting Output'!$A$3:$AM$42,37,FALSE)</f>
        <v>2.0379999999999998</v>
      </c>
      <c r="D10">
        <f>VLOOKUP($A10,'Scouting Output'!$A$3:$AM$42,38,FALSE)</f>
        <v>-0.3</v>
      </c>
      <c r="E10">
        <f>VLOOKUP($A10,'Scouting Output'!$A$3:$AM$42,39,FALSE)</f>
        <v>1.5030000000000001</v>
      </c>
      <c r="F10">
        <f>VLOOKUP($A10, 'Scouting Output'!$A$3:$AM58, 30, FALSE)</f>
        <v>0.8</v>
      </c>
      <c r="G10">
        <f>VLOOKUP($A10, 'Scouting Output'!$A$3:$AM$42, 3, FALSE)</f>
        <v>12.700000000000001</v>
      </c>
      <c r="L10">
        <f>'Scouting Output'!A28</f>
        <v>6135</v>
      </c>
      <c r="M10" t="str">
        <f>'Scouting Output'!$B11</f>
        <v>Jag</v>
      </c>
      <c r="N10">
        <f>VLOOKUP(L10,'Scouting Output'!$A$3:$AM$42,37,FALSE)</f>
        <v>3.5022222222222226</v>
      </c>
      <c r="O10">
        <f>VLOOKUP(L10,'Scouting Output'!$A$3:$AM$42,38,FALSE)</f>
        <v>0.55555555555555558</v>
      </c>
      <c r="P10">
        <f>VLOOKUP(L10,'Scouting Output'!$A$3:$AM$42,39,FALSE)</f>
        <v>2.2244444444444444</v>
      </c>
      <c r="Q10">
        <f>VLOOKUP(L10,'Scouting Output'!$A$3:$AM$42,30,FALSE)</f>
        <v>1.1111111111111112</v>
      </c>
      <c r="R10">
        <f>VLOOKUP(L10, 'Scouting Output'!$A$3:$AM$42, 3, FALSE)</f>
        <v>18.666666666666664</v>
      </c>
      <c r="T10">
        <f>'Scouting Output'!$A11</f>
        <v>4015</v>
      </c>
      <c r="U10" t="str">
        <f>'Scouting Output'!$B11</f>
        <v>Jag</v>
      </c>
      <c r="V10">
        <f>VLOOKUP(T10,'Scouting Output'!$A$3:$AM$42,37,FALSE)</f>
        <v>-0.82799999999999985</v>
      </c>
      <c r="W10">
        <f>VLOOKUP(T10,'Scouting Output'!$A$3:$AM$42,38,FALSE)</f>
        <v>-2.85</v>
      </c>
      <c r="X10">
        <f>VLOOKUP(T10,'Scouting Output'!$A$3:$AM$42,39,FALSE)</f>
        <v>-7.2999999999999843E-2</v>
      </c>
      <c r="Y10">
        <f>VLOOKUP(T10,'Scouting Output'!$A$3:$AM$42,30,FALSE)</f>
        <v>0.5</v>
      </c>
      <c r="Z10">
        <f>VLOOKUP(T10, 'Scouting Output'!$A$3:$AM$42, 3, FALSE)</f>
        <v>9.3000000000000007</v>
      </c>
    </row>
    <row r="11" spans="1:26">
      <c r="A11">
        <f>'Scouting Output'!A19</f>
        <v>4936</v>
      </c>
      <c r="B11" t="str">
        <f>'Scouting Output'!B19</f>
        <v>Viral Vortex</v>
      </c>
      <c r="C11">
        <f>VLOOKUP($A11,'Scouting Output'!$A$3:$AM$42,37,FALSE)</f>
        <v>1.6800000000000002</v>
      </c>
      <c r="D11">
        <f>VLOOKUP($A11,'Scouting Output'!$A$3:$AM$42,38,FALSE)</f>
        <v>-0.3125</v>
      </c>
      <c r="E11">
        <f>VLOOKUP($A11,'Scouting Output'!$A$3:$AM$42,39,FALSE)</f>
        <v>1.00125</v>
      </c>
      <c r="F11">
        <f>VLOOKUP($A11, 'Scouting Output'!$A$3:$AM57, 30, FALSE)</f>
        <v>0.875</v>
      </c>
      <c r="G11">
        <f>VLOOKUP($A11, 'Scouting Output'!$A$3:$AM$42, 3, FALSE)</f>
        <v>14.875</v>
      </c>
      <c r="L11">
        <f>'Scouting Output'!A23</f>
        <v>5409</v>
      </c>
      <c r="M11" t="str">
        <f>'Scouting Output'!$B12</f>
        <v>Hoya Robotics</v>
      </c>
      <c r="N11">
        <f>VLOOKUP(L11,'Scouting Output'!$A$3:$AM$42,37,FALSE)</f>
        <v>0.98222222222222266</v>
      </c>
      <c r="O11">
        <f>VLOOKUP(L11,'Scouting Output'!$A$3:$AM$42,38,FALSE)</f>
        <v>-0.94444444444444442</v>
      </c>
      <c r="P11">
        <f>VLOOKUP(L11,'Scouting Output'!$A$3:$AM$42,39,FALSE)</f>
        <v>2.1344444444444446</v>
      </c>
      <c r="Q11">
        <f>VLOOKUP(L11,'Scouting Output'!$A$3:$AM$42,30,FALSE)</f>
        <v>0.77777777777777779</v>
      </c>
      <c r="R11">
        <f>VLOOKUP(L11, 'Scouting Output'!$A$3:$AM$42, 3, FALSE)</f>
        <v>13.222222222222221</v>
      </c>
      <c r="T11">
        <f>'Scouting Output'!$A12</f>
        <v>4152</v>
      </c>
      <c r="U11" t="str">
        <f>'Scouting Output'!$B12</f>
        <v>Hoya Robotics</v>
      </c>
      <c r="V11">
        <f>VLOOKUP(T11,'Scouting Output'!$A$3:$AM$42,37,FALSE)</f>
        <v>5.0419999999999998</v>
      </c>
      <c r="W11">
        <f>VLOOKUP(T11,'Scouting Output'!$A$3:$AM$42,38,FALSE)</f>
        <v>3.3000000000000007</v>
      </c>
      <c r="X11">
        <f>VLOOKUP(T11,'Scouting Output'!$A$3:$AM$42,39,FALSE)</f>
        <v>1.1260000000000001</v>
      </c>
      <c r="Y11">
        <f>VLOOKUP(T11,'Scouting Output'!$A$3:$AM$42,30,FALSE)</f>
        <v>1.6</v>
      </c>
      <c r="Z11">
        <f>VLOOKUP(T11, 'Scouting Output'!$A$3:$AM$42, 3, FALSE)</f>
        <v>19.8</v>
      </c>
    </row>
    <row r="12" spans="1:26">
      <c r="A12">
        <f>'Scouting Output'!A3</f>
        <v>188</v>
      </c>
      <c r="B12" t="str">
        <f>'Scouting Output'!B3</f>
        <v>Blizzard</v>
      </c>
      <c r="C12">
        <f>VLOOKUP($A12,'Scouting Output'!$A$3:$AM$42,37,FALSE)</f>
        <v>4.1111111111111116</v>
      </c>
      <c r="D12">
        <f>VLOOKUP($A12,'Scouting Output'!$A$3:$AM$42,38,FALSE)</f>
        <v>-0.38888888888888884</v>
      </c>
      <c r="E12">
        <f>VLOOKUP($A12,'Scouting Output'!$A$3:$AM$42,39,FALSE)</f>
        <v>3.5555555555555554</v>
      </c>
      <c r="F12">
        <f>VLOOKUP($A12, 'Scouting Output'!$A$3:$AM46, 30, FALSE)</f>
        <v>0.66666666666666663</v>
      </c>
      <c r="G12">
        <f>VLOOKUP($A12, 'Scouting Output'!$A$3:$AM$42, 3, FALSE)</f>
        <v>18.777777777777779</v>
      </c>
      <c r="L12">
        <f>'Scouting Output'!A32</f>
        <v>6866</v>
      </c>
      <c r="M12" t="str">
        <f>'Scouting Output'!$B13</f>
        <v>W.A.F.F.L.E.S</v>
      </c>
      <c r="N12">
        <f>VLOOKUP(L12,'Scouting Output'!$A$3:$AM$42,37,FALSE)</f>
        <v>1.7324999999999999</v>
      </c>
      <c r="O12">
        <f>VLOOKUP(L12,'Scouting Output'!$A$3:$AM$42,38,FALSE)</f>
        <v>-1</v>
      </c>
      <c r="P12">
        <f>VLOOKUP(L12,'Scouting Output'!$A$3:$AM$42,39,FALSE)</f>
        <v>1.8824999999999998</v>
      </c>
      <c r="Q12">
        <f>VLOOKUP(L12,'Scouting Output'!$A$3:$AM$42,30,FALSE)</f>
        <v>0.875</v>
      </c>
      <c r="R12">
        <f>VLOOKUP(L12, 'Scouting Output'!$A$3:$AM$42, 3, FALSE)</f>
        <v>13.75</v>
      </c>
      <c r="T12">
        <f>'Scouting Output'!$A13</f>
        <v>4476</v>
      </c>
      <c r="U12" t="str">
        <f>'Scouting Output'!$B13</f>
        <v>W.A.F.F.L.E.S</v>
      </c>
      <c r="V12">
        <f>VLOOKUP(T12,'Scouting Output'!$A$3:$AM$42,37,FALSE)</f>
        <v>3.7345454545454548</v>
      </c>
      <c r="W12">
        <f>VLOOKUP(T12,'Scouting Output'!$A$3:$AM$42,38,FALSE)</f>
        <v>0.5454545454545453</v>
      </c>
      <c r="X12">
        <f>VLOOKUP(T12,'Scouting Output'!$A$3:$AM$42,39,FALSE)</f>
        <v>2.8927272727272726</v>
      </c>
      <c r="Y12">
        <f>VLOOKUP(T12,'Scouting Output'!$A$3:$AM$42,30,FALSE)</f>
        <v>0.54545454545454541</v>
      </c>
      <c r="Z12">
        <f>VLOOKUP(T12, 'Scouting Output'!$A$3:$AM$42, 3, FALSE)</f>
        <v>18.36363636363636</v>
      </c>
    </row>
    <row r="13" spans="1:26">
      <c r="A13">
        <f>'Scouting Output'!A14</f>
        <v>4519</v>
      </c>
      <c r="B13" t="str">
        <f>'Scouting Output'!B14</f>
        <v>King's Robotics</v>
      </c>
      <c r="C13">
        <f>VLOOKUP($A13,'Scouting Output'!$A$3:$AM$42,37,FALSE)</f>
        <v>1.5466666666666669</v>
      </c>
      <c r="D13">
        <f>VLOOKUP($A13,'Scouting Output'!$A$3:$AM$42,38,FALSE)</f>
        <v>-0.44444444444444442</v>
      </c>
      <c r="E13">
        <f>VLOOKUP($A13,'Scouting Output'!$A$3:$AM$42,39,FALSE)</f>
        <v>0.77444444444444449</v>
      </c>
      <c r="F13">
        <f>VLOOKUP($A13, 'Scouting Output'!$A$3:$AM55, 30, FALSE)</f>
        <v>1.2222222222222223</v>
      </c>
      <c r="G13">
        <f>VLOOKUP($A13, 'Scouting Output'!$A$3:$AM$42, 3, FALSE)</f>
        <v>12.444444444444446</v>
      </c>
      <c r="L13">
        <f>'Scouting Output'!A38</f>
        <v>7614</v>
      </c>
      <c r="M13" t="str">
        <f>'Scouting Output'!$B14</f>
        <v>King's Robotics</v>
      </c>
      <c r="N13">
        <f>VLOOKUP(L13,'Scouting Output'!$A$3:$AM$42,37,FALSE)</f>
        <v>0.65500000000000003</v>
      </c>
      <c r="O13">
        <f>VLOOKUP(L13,'Scouting Output'!$A$3:$AM$42,38,FALSE)</f>
        <v>-0.9375</v>
      </c>
      <c r="P13">
        <f>VLOOKUP(L13,'Scouting Output'!$A$3:$AM$42,39,FALSE)</f>
        <v>1.5625</v>
      </c>
      <c r="Q13">
        <f>VLOOKUP(L13,'Scouting Output'!$A$3:$AM$42,30,FALSE)</f>
        <v>0.75</v>
      </c>
      <c r="R13">
        <f>VLOOKUP(L13, 'Scouting Output'!$A$3:$AM$42, 3, FALSE)</f>
        <v>11</v>
      </c>
      <c r="T13">
        <f>'Scouting Output'!$A14</f>
        <v>4519</v>
      </c>
      <c r="U13" t="str">
        <f>'Scouting Output'!$B14</f>
        <v>King's Robotics</v>
      </c>
      <c r="V13">
        <f>VLOOKUP(T13,'Scouting Output'!$A$3:$AM$42,37,FALSE)</f>
        <v>1.5466666666666669</v>
      </c>
      <c r="W13">
        <f>VLOOKUP(T13,'Scouting Output'!$A$3:$AM$42,38,FALSE)</f>
        <v>-0.44444444444444442</v>
      </c>
      <c r="X13">
        <f>VLOOKUP(T13,'Scouting Output'!$A$3:$AM$42,39,FALSE)</f>
        <v>0.77444444444444449</v>
      </c>
      <c r="Y13">
        <f>VLOOKUP(T13,'Scouting Output'!$A$3:$AM$42,30,FALSE)</f>
        <v>1.2222222222222223</v>
      </c>
      <c r="Z13">
        <f>VLOOKUP(T13, 'Scouting Output'!$A$3:$AM$42, 3, FALSE)</f>
        <v>12.444444444444446</v>
      </c>
    </row>
    <row r="14" spans="1:26">
      <c r="A14">
        <f>'Scouting Output'!A24</f>
        <v>5426</v>
      </c>
      <c r="B14" t="str">
        <f>'Scouting Output'!B24</f>
        <v>E.J. Lajeunesse</v>
      </c>
      <c r="C14">
        <f>VLOOKUP($A14,'Scouting Output'!$A$3:$AM$42,37,FALSE)</f>
        <v>1.2819999999999998</v>
      </c>
      <c r="D14">
        <f>VLOOKUP($A14,'Scouting Output'!$A$3:$AM$42,38,FALSE)</f>
        <v>-0.45</v>
      </c>
      <c r="E14">
        <f>VLOOKUP($A14,'Scouting Output'!$A$3:$AM$42,39,FALSE)</f>
        <v>-0.29700000000000004</v>
      </c>
      <c r="F14">
        <f>VLOOKUP($A14, 'Scouting Output'!$A$3:$AM52, 30, FALSE)</f>
        <v>0.7</v>
      </c>
      <c r="G14">
        <f>VLOOKUP($A14, 'Scouting Output'!$A$3:$AM$42, 3, FALSE)</f>
        <v>9.9999999999999982</v>
      </c>
      <c r="L14">
        <f>'Scouting Output'!A42</f>
        <v>7735</v>
      </c>
      <c r="M14" t="str">
        <f>'Scouting Output'!$B15</f>
        <v>Renaissance Robotics</v>
      </c>
      <c r="N14">
        <f>VLOOKUP(L14,'Scouting Output'!$A$3:$AM$42,37,FALSE)</f>
        <v>2.0379999999999998</v>
      </c>
      <c r="O14">
        <f>VLOOKUP(L14,'Scouting Output'!$A$3:$AM$42,38,FALSE)</f>
        <v>-0.3</v>
      </c>
      <c r="P14">
        <f>VLOOKUP(L14,'Scouting Output'!$A$3:$AM$42,39,FALSE)</f>
        <v>1.5030000000000001</v>
      </c>
      <c r="Q14">
        <f>VLOOKUP(L14,'Scouting Output'!$A$3:$AM$42,30,FALSE)</f>
        <v>0.8</v>
      </c>
      <c r="R14">
        <f>VLOOKUP(L14, 'Scouting Output'!$A$3:$AM$42, 3, FALSE)</f>
        <v>12.700000000000001</v>
      </c>
      <c r="T14">
        <f>'Scouting Output'!$A15</f>
        <v>4525</v>
      </c>
      <c r="U14" t="str">
        <f>'Scouting Output'!$B15</f>
        <v>Renaissance Robotics</v>
      </c>
      <c r="V14">
        <f>VLOOKUP(T14,'Scouting Output'!$A$3:$AM$42,37,FALSE)</f>
        <v>-1.23</v>
      </c>
      <c r="W14">
        <f>VLOOKUP(T14,'Scouting Output'!$A$3:$AM$42,38,FALSE)</f>
        <v>-3.3125</v>
      </c>
      <c r="X14">
        <f>VLOOKUP(T14,'Scouting Output'!$A$3:$AM$42,39,FALSE)</f>
        <v>-0.49375000000000002</v>
      </c>
      <c r="Y14">
        <f>VLOOKUP(T14,'Scouting Output'!$A$3:$AM$42,30,FALSE)</f>
        <v>0.75</v>
      </c>
      <c r="Z14">
        <f>VLOOKUP(T14, 'Scouting Output'!$A$3:$AM$42, 3, FALSE)</f>
        <v>7</v>
      </c>
    </row>
    <row r="15" spans="1:26">
      <c r="A15">
        <f>'Scouting Output'!A6</f>
        <v>2386</v>
      </c>
      <c r="B15" t="str">
        <f>'Scouting Output'!B6</f>
        <v>Trojans</v>
      </c>
      <c r="C15">
        <f>VLOOKUP($A15,'Scouting Output'!$A$3:$AM$42,37,FALSE)</f>
        <v>8.2222222222222214</v>
      </c>
      <c r="D15">
        <f>VLOOKUP($A15,'Scouting Output'!$A$3:$AM$42,38,FALSE)</f>
        <v>-0.55555555555555536</v>
      </c>
      <c r="E15">
        <f>VLOOKUP($A15,'Scouting Output'!$A$3:$AM$42,39,FALSE)</f>
        <v>2.9722222222222219</v>
      </c>
      <c r="F15">
        <f>VLOOKUP($A15, 'Scouting Output'!$A$3:$AM43, 30, FALSE)</f>
        <v>3</v>
      </c>
      <c r="G15">
        <f>VLOOKUP($A15, 'Scouting Output'!$A$3:$AM$42, 3, FALSE)</f>
        <v>28</v>
      </c>
      <c r="L15">
        <f>'Scouting Output'!A20</f>
        <v>4946</v>
      </c>
      <c r="M15" t="str">
        <f>'Scouting Output'!$B16</f>
        <v>Northern Lights Robotics</v>
      </c>
      <c r="N15">
        <f>VLOOKUP(L15,'Scouting Output'!$A$3:$AM$42,37,FALSE)</f>
        <v>2.804444444444445</v>
      </c>
      <c r="O15">
        <f>VLOOKUP(L15,'Scouting Output'!$A$3:$AM$42,38,FALSE)</f>
        <v>1.2777777777777781</v>
      </c>
      <c r="P15">
        <f>VLOOKUP(L15,'Scouting Output'!$A$3:$AM$42,39,FALSE)</f>
        <v>0.91333333333333366</v>
      </c>
      <c r="Q15">
        <f>VLOOKUP(L15,'Scouting Output'!$A$3:$AM$42,30,FALSE)</f>
        <v>0.88888888888888884</v>
      </c>
      <c r="R15">
        <f>VLOOKUP(L15, 'Scouting Output'!$A$3:$AM$42, 3, FALSE)</f>
        <v>14.888888888888889</v>
      </c>
      <c r="T15">
        <f>'Scouting Output'!$A16</f>
        <v>4704</v>
      </c>
      <c r="U15" t="str">
        <f>'Scouting Output'!$B16</f>
        <v>Northern Lights Robotics</v>
      </c>
      <c r="V15">
        <f>VLOOKUP(T15,'Scouting Output'!$A$3:$AM$42,37,FALSE)</f>
        <v>-1.788</v>
      </c>
      <c r="W15">
        <f>VLOOKUP(T15,'Scouting Output'!$A$3:$AM$42,38,FALSE)</f>
        <v>-4.5</v>
      </c>
      <c r="X15">
        <f>VLOOKUP(T15,'Scouting Output'!$A$3:$AM$42,39,FALSE)</f>
        <v>-0.58000000000000007</v>
      </c>
      <c r="Y15">
        <f>VLOOKUP(T15,'Scouting Output'!$A$3:$AM$42,30,FALSE)</f>
        <v>0.9</v>
      </c>
      <c r="Z15">
        <f>VLOOKUP(T15, 'Scouting Output'!$A$3:$AM$42, 3, FALSE)</f>
        <v>8.5</v>
      </c>
    </row>
    <row r="16" spans="1:26">
      <c r="A16">
        <f>'Scouting Output'!A37</f>
        <v>7564</v>
      </c>
      <c r="B16" t="str">
        <f>'Scouting Output'!B37</f>
        <v>Lakers</v>
      </c>
      <c r="C16">
        <f>VLOOKUP($A16,'Scouting Output'!$A$3:$AM$42,37,FALSE)</f>
        <v>0.4514285714285714</v>
      </c>
      <c r="D16">
        <f>VLOOKUP($A16,'Scouting Output'!$A$3:$AM$42,38,FALSE)</f>
        <v>-0.6428571428571429</v>
      </c>
      <c r="E16">
        <f>VLOOKUP($A16,'Scouting Output'!$A$3:$AM$42,39,FALSE)</f>
        <v>-0.24571428571428577</v>
      </c>
      <c r="F16">
        <f>VLOOKUP($A16, 'Scouting Output'!$A$3:$AM60, 30, FALSE)</f>
        <v>0.7142857142857143</v>
      </c>
      <c r="G16">
        <f>VLOOKUP($A16, 'Scouting Output'!$A$3:$AM$42, 3, FALSE)</f>
        <v>7.7142857142857144</v>
      </c>
      <c r="L16">
        <f>'Scouting Output'!A12</f>
        <v>4152</v>
      </c>
      <c r="M16" t="str">
        <f>'Scouting Output'!$B17</f>
        <v>RoboRavens</v>
      </c>
      <c r="N16">
        <f>VLOOKUP(L16,'Scouting Output'!$A$3:$AM$42,37,FALSE)</f>
        <v>5.0419999999999998</v>
      </c>
      <c r="O16">
        <f>VLOOKUP(L16,'Scouting Output'!$A$3:$AM$42,38,FALSE)</f>
        <v>3.3000000000000007</v>
      </c>
      <c r="P16">
        <f>VLOOKUP(L16,'Scouting Output'!$A$3:$AM$42,39,FALSE)</f>
        <v>1.1260000000000001</v>
      </c>
      <c r="Q16">
        <f>VLOOKUP(L16,'Scouting Output'!$A$3:$AM$42,30,FALSE)</f>
        <v>1.6</v>
      </c>
      <c r="R16">
        <f>VLOOKUP(L16, 'Scouting Output'!$A$3:$AM$42, 3, FALSE)</f>
        <v>19.8</v>
      </c>
      <c r="T16">
        <f>'Scouting Output'!$A17</f>
        <v>4783</v>
      </c>
      <c r="U16" t="str">
        <f>'Scouting Output'!$B17</f>
        <v>RoboRavens</v>
      </c>
      <c r="V16">
        <f>VLOOKUP(T16,'Scouting Output'!$A$3:$AM$42,37,FALSE)</f>
        <v>-0.61111111111111105</v>
      </c>
      <c r="W16">
        <f>VLOOKUP(T16,'Scouting Output'!$A$3:$AM$42,38,FALSE)</f>
        <v>-1.6111111111111112</v>
      </c>
      <c r="X16">
        <f>VLOOKUP(T16,'Scouting Output'!$A$3:$AM$42,39,FALSE)</f>
        <v>-0.55222222222222217</v>
      </c>
      <c r="Y16">
        <f>VLOOKUP(T16,'Scouting Output'!$A$3:$AM$42,30,FALSE)</f>
        <v>0.88888888888888884</v>
      </c>
      <c r="Z16">
        <f>VLOOKUP(T16, 'Scouting Output'!$A$3:$AM$42, 3, FALSE)</f>
        <v>8.4444444444444446</v>
      </c>
    </row>
    <row r="17" spans="1:26">
      <c r="A17">
        <f>'Scouting Output'!A35</f>
        <v>6987</v>
      </c>
      <c r="B17" t="str">
        <f>'Scouting Output'!B35</f>
        <v>Falcon Automation</v>
      </c>
      <c r="C17">
        <f>VLOOKUP($A17,'Scouting Output'!$A$3:$AM$42,37,FALSE)</f>
        <v>-0.61111111111111116</v>
      </c>
      <c r="D17">
        <f>VLOOKUP($A17,'Scouting Output'!$A$3:$AM$42,38,FALSE)</f>
        <v>-0.61111111111111116</v>
      </c>
      <c r="E17">
        <f>VLOOKUP($A17,'Scouting Output'!$A$3:$AM$42,39,FALSE)</f>
        <v>-0.55000000000000004</v>
      </c>
      <c r="F17">
        <f>VLOOKUP($A17, 'Scouting Output'!$A$3:$AM72, 30, FALSE)</f>
        <v>1</v>
      </c>
      <c r="G17">
        <f>VLOOKUP($A17, 'Scouting Output'!$A$3:$AM$42, 3, FALSE)</f>
        <v>5.4444444444444446</v>
      </c>
      <c r="L17">
        <f>'Scouting Output'!A19</f>
        <v>4936</v>
      </c>
      <c r="M17" t="str">
        <f>'Scouting Output'!$B18</f>
        <v>Thunderstamps</v>
      </c>
      <c r="N17">
        <f>VLOOKUP(L17,'Scouting Output'!$A$3:$AM$42,37,FALSE)</f>
        <v>1.6800000000000002</v>
      </c>
      <c r="O17">
        <f>VLOOKUP(L17,'Scouting Output'!$A$3:$AM$42,38,FALSE)</f>
        <v>-0.3125</v>
      </c>
      <c r="P17">
        <f>VLOOKUP(L17,'Scouting Output'!$A$3:$AM$42,39,FALSE)</f>
        <v>1.00125</v>
      </c>
      <c r="Q17">
        <f>VLOOKUP(L17,'Scouting Output'!$A$3:$AM$42,30,FALSE)</f>
        <v>0.875</v>
      </c>
      <c r="R17">
        <f>VLOOKUP(L17, 'Scouting Output'!$A$3:$AM$42, 3, FALSE)</f>
        <v>14.875</v>
      </c>
      <c r="T17">
        <f>'Scouting Output'!$A18</f>
        <v>4907</v>
      </c>
      <c r="U17" t="str">
        <f>'Scouting Output'!$B18</f>
        <v>Thunderstamps</v>
      </c>
      <c r="V17">
        <f>VLOOKUP(T17,'Scouting Output'!$A$3:$AM$42,37,FALSE)</f>
        <v>5.0999999999999996</v>
      </c>
      <c r="W17">
        <f>VLOOKUP(T17,'Scouting Output'!$A$3:$AM$42,38,FALSE)</f>
        <v>-1.4000000000000001</v>
      </c>
      <c r="X17">
        <f>VLOOKUP(T17,'Scouting Output'!$A$3:$AM$42,39,FALSE)</f>
        <v>-9.9000000000000005E-2</v>
      </c>
      <c r="Y17">
        <f>VLOOKUP(T17,'Scouting Output'!$A$3:$AM$42,30,FALSE)</f>
        <v>2.5</v>
      </c>
      <c r="Z17">
        <f>VLOOKUP(T17, 'Scouting Output'!$A$3:$AM$42, 3, FALSE)</f>
        <v>15</v>
      </c>
    </row>
    <row r="18" spans="1:26">
      <c r="A18">
        <f>'Scouting Output'!A18</f>
        <v>4907</v>
      </c>
      <c r="B18" t="str">
        <f>'Scouting Output'!B18</f>
        <v>Thunderstamps</v>
      </c>
      <c r="C18">
        <f>VLOOKUP($A18,'Scouting Output'!$A$3:$AM$42,37,FALSE)</f>
        <v>5.0999999999999996</v>
      </c>
      <c r="D18">
        <f>VLOOKUP($A18,'Scouting Output'!$A$3:$AM$42,38,FALSE)</f>
        <v>-1.4000000000000001</v>
      </c>
      <c r="E18">
        <f>VLOOKUP($A18,'Scouting Output'!$A$3:$AM$42,39,FALSE)</f>
        <v>-9.9000000000000005E-2</v>
      </c>
      <c r="F18">
        <f>VLOOKUP($A18, 'Scouting Output'!$A$3:$AM45, 30, FALSE)</f>
        <v>2.5</v>
      </c>
      <c r="G18">
        <f>VLOOKUP($A18, 'Scouting Output'!$A$3:$AM$42, 3, FALSE)</f>
        <v>15</v>
      </c>
      <c r="L18">
        <f>'Scouting Output'!A27</f>
        <v>6110</v>
      </c>
      <c r="M18" t="str">
        <f>'Scouting Output'!$B19</f>
        <v>Viral Vortex</v>
      </c>
      <c r="N18">
        <f>VLOOKUP(L18,'Scouting Output'!$A$3:$AM$42,37,FALSE)</f>
        <v>0.26999999999999968</v>
      </c>
      <c r="O18">
        <f>VLOOKUP(L18,'Scouting Output'!$A$3:$AM$42,38,FALSE)</f>
        <v>-1.75</v>
      </c>
      <c r="P18">
        <f>VLOOKUP(L18,'Scouting Output'!$A$3:$AM$42,39,FALSE)</f>
        <v>0.7749999999999998</v>
      </c>
      <c r="Q18">
        <f>VLOOKUP(L18,'Scouting Output'!$A$3:$AM$42,30,FALSE)</f>
        <v>0.8</v>
      </c>
      <c r="R18">
        <f>VLOOKUP(L18, 'Scouting Output'!$A$3:$AM$42, 3, FALSE)</f>
        <v>11.700000000000001</v>
      </c>
      <c r="T18">
        <f>'Scouting Output'!$A19</f>
        <v>4936</v>
      </c>
      <c r="U18" t="str">
        <f>'Scouting Output'!$B19</f>
        <v>Viral Vortex</v>
      </c>
      <c r="V18">
        <f>VLOOKUP(T18,'Scouting Output'!$A$3:$AM$42,37,FALSE)</f>
        <v>1.6800000000000002</v>
      </c>
      <c r="W18">
        <f>VLOOKUP(T18,'Scouting Output'!$A$3:$AM$42,38,FALSE)</f>
        <v>-0.3125</v>
      </c>
      <c r="X18">
        <f>VLOOKUP(T18,'Scouting Output'!$A$3:$AM$42,39,FALSE)</f>
        <v>1.00125</v>
      </c>
      <c r="Y18">
        <f>VLOOKUP(T18,'Scouting Output'!$A$3:$AM$42,30,FALSE)</f>
        <v>0.875</v>
      </c>
      <c r="Z18">
        <f>VLOOKUP(T18, 'Scouting Output'!$A$3:$AM$42, 3, FALSE)</f>
        <v>14.875</v>
      </c>
    </row>
    <row r="19" spans="1:26">
      <c r="A19">
        <f>'Scouting Output'!A38</f>
        <v>7614</v>
      </c>
      <c r="B19" t="str">
        <f>'Scouting Output'!B38</f>
        <v>NHS Raiders</v>
      </c>
      <c r="C19">
        <f>VLOOKUP($A19,'Scouting Output'!$A$3:$AM$42,37,FALSE)</f>
        <v>0.65500000000000003</v>
      </c>
      <c r="D19">
        <f>VLOOKUP($A19,'Scouting Output'!$A$3:$AM$42,38,FALSE)</f>
        <v>-0.9375</v>
      </c>
      <c r="E19">
        <f>VLOOKUP($A19,'Scouting Output'!$A$3:$AM$42,39,FALSE)</f>
        <v>1.5625</v>
      </c>
      <c r="F19">
        <f>VLOOKUP($A19, 'Scouting Output'!$A$3:$AM63, 30, FALSE)</f>
        <v>0.75</v>
      </c>
      <c r="G19">
        <f>VLOOKUP($A19, 'Scouting Output'!$A$3:$AM$42, 3, FALSE)</f>
        <v>11</v>
      </c>
      <c r="L19">
        <f>'Scouting Output'!A14</f>
        <v>4519</v>
      </c>
      <c r="M19" t="str">
        <f>'Scouting Output'!$B20</f>
        <v>The Alpha Dogs</v>
      </c>
      <c r="N19">
        <f>VLOOKUP(L19,'Scouting Output'!$A$3:$AM$42,37,FALSE)</f>
        <v>1.5466666666666669</v>
      </c>
      <c r="O19">
        <f>VLOOKUP(L19,'Scouting Output'!$A$3:$AM$42,38,FALSE)</f>
        <v>-0.44444444444444442</v>
      </c>
      <c r="P19">
        <f>VLOOKUP(L19,'Scouting Output'!$A$3:$AM$42,39,FALSE)</f>
        <v>0.77444444444444449</v>
      </c>
      <c r="Q19">
        <f>VLOOKUP(L19,'Scouting Output'!$A$3:$AM$42,30,FALSE)</f>
        <v>1.2222222222222223</v>
      </c>
      <c r="R19">
        <f>VLOOKUP(L19, 'Scouting Output'!$A$3:$AM$42, 3, FALSE)</f>
        <v>12.444444444444446</v>
      </c>
      <c r="T19">
        <f>'Scouting Output'!$A20</f>
        <v>4946</v>
      </c>
      <c r="U19" t="str">
        <f>'Scouting Output'!$B20</f>
        <v>The Alpha Dogs</v>
      </c>
      <c r="V19">
        <f>VLOOKUP(T19,'Scouting Output'!$A$3:$AM$42,37,FALSE)</f>
        <v>2.804444444444445</v>
      </c>
      <c r="W19">
        <f>VLOOKUP(T19,'Scouting Output'!$A$3:$AM$42,38,FALSE)</f>
        <v>1.2777777777777781</v>
      </c>
      <c r="X19">
        <f>VLOOKUP(T19,'Scouting Output'!$A$3:$AM$42,39,FALSE)</f>
        <v>0.91333333333333366</v>
      </c>
      <c r="Y19">
        <f>VLOOKUP(T19,'Scouting Output'!$A$3:$AM$42,30,FALSE)</f>
        <v>0.88888888888888884</v>
      </c>
      <c r="Z19">
        <f>VLOOKUP(T19, 'Scouting Output'!$A$3:$AM$42, 3, FALSE)</f>
        <v>14.888888888888889</v>
      </c>
    </row>
    <row r="20" spans="1:26">
      <c r="A20">
        <f>'Scouting Output'!A23</f>
        <v>5409</v>
      </c>
      <c r="B20" t="str">
        <f>'Scouting Output'!B23</f>
        <v>Chargers</v>
      </c>
      <c r="C20">
        <f>VLOOKUP($A20,'Scouting Output'!$A$3:$AM$42,37,FALSE)</f>
        <v>0.98222222222222266</v>
      </c>
      <c r="D20">
        <f>VLOOKUP($A20,'Scouting Output'!$A$3:$AM$42,38,FALSE)</f>
        <v>-0.94444444444444442</v>
      </c>
      <c r="E20">
        <f>VLOOKUP($A20,'Scouting Output'!$A$3:$AM$42,39,FALSE)</f>
        <v>2.1344444444444446</v>
      </c>
      <c r="F20">
        <f>VLOOKUP($A20, 'Scouting Output'!$A$3:$AM67, 30, FALSE)</f>
        <v>0.77777777777777779</v>
      </c>
      <c r="G20">
        <f>VLOOKUP($A20, 'Scouting Output'!$A$3:$AM$42, 3, FALSE)</f>
        <v>13.222222222222221</v>
      </c>
      <c r="L20">
        <f>'Scouting Output'!A11</f>
        <v>4015</v>
      </c>
      <c r="M20" t="str">
        <f>'Scouting Output'!$B21</f>
        <v>CDS Cyclones</v>
      </c>
      <c r="N20">
        <f>VLOOKUP(L20,'Scouting Output'!$A$3:$AM$42,37,FALSE)</f>
        <v>-0.82799999999999985</v>
      </c>
      <c r="O20">
        <f>VLOOKUP(L20,'Scouting Output'!$A$3:$AM$42,38,FALSE)</f>
        <v>-2.85</v>
      </c>
      <c r="P20">
        <f>VLOOKUP(L20,'Scouting Output'!$A$3:$AM$42,39,FALSE)</f>
        <v>-7.2999999999999843E-2</v>
      </c>
      <c r="Q20">
        <f>VLOOKUP(L20,'Scouting Output'!$A$3:$AM$42,30,FALSE)</f>
        <v>0.5</v>
      </c>
      <c r="R20">
        <f>VLOOKUP(L20, 'Scouting Output'!$A$3:$AM$42, 3, FALSE)</f>
        <v>9.3000000000000007</v>
      </c>
      <c r="T20">
        <f>'Scouting Output'!$A21</f>
        <v>4951</v>
      </c>
      <c r="U20" t="str">
        <f>'Scouting Output'!$B21</f>
        <v>CDS Cyclones</v>
      </c>
      <c r="V20">
        <f>VLOOKUP(T20,'Scouting Output'!$A$3:$AM$42,37,FALSE)</f>
        <v>2.2828571428571434</v>
      </c>
      <c r="W20">
        <f>VLOOKUP(T20,'Scouting Output'!$A$3:$AM$42,38,FALSE)</f>
        <v>-1.2857142857142858</v>
      </c>
      <c r="X20">
        <f>VLOOKUP(T20,'Scouting Output'!$A$3:$AM$42,39,FALSE)</f>
        <v>3.152857142857143</v>
      </c>
      <c r="Y20">
        <f>VLOOKUP(T20,'Scouting Output'!$A$3:$AM$42,30,FALSE)</f>
        <v>1</v>
      </c>
      <c r="Z20">
        <f>VLOOKUP(T20, 'Scouting Output'!$A$3:$AM$42, 3, FALSE)</f>
        <v>17.428571428571431</v>
      </c>
    </row>
    <row r="21" spans="1:26">
      <c r="A21">
        <f>'Scouting Output'!A36</f>
        <v>7267</v>
      </c>
      <c r="B21" t="str">
        <f>'Scouting Output'!B36</f>
        <v>Lisgar Robotics Club</v>
      </c>
      <c r="C21">
        <f>VLOOKUP($A21,'Scouting Output'!$A$3:$AM$42,37,FALSE)</f>
        <v>1.3488888888888892</v>
      </c>
      <c r="D21">
        <f>VLOOKUP($A21,'Scouting Output'!$A$3:$AM$42,38,FALSE)</f>
        <v>-1</v>
      </c>
      <c r="E21">
        <f>VLOOKUP($A21,'Scouting Output'!$A$3:$AM$42,39,FALSE)</f>
        <v>2.8833333333333333</v>
      </c>
      <c r="F21">
        <f>VLOOKUP($A21, 'Scouting Output'!$A$3:$AM53, 30, FALSE)</f>
        <v>0.44444444444444442</v>
      </c>
      <c r="G21">
        <f>VLOOKUP($A21, 'Scouting Output'!$A$3:$AM$42, 3, FALSE)</f>
        <v>13.888888888888891</v>
      </c>
      <c r="L21">
        <f>'Scouting Output'!A9</f>
        <v>2994</v>
      </c>
      <c r="M21" t="str">
        <f>'Scouting Output'!$B22</f>
        <v>The Robo Devils</v>
      </c>
      <c r="N21">
        <f>VLOOKUP(L21,'Scouting Output'!$A$3:$AM$42,37,FALSE)</f>
        <v>-5.799999999999994E-2</v>
      </c>
      <c r="O21">
        <f>VLOOKUP(L21,'Scouting Output'!$A$3:$AM$42,38,FALSE)</f>
        <v>-3.45</v>
      </c>
      <c r="P21">
        <f>VLOOKUP(L21,'Scouting Output'!$A$3:$AM$42,39,FALSE)</f>
        <v>0.70099999999999996</v>
      </c>
      <c r="Q21">
        <f>VLOOKUP(L21,'Scouting Output'!$A$3:$AM$42,30,FALSE)</f>
        <v>1.6</v>
      </c>
      <c r="R21">
        <f>VLOOKUP(L21, 'Scouting Output'!$A$3:$AM$42, 3, FALSE)</f>
        <v>13.799999999999999</v>
      </c>
      <c r="T21">
        <f>'Scouting Output'!$A22</f>
        <v>5036</v>
      </c>
      <c r="U21" t="str">
        <f>'Scouting Output'!$B22</f>
        <v>The Robo Devils</v>
      </c>
      <c r="V21">
        <f>VLOOKUP(T21,'Scouting Output'!$A$3:$AM$42,37,FALSE)</f>
        <v>1.4600000000000004</v>
      </c>
      <c r="W21">
        <f>VLOOKUP(T21,'Scouting Output'!$A$3:$AM$42,38,FALSE)</f>
        <v>-1.45</v>
      </c>
      <c r="X21">
        <f>VLOOKUP(T21,'Scouting Output'!$A$3:$AM$42,39,FALSE)</f>
        <v>3.0960000000000001</v>
      </c>
      <c r="Y21">
        <f>VLOOKUP(T21,'Scouting Output'!$A$3:$AM$42,30,FALSE)</f>
        <v>0.8</v>
      </c>
      <c r="Z21">
        <f>VLOOKUP(T21, 'Scouting Output'!$A$3:$AM$42, 3, FALSE)</f>
        <v>15.399999999999999</v>
      </c>
    </row>
    <row r="22" spans="1:26">
      <c r="A22">
        <f>'Scouting Output'!A32</f>
        <v>6866</v>
      </c>
      <c r="B22" t="str">
        <f>'Scouting Output'!B32</f>
        <v>The Space Invaders</v>
      </c>
      <c r="C22">
        <f>VLOOKUP($A22,'Scouting Output'!$A$3:$AM$42,37,FALSE)</f>
        <v>1.7324999999999999</v>
      </c>
      <c r="D22">
        <f>VLOOKUP($A22,'Scouting Output'!$A$3:$AM$42,38,FALSE)</f>
        <v>-1</v>
      </c>
      <c r="E22">
        <f>VLOOKUP($A22,'Scouting Output'!$A$3:$AM$42,39,FALSE)</f>
        <v>1.8824999999999998</v>
      </c>
      <c r="F22">
        <f>VLOOKUP($A22, 'Scouting Output'!$A$3:$AM62, 30, FALSE)</f>
        <v>0.875</v>
      </c>
      <c r="G22">
        <f>VLOOKUP($A22, 'Scouting Output'!$A$3:$AM$42, 3, FALSE)</f>
        <v>13.75</v>
      </c>
      <c r="L22">
        <f>'Scouting Output'!A31</f>
        <v>6864</v>
      </c>
      <c r="M22" t="str">
        <f>'Scouting Output'!$B23</f>
        <v>Chargers</v>
      </c>
      <c r="N22">
        <f>VLOOKUP(L22,'Scouting Output'!$A$3:$AM$42,37,FALSE)</f>
        <v>-0.56727272727272715</v>
      </c>
      <c r="O22">
        <f>VLOOKUP(L22,'Scouting Output'!$A$3:$AM$42,38,FALSE)</f>
        <v>-2.0909090909090908</v>
      </c>
      <c r="P22">
        <f>VLOOKUP(L22,'Scouting Output'!$A$3:$AM$42,39,FALSE)</f>
        <v>0.55000000000000004</v>
      </c>
      <c r="Q22">
        <f>VLOOKUP(L22,'Scouting Output'!$A$3:$AM$42,30,FALSE)</f>
        <v>0.63636363636363635</v>
      </c>
      <c r="R22">
        <f>VLOOKUP(L22, 'Scouting Output'!$A$3:$AM$42, 3, FALSE)</f>
        <v>7.8181818181818201</v>
      </c>
      <c r="T22">
        <f>'Scouting Output'!$A23</f>
        <v>5409</v>
      </c>
      <c r="U22" t="str">
        <f>'Scouting Output'!$B23</f>
        <v>Chargers</v>
      </c>
      <c r="V22">
        <f>VLOOKUP(T22,'Scouting Output'!$A$3:$AM$42,37,FALSE)</f>
        <v>0.98222222222222266</v>
      </c>
      <c r="W22">
        <f>VLOOKUP(T22,'Scouting Output'!$A$3:$AM$42,38,FALSE)</f>
        <v>-0.94444444444444442</v>
      </c>
      <c r="X22">
        <f>VLOOKUP(T22,'Scouting Output'!$A$3:$AM$42,39,FALSE)</f>
        <v>2.1344444444444446</v>
      </c>
      <c r="Y22">
        <f>VLOOKUP(T22,'Scouting Output'!$A$3:$AM$42,30,FALSE)</f>
        <v>0.77777777777777779</v>
      </c>
      <c r="Z22">
        <f>VLOOKUP(T22, 'Scouting Output'!$A$3:$AM$42, 3, FALSE)</f>
        <v>13.222222222222221</v>
      </c>
    </row>
    <row r="23" spans="1:26">
      <c r="A23">
        <f>'Scouting Output'!A10</f>
        <v>3571</v>
      </c>
      <c r="B23" t="str">
        <f>'Scouting Output'!B10</f>
        <v>Mustang Robotics</v>
      </c>
      <c r="C23">
        <f>VLOOKUP($A23,'Scouting Output'!$A$3:$AM$42,37,FALSE)</f>
        <v>-1.1875</v>
      </c>
      <c r="D23">
        <f>VLOOKUP($A23,'Scouting Output'!$A$3:$AM$42,38,FALSE)</f>
        <v>-1.1875</v>
      </c>
      <c r="E23">
        <f>VLOOKUP($A23,'Scouting Output'!$A$3:$AM$42,39,FALSE)</f>
        <v>-1.12375</v>
      </c>
      <c r="F23">
        <f>VLOOKUP($A23, 'Scouting Output'!$A$3:$AM74, 30, FALSE)</f>
        <v>0.5</v>
      </c>
      <c r="G23">
        <f>VLOOKUP($A23, 'Scouting Output'!$A$3:$AM$42, 3, FALSE)</f>
        <v>5.25</v>
      </c>
      <c r="L23">
        <f>'Scouting Output'!A40</f>
        <v>7710</v>
      </c>
      <c r="M23" t="str">
        <f>'Scouting Output'!$B24</f>
        <v>E.J. Lajeunesse</v>
      </c>
      <c r="N23">
        <f>VLOOKUP(L23,'Scouting Output'!$A$3:$AM$42,37,FALSE)</f>
        <v>0</v>
      </c>
      <c r="O23">
        <f>VLOOKUP(L23,'Scouting Output'!$A$3:$AM$42,38,FALSE)</f>
        <v>-2.9285714285714288</v>
      </c>
      <c r="P23">
        <f>VLOOKUP(L23,'Scouting Output'!$A$3:$AM$42,39,FALSE)</f>
        <v>0</v>
      </c>
      <c r="Q23">
        <f>VLOOKUP(L23,'Scouting Output'!$A$3:$AM$42,30,FALSE)</f>
        <v>0.7142857142857143</v>
      </c>
      <c r="R23">
        <f>VLOOKUP(L23, 'Scouting Output'!$A$3:$AM$42, 3, FALSE)</f>
        <v>10.571428571428571</v>
      </c>
      <c r="T23">
        <f>'Scouting Output'!$A24</f>
        <v>5426</v>
      </c>
      <c r="U23" t="str">
        <f>'Scouting Output'!$B24</f>
        <v>E.J. Lajeunesse</v>
      </c>
      <c r="V23">
        <f>VLOOKUP(T23,'Scouting Output'!$A$3:$AM$42,37,FALSE)</f>
        <v>1.2819999999999998</v>
      </c>
      <c r="W23">
        <f>VLOOKUP(T23,'Scouting Output'!$A$3:$AM$42,38,FALSE)</f>
        <v>-0.45</v>
      </c>
      <c r="X23">
        <f>VLOOKUP(T23,'Scouting Output'!$A$3:$AM$42,39,FALSE)</f>
        <v>-0.29700000000000004</v>
      </c>
      <c r="Y23">
        <f>VLOOKUP(T23,'Scouting Output'!$A$3:$AM$42,30,FALSE)</f>
        <v>0.7</v>
      </c>
      <c r="Z23">
        <f>VLOOKUP(T23, 'Scouting Output'!$A$3:$AM$42, 3, FALSE)</f>
        <v>9.9999999999999982</v>
      </c>
    </row>
    <row r="24" spans="1:26">
      <c r="A24">
        <f>'Scouting Output'!A8</f>
        <v>2852</v>
      </c>
      <c r="B24" t="str">
        <f>'Scouting Output'!B8</f>
        <v>DM High Voltage</v>
      </c>
      <c r="C24">
        <f>VLOOKUP($A24,'Scouting Output'!$A$3:$AM$42,37,FALSE)</f>
        <v>0.95142857142857151</v>
      </c>
      <c r="D24">
        <f>VLOOKUP($A24,'Scouting Output'!$A$3:$AM$42,38,FALSE)</f>
        <v>-1.214285714285714</v>
      </c>
      <c r="E24">
        <f>VLOOKUP($A24,'Scouting Output'!$A$3:$AM$42,39,FALSE)</f>
        <v>-1.1771428571428573</v>
      </c>
      <c r="F24">
        <f>VLOOKUP($A24, 'Scouting Output'!$A$3:$AM73, 30, FALSE)</f>
        <v>0.7142857142857143</v>
      </c>
      <c r="G24">
        <f>VLOOKUP($A24, 'Scouting Output'!$A$3:$AM$42, 3, FALSE)</f>
        <v>9.2857142857142847</v>
      </c>
      <c r="L24">
        <f>'Scouting Output'!A30</f>
        <v>6859</v>
      </c>
      <c r="M24" t="str">
        <f>'Scouting Output'!$B25</f>
        <v>Villanova WiredCats</v>
      </c>
      <c r="N24">
        <f>VLOOKUP(L24,'Scouting Output'!$A$3:$AM$42,37,FALSE)</f>
        <v>-0.70888888888888879</v>
      </c>
      <c r="O24">
        <f>VLOOKUP(L24,'Scouting Output'!$A$3:$AM$42,38,FALSE)</f>
        <v>-1.4444444444444446</v>
      </c>
      <c r="P24">
        <f>VLOOKUP(L24,'Scouting Output'!$A$3:$AM$42,39,FALSE)</f>
        <v>-0.10444444444444445</v>
      </c>
      <c r="Q24">
        <f>VLOOKUP(L24,'Scouting Output'!$A$3:$AM$42,30,FALSE)</f>
        <v>0.44444444444444442</v>
      </c>
      <c r="R24">
        <f>VLOOKUP(L24, 'Scouting Output'!$A$3:$AM$42, 3, FALSE)</f>
        <v>5.1111111111111116</v>
      </c>
      <c r="T24">
        <f>'Scouting Output'!$A25</f>
        <v>5885</v>
      </c>
      <c r="U24" t="str">
        <f>'Scouting Output'!$B25</f>
        <v>Villanova WiredCats</v>
      </c>
      <c r="V24">
        <f>VLOOKUP(T24,'Scouting Output'!$A$3:$AM$42,37,FALSE)</f>
        <v>8.2777777777777768</v>
      </c>
      <c r="W24">
        <f>VLOOKUP(T24,'Scouting Output'!$A$3:$AM$42,38,FALSE)</f>
        <v>1.6111111111111112</v>
      </c>
      <c r="X24">
        <f>VLOOKUP(T24,'Scouting Output'!$A$3:$AM$42,39,FALSE)</f>
        <v>-0.55000000000000004</v>
      </c>
      <c r="Y24">
        <f>VLOOKUP(T24,'Scouting Output'!$A$3:$AM$42,30,FALSE)</f>
        <v>3</v>
      </c>
      <c r="Z24">
        <f>VLOOKUP(T24, 'Scouting Output'!$A$3:$AM$42, 3, FALSE)</f>
        <v>23.666666666666664</v>
      </c>
    </row>
    <row r="25" spans="1:26">
      <c r="A25">
        <f>'Scouting Output'!A21</f>
        <v>4951</v>
      </c>
      <c r="B25" t="str">
        <f>'Scouting Output'!B21</f>
        <v>CDS Cyclones</v>
      </c>
      <c r="C25">
        <f>VLOOKUP($A25,'Scouting Output'!$A$3:$AM$42,37,FALSE)</f>
        <v>2.2828571428571434</v>
      </c>
      <c r="D25">
        <f>VLOOKUP($A25,'Scouting Output'!$A$3:$AM$42,38,FALSE)</f>
        <v>-1.2857142857142858</v>
      </c>
      <c r="E25">
        <f>VLOOKUP($A25,'Scouting Output'!$A$3:$AM$42,39,FALSE)</f>
        <v>3.152857142857143</v>
      </c>
      <c r="F25">
        <f>VLOOKUP($A25, 'Scouting Output'!$A$3:$AM56, 30, FALSE)</f>
        <v>1</v>
      </c>
      <c r="G25">
        <f>VLOOKUP($A25, 'Scouting Output'!$A$3:$AM$42, 3, FALSE)</f>
        <v>17.428571428571431</v>
      </c>
      <c r="L25">
        <f>'Scouting Output'!A18</f>
        <v>4907</v>
      </c>
      <c r="M25" t="str">
        <f>'Scouting Output'!$B26</f>
        <v>Gryphon Machine</v>
      </c>
      <c r="N25">
        <f>VLOOKUP(L25,'Scouting Output'!$A$3:$AM$42,37,FALSE)</f>
        <v>5.0999999999999996</v>
      </c>
      <c r="O25">
        <f>VLOOKUP(L25,'Scouting Output'!$A$3:$AM$42,38,FALSE)</f>
        <v>-1.4000000000000001</v>
      </c>
      <c r="P25">
        <f>VLOOKUP(L25,'Scouting Output'!$A$3:$AM$42,39,FALSE)</f>
        <v>-9.9000000000000005E-2</v>
      </c>
      <c r="Q25">
        <f>VLOOKUP(L25,'Scouting Output'!$A$3:$AM$42,30,FALSE)</f>
        <v>2.5</v>
      </c>
      <c r="R25">
        <f>VLOOKUP(L25, 'Scouting Output'!$A$3:$AM$42, 3, FALSE)</f>
        <v>15</v>
      </c>
      <c r="T25">
        <f>'Scouting Output'!$A26</f>
        <v>6070</v>
      </c>
      <c r="U25" t="str">
        <f>'Scouting Output'!$B26</f>
        <v>Gryphon Machine</v>
      </c>
      <c r="V25">
        <f>VLOOKUP(T25,'Scouting Output'!$A$3:$AM$42,37,FALSE)</f>
        <v>-0.68181818181818243</v>
      </c>
      <c r="W25">
        <f>VLOOKUP(T25,'Scouting Output'!$A$3:$AM$42,38,FALSE)</f>
        <v>-2.3636363636363646</v>
      </c>
      <c r="X25">
        <f>VLOOKUP(T25,'Scouting Output'!$A$3:$AM$42,39,FALSE)</f>
        <v>-1.1136363636363638</v>
      </c>
      <c r="Y25">
        <f>VLOOKUP(T25,'Scouting Output'!$A$3:$AM$42,30,FALSE)</f>
        <v>0.72727272727272729</v>
      </c>
      <c r="Z25">
        <f>VLOOKUP(T25, 'Scouting Output'!$A$3:$AM$42, 3, FALSE)</f>
        <v>8.7272727272727266</v>
      </c>
    </row>
    <row r="26" spans="1:26">
      <c r="A26">
        <f>'Scouting Output'!A30</f>
        <v>6859</v>
      </c>
      <c r="B26" t="str">
        <f>'Scouting Output'!B30</f>
        <v>BML Robotics</v>
      </c>
      <c r="C26">
        <f>VLOOKUP($A26,'Scouting Output'!$A$3:$AM$42,37,FALSE)</f>
        <v>-0.70888888888888879</v>
      </c>
      <c r="D26">
        <f>VLOOKUP($A26,'Scouting Output'!$A$3:$AM$42,38,FALSE)</f>
        <v>-1.4444444444444446</v>
      </c>
      <c r="E26">
        <f>VLOOKUP($A26,'Scouting Output'!$A$3:$AM$42,39,FALSE)</f>
        <v>-0.10444444444444445</v>
      </c>
      <c r="F26">
        <f>VLOOKUP($A26, 'Scouting Output'!$A$3:$AM80, 30, FALSE)</f>
        <v>0.44444444444444442</v>
      </c>
      <c r="G26">
        <f>VLOOKUP($A26, 'Scouting Output'!$A$3:$AM$42, 3, FALSE)</f>
        <v>5.1111111111111116</v>
      </c>
      <c r="L26">
        <f>'Scouting Output'!A37</f>
        <v>7564</v>
      </c>
      <c r="M26" t="str">
        <f>'Scouting Output'!$B27</f>
        <v>Doc Botics</v>
      </c>
      <c r="N26">
        <f>VLOOKUP(L26,'Scouting Output'!$A$3:$AM$42,37,FALSE)</f>
        <v>0.4514285714285714</v>
      </c>
      <c r="O26">
        <f>VLOOKUP(L26,'Scouting Output'!$A$3:$AM$42,38,FALSE)</f>
        <v>-0.6428571428571429</v>
      </c>
      <c r="P26">
        <f>VLOOKUP(L26,'Scouting Output'!$A$3:$AM$42,39,FALSE)</f>
        <v>-0.24571428571428577</v>
      </c>
      <c r="Q26">
        <f>VLOOKUP(L26,'Scouting Output'!$A$3:$AM$42,30,FALSE)</f>
        <v>0.7142857142857143</v>
      </c>
      <c r="R26">
        <f>VLOOKUP(L26, 'Scouting Output'!$A$3:$AM$42, 3, FALSE)</f>
        <v>7.7142857142857144</v>
      </c>
      <c r="T26">
        <f>'Scouting Output'!$A27</f>
        <v>6110</v>
      </c>
      <c r="U26" t="str">
        <f>'Scouting Output'!$B27</f>
        <v>Doc Botics</v>
      </c>
      <c r="V26">
        <f>VLOOKUP(T26,'Scouting Output'!$A$3:$AM$42,37,FALSE)</f>
        <v>0.26999999999999968</v>
      </c>
      <c r="W26">
        <f>VLOOKUP(T26,'Scouting Output'!$A$3:$AM$42,38,FALSE)</f>
        <v>-1.75</v>
      </c>
      <c r="X26">
        <f>VLOOKUP(T26,'Scouting Output'!$A$3:$AM$42,39,FALSE)</f>
        <v>0.7749999999999998</v>
      </c>
      <c r="Y26">
        <f>VLOOKUP(T26,'Scouting Output'!$A$3:$AM$42,30,FALSE)</f>
        <v>0.8</v>
      </c>
      <c r="Z26">
        <f>VLOOKUP(T26, 'Scouting Output'!$A$3:$AM$42, 3, FALSE)</f>
        <v>11.700000000000001</v>
      </c>
    </row>
    <row r="27" spans="1:26">
      <c r="A27">
        <f>'Scouting Output'!A22</f>
        <v>5036</v>
      </c>
      <c r="B27" t="str">
        <f>'Scouting Output'!B22</f>
        <v>The Robo Devils</v>
      </c>
      <c r="C27">
        <f>VLOOKUP($A27,'Scouting Output'!$A$3:$AM$42,37,FALSE)</f>
        <v>1.4600000000000004</v>
      </c>
      <c r="D27">
        <f>VLOOKUP($A27,'Scouting Output'!$A$3:$AM$42,38,FALSE)</f>
        <v>-1.45</v>
      </c>
      <c r="E27">
        <f>VLOOKUP($A27,'Scouting Output'!$A$3:$AM$42,39,FALSE)</f>
        <v>3.0960000000000001</v>
      </c>
      <c r="F27">
        <f>VLOOKUP($A27, 'Scouting Output'!$A$3:$AM59, 30, FALSE)</f>
        <v>0.8</v>
      </c>
      <c r="G27">
        <f>VLOOKUP($A27, 'Scouting Output'!$A$3:$AM$42, 3, FALSE)</f>
        <v>15.399999999999999</v>
      </c>
      <c r="L27">
        <f>'Scouting Output'!A29</f>
        <v>6514</v>
      </c>
      <c r="M27" t="str">
        <f>'Scouting Output'!$B28</f>
        <v>Arctos</v>
      </c>
      <c r="N27">
        <f>VLOOKUP(L27,'Scouting Output'!$A$3:$AM$42,37,FALSE)</f>
        <v>-0.77777777777777768</v>
      </c>
      <c r="O27">
        <f>VLOOKUP(L27,'Scouting Output'!$A$3:$AM$42,38,FALSE)</f>
        <v>-2.1111111111111107</v>
      </c>
      <c r="P27">
        <f>VLOOKUP(L27,'Scouting Output'!$A$3:$AM$42,39,FALSE)</f>
        <v>-0.22</v>
      </c>
      <c r="Q27">
        <f>VLOOKUP(L27,'Scouting Output'!$A$3:$AM$42,30,FALSE)</f>
        <v>0.55555555555555558</v>
      </c>
      <c r="R27">
        <f>VLOOKUP(L27, 'Scouting Output'!$A$3:$AM$42, 3, FALSE)</f>
        <v>6.7777777777777777</v>
      </c>
      <c r="T27">
        <f>'Scouting Output'!$A28</f>
        <v>6135</v>
      </c>
      <c r="U27" t="str">
        <f>'Scouting Output'!$B28</f>
        <v>Arctos</v>
      </c>
      <c r="V27">
        <f>VLOOKUP(T27,'Scouting Output'!$A$3:$AM$42,37,FALSE)</f>
        <v>3.5022222222222226</v>
      </c>
      <c r="W27">
        <f>VLOOKUP(T27,'Scouting Output'!$A$3:$AM$42,38,FALSE)</f>
        <v>0.55555555555555558</v>
      </c>
      <c r="X27">
        <f>VLOOKUP(T27,'Scouting Output'!$A$3:$AM$42,39,FALSE)</f>
        <v>2.2244444444444444</v>
      </c>
      <c r="Y27">
        <f>VLOOKUP(T27,'Scouting Output'!$A$3:$AM$42,30,FALSE)</f>
        <v>1.1111111111111112</v>
      </c>
      <c r="Z27">
        <f>VLOOKUP(T27, 'Scouting Output'!$A$3:$AM$42, 3, FALSE)</f>
        <v>18.666666666666664</v>
      </c>
    </row>
    <row r="28" spans="1:26">
      <c r="A28">
        <f>'Scouting Output'!A11</f>
        <v>4015</v>
      </c>
      <c r="B28" t="str">
        <f>'Scouting Output'!B11</f>
        <v>Jag</v>
      </c>
      <c r="C28">
        <f>VLOOKUP($A28,'Scouting Output'!$A$3:$AM$42,37,FALSE)</f>
        <v>-0.82799999999999985</v>
      </c>
      <c r="D28">
        <f>VLOOKUP($A28,'Scouting Output'!$A$3:$AM$42,38,FALSE)</f>
        <v>-2.85</v>
      </c>
      <c r="E28">
        <f>VLOOKUP($A28,'Scouting Output'!$A$3:$AM$42,39,FALSE)</f>
        <v>-7.2999999999999843E-2</v>
      </c>
      <c r="F28">
        <f>VLOOKUP($A28, 'Scouting Output'!$A$3:$AM70, 30, FALSE)</f>
        <v>0.5</v>
      </c>
      <c r="G28">
        <f>VLOOKUP($A28, 'Scouting Output'!$A$3:$AM$42, 3, FALSE)</f>
        <v>9.3000000000000007</v>
      </c>
      <c r="L28">
        <f>'Scouting Output'!A24</f>
        <v>5426</v>
      </c>
      <c r="M28" t="str">
        <f>'Scouting Output'!$B29</f>
        <v>Sutton Robotics League</v>
      </c>
      <c r="N28">
        <f>VLOOKUP(L28,'Scouting Output'!$A$3:$AM$42,37,FALSE)</f>
        <v>1.2819999999999998</v>
      </c>
      <c r="O28">
        <f>VLOOKUP(L28,'Scouting Output'!$A$3:$AM$42,38,FALSE)</f>
        <v>-0.45</v>
      </c>
      <c r="P28">
        <f>VLOOKUP(L28,'Scouting Output'!$A$3:$AM$42,39,FALSE)</f>
        <v>-0.29700000000000004</v>
      </c>
      <c r="Q28">
        <f>VLOOKUP(L28,'Scouting Output'!$A$3:$AM$42,30,FALSE)</f>
        <v>0.7</v>
      </c>
      <c r="R28">
        <f>VLOOKUP(L28, 'Scouting Output'!$A$3:$AM$42, 3, FALSE)</f>
        <v>9.9999999999999982</v>
      </c>
      <c r="T28">
        <f>'Scouting Output'!$A29</f>
        <v>6514</v>
      </c>
      <c r="U28" t="str">
        <f>'Scouting Output'!$B29</f>
        <v>Sutton Robotics League</v>
      </c>
      <c r="V28">
        <f>VLOOKUP(T28,'Scouting Output'!$A$3:$AM$42,37,FALSE)</f>
        <v>-0.77777777777777768</v>
      </c>
      <c r="W28">
        <f>VLOOKUP(T28,'Scouting Output'!$A$3:$AM$42,38,FALSE)</f>
        <v>-2.1111111111111107</v>
      </c>
      <c r="X28">
        <f>VLOOKUP(T28,'Scouting Output'!$A$3:$AM$42,39,FALSE)</f>
        <v>-0.22</v>
      </c>
      <c r="Y28">
        <f>VLOOKUP(T28,'Scouting Output'!$A$3:$AM$42,30,FALSE)</f>
        <v>0.55555555555555558</v>
      </c>
      <c r="Z28">
        <f>VLOOKUP(T28, 'Scouting Output'!$A$3:$AM$42, 3, FALSE)</f>
        <v>6.7777777777777777</v>
      </c>
    </row>
    <row r="29" spans="1:26">
      <c r="A29">
        <f>'Scouting Output'!A17</f>
        <v>4783</v>
      </c>
      <c r="B29" t="str">
        <f>'Scouting Output'!B17</f>
        <v>RoboRavens</v>
      </c>
      <c r="C29">
        <f>VLOOKUP($A29,'Scouting Output'!$A$3:$AM$42,37,FALSE)</f>
        <v>-0.61111111111111105</v>
      </c>
      <c r="D29">
        <f>VLOOKUP($A29,'Scouting Output'!$A$3:$AM$42,38,FALSE)</f>
        <v>-1.6111111111111112</v>
      </c>
      <c r="E29">
        <f>VLOOKUP($A29,'Scouting Output'!$A$3:$AM$42,39,FALSE)</f>
        <v>-0.55222222222222217</v>
      </c>
      <c r="F29">
        <f>VLOOKUP($A29, 'Scouting Output'!$A$3:$AM65, 30, FALSE)</f>
        <v>0.88888888888888884</v>
      </c>
      <c r="G29">
        <f>VLOOKUP($A29, 'Scouting Output'!$A$3:$AM$42, 3, FALSE)</f>
        <v>8.4444444444444446</v>
      </c>
      <c r="L29">
        <f>'Scouting Output'!A33</f>
        <v>6867</v>
      </c>
      <c r="M29" t="str">
        <f>'Scouting Output'!$B30</f>
        <v>BML Robotics</v>
      </c>
      <c r="N29">
        <f>VLOOKUP(L29,'Scouting Output'!$A$3:$AM$42,37,FALSE)</f>
        <v>2.8472727272727267</v>
      </c>
      <c r="O29">
        <f>VLOOKUP(L29,'Scouting Output'!$A$3:$AM$42,38,FALSE)</f>
        <v>0.36363636363636287</v>
      </c>
      <c r="P29">
        <f>VLOOKUP(L29,'Scouting Output'!$A$3:$AM$42,39,FALSE)</f>
        <v>-0.35818181818181821</v>
      </c>
      <c r="Q29">
        <f>VLOOKUP(L29,'Scouting Output'!$A$3:$AM$42,30,FALSE)</f>
        <v>1.4545454545454546</v>
      </c>
      <c r="R29">
        <f>VLOOKUP(L29, 'Scouting Output'!$A$3:$AM$42, 3, FALSE)</f>
        <v>16.818181818181817</v>
      </c>
      <c r="T29">
        <f>'Scouting Output'!$A30</f>
        <v>6859</v>
      </c>
      <c r="U29" t="str">
        <f>'Scouting Output'!$B30</f>
        <v>BML Robotics</v>
      </c>
      <c r="V29">
        <f>VLOOKUP(T29,'Scouting Output'!$A$3:$AM$42,37,FALSE)</f>
        <v>-0.70888888888888879</v>
      </c>
      <c r="W29">
        <f>VLOOKUP(T29,'Scouting Output'!$A$3:$AM$42,38,FALSE)</f>
        <v>-1.4444444444444446</v>
      </c>
      <c r="X29">
        <f>VLOOKUP(T29,'Scouting Output'!$A$3:$AM$42,39,FALSE)</f>
        <v>-0.10444444444444445</v>
      </c>
      <c r="Y29">
        <f>VLOOKUP(T29,'Scouting Output'!$A$3:$AM$42,30,FALSE)</f>
        <v>0.44444444444444442</v>
      </c>
      <c r="Z29">
        <f>VLOOKUP(T29, 'Scouting Output'!$A$3:$AM$42, 3, FALSE)</f>
        <v>5.1111111111111116</v>
      </c>
    </row>
    <row r="30" spans="1:26">
      <c r="A30">
        <f>'Scouting Output'!A27</f>
        <v>6110</v>
      </c>
      <c r="B30" t="str">
        <f>'Scouting Output'!B27</f>
        <v>Doc Botics</v>
      </c>
      <c r="C30">
        <f>VLOOKUP($A30,'Scouting Output'!$A$3:$AM$42,37,FALSE)</f>
        <v>0.26999999999999968</v>
      </c>
      <c r="D30">
        <f>VLOOKUP($A30,'Scouting Output'!$A$3:$AM$42,38,FALSE)</f>
        <v>-1.75</v>
      </c>
      <c r="E30">
        <f>VLOOKUP($A30,'Scouting Output'!$A$3:$AM$42,39,FALSE)</f>
        <v>0.7749999999999998</v>
      </c>
      <c r="F30">
        <f>VLOOKUP($A30, 'Scouting Output'!$A$3:$AM66, 30, FALSE)</f>
        <v>0.8</v>
      </c>
      <c r="G30">
        <f>VLOOKUP($A30, 'Scouting Output'!$A$3:$AM$42, 3, FALSE)</f>
        <v>11.700000000000001</v>
      </c>
      <c r="L30">
        <f>'Scouting Output'!A17</f>
        <v>4783</v>
      </c>
      <c r="M30" t="str">
        <f>'Scouting Output'!$B31</f>
        <v>Gravenhurst High School</v>
      </c>
      <c r="N30">
        <f>VLOOKUP(L30,'Scouting Output'!$A$3:$AM$42,37,FALSE)</f>
        <v>-0.61111111111111105</v>
      </c>
      <c r="O30">
        <f>VLOOKUP(L30,'Scouting Output'!$A$3:$AM$42,38,FALSE)</f>
        <v>-1.6111111111111112</v>
      </c>
      <c r="P30">
        <f>VLOOKUP(L30,'Scouting Output'!$A$3:$AM$42,39,FALSE)</f>
        <v>-0.55222222222222217</v>
      </c>
      <c r="Q30">
        <f>VLOOKUP(L30,'Scouting Output'!$A$3:$AM$42,30,FALSE)</f>
        <v>0.88888888888888884</v>
      </c>
      <c r="R30">
        <f>VLOOKUP(L30, 'Scouting Output'!$A$3:$AM$42, 3, FALSE)</f>
        <v>8.4444444444444446</v>
      </c>
      <c r="T30">
        <f>'Scouting Output'!$A31</f>
        <v>6864</v>
      </c>
      <c r="U30" t="str">
        <f>'Scouting Output'!$B31</f>
        <v>Gravenhurst High School</v>
      </c>
      <c r="V30">
        <f>VLOOKUP(T30,'Scouting Output'!$A$3:$AM$42,37,FALSE)</f>
        <v>-0.56727272727272715</v>
      </c>
      <c r="W30">
        <f>VLOOKUP(T30,'Scouting Output'!$A$3:$AM$42,38,FALSE)</f>
        <v>-2.0909090909090908</v>
      </c>
      <c r="X30">
        <f>VLOOKUP(T30,'Scouting Output'!$A$3:$AM$42,39,FALSE)</f>
        <v>0.55000000000000004</v>
      </c>
      <c r="Y30">
        <f>VLOOKUP(T30,'Scouting Output'!$A$3:$AM$42,30,FALSE)</f>
        <v>0.63636363636363635</v>
      </c>
      <c r="Z30">
        <f>VLOOKUP(T30, 'Scouting Output'!$A$3:$AM$42, 3, FALSE)</f>
        <v>7.8181818181818201</v>
      </c>
    </row>
    <row r="31" spans="1:26">
      <c r="A31">
        <f>'Scouting Output'!A31</f>
        <v>6864</v>
      </c>
      <c r="B31" t="str">
        <f>'Scouting Output'!B31</f>
        <v>Gravenhurst High School</v>
      </c>
      <c r="C31">
        <f>VLOOKUP($A31,'Scouting Output'!$A$3:$AM$42,37,FALSE)</f>
        <v>-0.56727272727272715</v>
      </c>
      <c r="D31">
        <f>VLOOKUP($A31,'Scouting Output'!$A$3:$AM$42,38,FALSE)</f>
        <v>-2.0909090909090908</v>
      </c>
      <c r="E31">
        <f>VLOOKUP($A31,'Scouting Output'!$A$3:$AM$42,39,FALSE)</f>
        <v>0.55000000000000004</v>
      </c>
      <c r="F31">
        <f>VLOOKUP($A31, 'Scouting Output'!$A$3:$AM69, 30, FALSE)</f>
        <v>0.63636363636363635</v>
      </c>
      <c r="G31">
        <f>VLOOKUP($A31, 'Scouting Output'!$A$3:$AM$42, 3, FALSE)</f>
        <v>7.8181818181818201</v>
      </c>
      <c r="L31">
        <f>'Scouting Output'!A15</f>
        <v>4525</v>
      </c>
      <c r="M31" t="str">
        <f>'Scouting Output'!$B32</f>
        <v>The Space Invaders</v>
      </c>
      <c r="N31">
        <f>VLOOKUP(L31,'Scouting Output'!$A$3:$AM$42,37,FALSE)</f>
        <v>-1.23</v>
      </c>
      <c r="O31">
        <f>VLOOKUP(L31,'Scouting Output'!$A$3:$AM$42,38,FALSE)</f>
        <v>-3.3125</v>
      </c>
      <c r="P31">
        <f>VLOOKUP(L31,'Scouting Output'!$A$3:$AM$42,39,FALSE)</f>
        <v>-0.49375000000000002</v>
      </c>
      <c r="Q31">
        <f>VLOOKUP(L31,'Scouting Output'!$A$3:$AM$42,30,FALSE)</f>
        <v>0.75</v>
      </c>
      <c r="R31">
        <f>VLOOKUP(L31, 'Scouting Output'!$A$3:$AM$42, 3, FALSE)</f>
        <v>7</v>
      </c>
      <c r="T31">
        <f>'Scouting Output'!$A32</f>
        <v>6866</v>
      </c>
      <c r="U31" t="str">
        <f>'Scouting Output'!$B32</f>
        <v>The Space Invaders</v>
      </c>
      <c r="V31">
        <f>VLOOKUP(T31,'Scouting Output'!$A$3:$AM$42,37,FALSE)</f>
        <v>1.7324999999999999</v>
      </c>
      <c r="W31">
        <f>VLOOKUP(T31,'Scouting Output'!$A$3:$AM$42,38,FALSE)</f>
        <v>-1</v>
      </c>
      <c r="X31">
        <f>VLOOKUP(T31,'Scouting Output'!$A$3:$AM$42,39,FALSE)</f>
        <v>1.8824999999999998</v>
      </c>
      <c r="Y31">
        <f>VLOOKUP(T31,'Scouting Output'!$A$3:$AM$42,30,FALSE)</f>
        <v>0.875</v>
      </c>
      <c r="Z31">
        <f>VLOOKUP(T31, 'Scouting Output'!$A$3:$AM$42, 3, FALSE)</f>
        <v>13.75</v>
      </c>
    </row>
    <row r="32" spans="1:26">
      <c r="A32">
        <f>'Scouting Output'!A26</f>
        <v>6070</v>
      </c>
      <c r="B32" t="str">
        <f>'Scouting Output'!B26</f>
        <v>Gryphon Machine</v>
      </c>
      <c r="C32">
        <f>VLOOKUP($A32,'Scouting Output'!$A$3:$AM$42,37,FALSE)</f>
        <v>-0.68181818181818243</v>
      </c>
      <c r="D32">
        <f>VLOOKUP($A32,'Scouting Output'!$A$3:$AM$42,38,FALSE)</f>
        <v>-2.3636363636363646</v>
      </c>
      <c r="E32">
        <f>VLOOKUP($A32,'Scouting Output'!$A$3:$AM$42,39,FALSE)</f>
        <v>-1.1136363636363638</v>
      </c>
      <c r="F32">
        <f>VLOOKUP($A32, 'Scouting Output'!$A$3:$AM75, 30, FALSE)</f>
        <v>0.72727272727272729</v>
      </c>
      <c r="G32">
        <f>VLOOKUP($A32, 'Scouting Output'!$A$3:$AM$42, 3, FALSE)</f>
        <v>8.7272727272727266</v>
      </c>
      <c r="L32">
        <f>'Scouting Output'!A25</f>
        <v>5885</v>
      </c>
      <c r="M32" t="str">
        <f>'Scouting Output'!$B33</f>
        <v>Panthera Tech</v>
      </c>
      <c r="N32">
        <f>VLOOKUP(L32,'Scouting Output'!$A$3:$AM$42,37,FALSE)</f>
        <v>8.2777777777777768</v>
      </c>
      <c r="O32">
        <f>VLOOKUP(L32,'Scouting Output'!$A$3:$AM$42,38,FALSE)</f>
        <v>1.6111111111111112</v>
      </c>
      <c r="P32">
        <f>VLOOKUP(L32,'Scouting Output'!$A$3:$AM$42,39,FALSE)</f>
        <v>-0.55000000000000004</v>
      </c>
      <c r="Q32">
        <f>VLOOKUP(L32,'Scouting Output'!$A$3:$AM$42,30,FALSE)</f>
        <v>3</v>
      </c>
      <c r="R32">
        <f>VLOOKUP(L32, 'Scouting Output'!$A$3:$AM$42, 3, FALSE)</f>
        <v>23.666666666666664</v>
      </c>
      <c r="T32">
        <f>'Scouting Output'!$A33</f>
        <v>6867</v>
      </c>
      <c r="U32" t="str">
        <f>'Scouting Output'!$B33</f>
        <v>Panthera Tech</v>
      </c>
      <c r="V32">
        <f>VLOOKUP(T32,'Scouting Output'!$A$3:$AM$42,37,FALSE)</f>
        <v>2.8472727272727267</v>
      </c>
      <c r="W32">
        <f>VLOOKUP(T32,'Scouting Output'!$A$3:$AM$42,38,FALSE)</f>
        <v>0.36363636363636287</v>
      </c>
      <c r="X32">
        <f>VLOOKUP(T32,'Scouting Output'!$A$3:$AM$42,39,FALSE)</f>
        <v>-0.35818181818181821</v>
      </c>
      <c r="Y32">
        <f>VLOOKUP(T32,'Scouting Output'!$A$3:$AM$42,30,FALSE)</f>
        <v>1.4545454545454546</v>
      </c>
      <c r="Z32">
        <f>VLOOKUP(T32, 'Scouting Output'!$A$3:$AM$42, 3, FALSE)</f>
        <v>16.818181818181817</v>
      </c>
    </row>
    <row r="33" spans="1:26">
      <c r="A33">
        <f>'Scouting Output'!A34</f>
        <v>6975</v>
      </c>
      <c r="B33" t="str">
        <f>'Scouting Output'!B34</f>
        <v>Neil McNeil Maroonotics</v>
      </c>
      <c r="C33">
        <f>VLOOKUP($A33,'Scouting Output'!$A$3:$AM$42,37,FALSE)</f>
        <v>-22</v>
      </c>
      <c r="D33">
        <f>VLOOKUP($A33,'Scouting Output'!$A$3:$AM$42,38,FALSE)</f>
        <v>-2.4444444444444446</v>
      </c>
      <c r="E33">
        <f>VLOOKUP($A33,'Scouting Output'!$A$3:$AM$42,39,FALSE)</f>
        <v>-1.8844444444444444</v>
      </c>
      <c r="F33">
        <f>VLOOKUP($A33, 'Scouting Output'!$A$3:$AM76, 30, FALSE)</f>
        <v>0.44444444444444442</v>
      </c>
      <c r="G33">
        <f>VLOOKUP($A33, 'Scouting Output'!$A$3:$AM$42, 3, FALSE)</f>
        <v>2.8888888888888893</v>
      </c>
      <c r="L33">
        <f>'Scouting Output'!A35</f>
        <v>6987</v>
      </c>
      <c r="M33" t="str">
        <f>'Scouting Output'!$B34</f>
        <v>Neil McNeil Maroonotics</v>
      </c>
      <c r="N33">
        <f>VLOOKUP(L33,'Scouting Output'!$A$3:$AM$42,37,FALSE)</f>
        <v>-0.61111111111111116</v>
      </c>
      <c r="O33">
        <f>VLOOKUP(L33,'Scouting Output'!$A$3:$AM$42,38,FALSE)</f>
        <v>-0.61111111111111116</v>
      </c>
      <c r="P33">
        <f>VLOOKUP(L33,'Scouting Output'!$A$3:$AM$42,39,FALSE)</f>
        <v>-0.55000000000000004</v>
      </c>
      <c r="Q33">
        <f>VLOOKUP(L33,'Scouting Output'!$A$3:$AM$42,30,FALSE)</f>
        <v>1</v>
      </c>
      <c r="R33">
        <f>VLOOKUP(L33, 'Scouting Output'!$A$3:$AM$42, 3, FALSE)</f>
        <v>5.4444444444444446</v>
      </c>
      <c r="T33">
        <f>'Scouting Output'!$A34</f>
        <v>6975</v>
      </c>
      <c r="U33" t="str">
        <f>'Scouting Output'!$B34</f>
        <v>Neil McNeil Maroonotics</v>
      </c>
      <c r="V33">
        <f>VLOOKUP(T33,'Scouting Output'!$A$3:$AM$42,37,FALSE)</f>
        <v>-22</v>
      </c>
      <c r="W33">
        <f>VLOOKUP(T33,'Scouting Output'!$A$3:$AM$42,38,FALSE)</f>
        <v>-2.4444444444444446</v>
      </c>
      <c r="X33">
        <f>VLOOKUP(T33,'Scouting Output'!$A$3:$AM$42,39,FALSE)</f>
        <v>-1.8844444444444444</v>
      </c>
      <c r="Y33">
        <f>VLOOKUP(T33,'Scouting Output'!$A$3:$AM$42,30,FALSE)</f>
        <v>0.44444444444444442</v>
      </c>
      <c r="Z33">
        <f>VLOOKUP(T33, 'Scouting Output'!$A$3:$AM$42, 3, FALSE)</f>
        <v>2.8888888888888893</v>
      </c>
    </row>
    <row r="34" spans="1:26">
      <c r="A34">
        <f>'Scouting Output'!A29</f>
        <v>6514</v>
      </c>
      <c r="B34" t="str">
        <f>'Scouting Output'!B29</f>
        <v>Sutton Robotics League</v>
      </c>
      <c r="C34">
        <f>VLOOKUP($A34,'Scouting Output'!$A$3:$AM$42,37,FALSE)</f>
        <v>-0.77777777777777768</v>
      </c>
      <c r="D34">
        <f>VLOOKUP($A34,'Scouting Output'!$A$3:$AM$42,38,FALSE)</f>
        <v>-2.1111111111111107</v>
      </c>
      <c r="E34">
        <f>VLOOKUP($A34,'Scouting Output'!$A$3:$AM$42,39,FALSE)</f>
        <v>-0.22</v>
      </c>
      <c r="F34">
        <f>VLOOKUP($A34, 'Scouting Output'!$A$3:$AM71, 30, FALSE)</f>
        <v>0.55555555555555558</v>
      </c>
      <c r="G34">
        <f>VLOOKUP($A34, 'Scouting Output'!$A$3:$AM$42, 3, FALSE)</f>
        <v>6.7777777777777777</v>
      </c>
      <c r="L34">
        <f>'Scouting Output'!A16</f>
        <v>4704</v>
      </c>
      <c r="M34" t="str">
        <f>'Scouting Output'!$B35</f>
        <v>Falcon Automation</v>
      </c>
      <c r="N34">
        <f>VLOOKUP(L34,'Scouting Output'!$A$3:$AM$42,37,FALSE)</f>
        <v>-1.788</v>
      </c>
      <c r="O34">
        <f>VLOOKUP(L34,'Scouting Output'!$A$3:$AM$42,38,FALSE)</f>
        <v>-4.5</v>
      </c>
      <c r="P34">
        <f>VLOOKUP(L34,'Scouting Output'!$A$3:$AM$42,39,FALSE)</f>
        <v>-0.58000000000000007</v>
      </c>
      <c r="Q34">
        <f>VLOOKUP(L34,'Scouting Output'!$A$3:$AM$42,30,FALSE)</f>
        <v>0.9</v>
      </c>
      <c r="R34">
        <f>VLOOKUP(L34, 'Scouting Output'!$A$3:$AM$42, 3, FALSE)</f>
        <v>8.5</v>
      </c>
      <c r="T34">
        <f>'Scouting Output'!$A35</f>
        <v>6987</v>
      </c>
      <c r="U34" t="str">
        <f>'Scouting Output'!$B35</f>
        <v>Falcon Automation</v>
      </c>
      <c r="V34">
        <f>VLOOKUP(T34,'Scouting Output'!$A$3:$AM$42,37,FALSE)</f>
        <v>-0.61111111111111116</v>
      </c>
      <c r="W34">
        <f>VLOOKUP(T34,'Scouting Output'!$A$3:$AM$42,38,FALSE)</f>
        <v>-0.61111111111111116</v>
      </c>
      <c r="X34">
        <f>VLOOKUP(T34,'Scouting Output'!$A$3:$AM$42,39,FALSE)</f>
        <v>-0.55000000000000004</v>
      </c>
      <c r="Y34">
        <f>VLOOKUP(T34,'Scouting Output'!$A$3:$AM$42,30,FALSE)</f>
        <v>1</v>
      </c>
      <c r="Z34">
        <f>VLOOKUP(T34, 'Scouting Output'!$A$3:$AM$42, 3, FALSE)</f>
        <v>5.4444444444444446</v>
      </c>
    </row>
    <row r="35" spans="1:26">
      <c r="A35">
        <f>'Scouting Output'!A40</f>
        <v>7710</v>
      </c>
      <c r="B35" t="str">
        <f>'Scouting Output'!B40</f>
        <v>Mowat Mustangs</v>
      </c>
      <c r="C35">
        <f>VLOOKUP($A35,'Scouting Output'!$A$3:$AM$42,37,FALSE)</f>
        <v>0</v>
      </c>
      <c r="D35">
        <f>VLOOKUP($A35,'Scouting Output'!$A$3:$AM$42,38,FALSE)</f>
        <v>-2.9285714285714288</v>
      </c>
      <c r="E35">
        <f>VLOOKUP($A35,'Scouting Output'!$A$3:$AM$42,39,FALSE)</f>
        <v>0</v>
      </c>
      <c r="F35">
        <f>VLOOKUP($A35, 'Scouting Output'!$A$3:$AM61, 30, FALSE)</f>
        <v>0.7142857142857143</v>
      </c>
      <c r="G35">
        <f>VLOOKUP($A35, 'Scouting Output'!$A$3:$AM$42, 3, FALSE)</f>
        <v>10.571428571428571</v>
      </c>
      <c r="L35">
        <f>'Scouting Output'!A39</f>
        <v>7690</v>
      </c>
      <c r="M35" t="str">
        <f>'Scouting Output'!$B36</f>
        <v>Lisgar Robotics Club</v>
      </c>
      <c r="N35">
        <f>VLOOKUP(L35,'Scouting Output'!$A$3:$AM$42,37,FALSE)</f>
        <v>-2.6363636363636367</v>
      </c>
      <c r="O35">
        <f>VLOOKUP(L35,'Scouting Output'!$A$3:$AM$42,38,FALSE)</f>
        <v>-5.1363636363636367</v>
      </c>
      <c r="P35">
        <f>VLOOKUP(L35,'Scouting Output'!$A$3:$AM$42,39,FALSE)</f>
        <v>-0.72727272727272729</v>
      </c>
      <c r="Q35">
        <f>VLOOKUP(L35,'Scouting Output'!$A$3:$AM$42,30,FALSE)</f>
        <v>0.72727272727272729</v>
      </c>
      <c r="R35">
        <f>VLOOKUP(L35, 'Scouting Output'!$A$3:$AM$42, 3, FALSE)</f>
        <v>7</v>
      </c>
      <c r="T35">
        <f>'Scouting Output'!$A36</f>
        <v>7267</v>
      </c>
      <c r="U35" t="str">
        <f>'Scouting Output'!$B36</f>
        <v>Lisgar Robotics Club</v>
      </c>
      <c r="V35">
        <f>VLOOKUP(T35,'Scouting Output'!$A$3:$AM$42,37,FALSE)</f>
        <v>1.3488888888888892</v>
      </c>
      <c r="W35">
        <f>VLOOKUP(T35,'Scouting Output'!$A$3:$AM$42,38,FALSE)</f>
        <v>-1</v>
      </c>
      <c r="X35">
        <f>VLOOKUP(T35,'Scouting Output'!$A$3:$AM$42,39,FALSE)</f>
        <v>2.8833333333333333</v>
      </c>
      <c r="Y35">
        <f>VLOOKUP(T35,'Scouting Output'!$A$3:$AM$42,30,FALSE)</f>
        <v>0.44444444444444442</v>
      </c>
      <c r="Z35">
        <f>VLOOKUP(T35, 'Scouting Output'!$A$3:$AM$42, 3, FALSE)</f>
        <v>13.888888888888891</v>
      </c>
    </row>
    <row r="36" spans="1:26">
      <c r="A36">
        <f>'Scouting Output'!A15</f>
        <v>4525</v>
      </c>
      <c r="B36" t="str">
        <f>'Scouting Output'!B15</f>
        <v>Renaissance Robotics</v>
      </c>
      <c r="C36">
        <f>VLOOKUP($A36,'Scouting Output'!$A$3:$AM$42,37,FALSE)</f>
        <v>-1.23</v>
      </c>
      <c r="D36">
        <f>VLOOKUP($A36,'Scouting Output'!$A$3:$AM$42,38,FALSE)</f>
        <v>-3.3125</v>
      </c>
      <c r="E36">
        <f>VLOOKUP($A36,'Scouting Output'!$A$3:$AM$42,39,FALSE)</f>
        <v>-0.49375000000000002</v>
      </c>
      <c r="F36">
        <f>VLOOKUP($A36, 'Scouting Output'!$A$3:$AM78, 30, FALSE)</f>
        <v>0.75</v>
      </c>
      <c r="G36">
        <f>VLOOKUP($A36, 'Scouting Output'!$A$3:$AM$42, 3, FALSE)</f>
        <v>7</v>
      </c>
      <c r="L36">
        <f>'Scouting Output'!A26</f>
        <v>6070</v>
      </c>
      <c r="M36" t="str">
        <f>'Scouting Output'!$B37</f>
        <v>Lakers</v>
      </c>
      <c r="N36">
        <f>VLOOKUP(L36,'Scouting Output'!$A$3:$AM$42,37,FALSE)</f>
        <v>-0.68181818181818243</v>
      </c>
      <c r="O36">
        <f>VLOOKUP(L36,'Scouting Output'!$A$3:$AM$42,38,FALSE)</f>
        <v>-2.3636363636363646</v>
      </c>
      <c r="P36">
        <f>VLOOKUP(L36,'Scouting Output'!$A$3:$AM$42,39,FALSE)</f>
        <v>-1.1136363636363638</v>
      </c>
      <c r="Q36">
        <f>VLOOKUP(L36,'Scouting Output'!$A$3:$AM$42,30,FALSE)</f>
        <v>0.72727272727272729</v>
      </c>
      <c r="R36">
        <f>VLOOKUP(L36, 'Scouting Output'!$A$3:$AM$42, 3, FALSE)</f>
        <v>8.7272727272727266</v>
      </c>
      <c r="T36">
        <f>'Scouting Output'!$A37</f>
        <v>7564</v>
      </c>
      <c r="U36" t="str">
        <f>'Scouting Output'!$B37</f>
        <v>Lakers</v>
      </c>
      <c r="V36">
        <f>VLOOKUP(T36,'Scouting Output'!$A$3:$AM$42,37,FALSE)</f>
        <v>0.4514285714285714</v>
      </c>
      <c r="W36">
        <f>VLOOKUP(T36,'Scouting Output'!$A$3:$AM$42,38,FALSE)</f>
        <v>-0.6428571428571429</v>
      </c>
      <c r="X36">
        <f>VLOOKUP(T36,'Scouting Output'!$A$3:$AM$42,39,FALSE)</f>
        <v>-0.24571428571428577</v>
      </c>
      <c r="Y36">
        <f>VLOOKUP(T36,'Scouting Output'!$A$3:$AM$42,30,FALSE)</f>
        <v>0.7142857142857143</v>
      </c>
      <c r="Z36">
        <f>VLOOKUP(T36, 'Scouting Output'!$A$3:$AM$42, 3, FALSE)</f>
        <v>7.7142857142857144</v>
      </c>
    </row>
    <row r="37" spans="1:26">
      <c r="A37">
        <f>'Scouting Output'!A9</f>
        <v>2994</v>
      </c>
      <c r="B37" t="str">
        <f>'Scouting Output'!B9</f>
        <v>ASTECHZ</v>
      </c>
      <c r="C37">
        <f>VLOOKUP($A37,'Scouting Output'!$A$3:$AM$42,37,FALSE)</f>
        <v>-5.799999999999994E-2</v>
      </c>
      <c r="D37">
        <f>VLOOKUP($A37,'Scouting Output'!$A$3:$AM$42,38,FALSE)</f>
        <v>-3.45</v>
      </c>
      <c r="E37">
        <f>VLOOKUP($A37,'Scouting Output'!$A$3:$AM$42,39,FALSE)</f>
        <v>0.70099999999999996</v>
      </c>
      <c r="F37">
        <f>VLOOKUP($A37, 'Scouting Output'!$A$3:$AM64, 30, FALSE)</f>
        <v>1.6</v>
      </c>
      <c r="G37">
        <f>VLOOKUP($A37, 'Scouting Output'!$A$3:$AM$42, 3, FALSE)</f>
        <v>13.799999999999999</v>
      </c>
      <c r="L37">
        <f>'Scouting Output'!A10</f>
        <v>3571</v>
      </c>
      <c r="M37" t="str">
        <f>'Scouting Output'!$B38</f>
        <v>NHS Raiders</v>
      </c>
      <c r="N37">
        <f>VLOOKUP(L37,'Scouting Output'!$A$3:$AM$42,37,FALSE)</f>
        <v>-1.1875</v>
      </c>
      <c r="O37">
        <f>VLOOKUP(L37,'Scouting Output'!$A$3:$AM$42,38,FALSE)</f>
        <v>-1.1875</v>
      </c>
      <c r="P37">
        <f>VLOOKUP(L37,'Scouting Output'!$A$3:$AM$42,39,FALSE)</f>
        <v>-1.12375</v>
      </c>
      <c r="Q37">
        <f>VLOOKUP(L37,'Scouting Output'!$A$3:$AM$42,30,FALSE)</f>
        <v>0.5</v>
      </c>
      <c r="R37">
        <f>VLOOKUP(L37, 'Scouting Output'!$A$3:$AM$42, 3, FALSE)</f>
        <v>5.25</v>
      </c>
      <c r="T37">
        <f>'Scouting Output'!$A38</f>
        <v>7614</v>
      </c>
      <c r="U37" t="str">
        <f>'Scouting Output'!$B38</f>
        <v>NHS Raiders</v>
      </c>
      <c r="V37">
        <f>VLOOKUP(T37,'Scouting Output'!$A$3:$AM$42,37,FALSE)</f>
        <v>0.65500000000000003</v>
      </c>
      <c r="W37">
        <f>VLOOKUP(T37,'Scouting Output'!$A$3:$AM$42,38,FALSE)</f>
        <v>-0.9375</v>
      </c>
      <c r="X37">
        <f>VLOOKUP(T37,'Scouting Output'!$A$3:$AM$42,39,FALSE)</f>
        <v>1.5625</v>
      </c>
      <c r="Y37">
        <f>VLOOKUP(T37,'Scouting Output'!$A$3:$AM$42,30,FALSE)</f>
        <v>0.75</v>
      </c>
      <c r="Z37">
        <f>VLOOKUP(T37, 'Scouting Output'!$A$3:$AM$42, 3, FALSE)</f>
        <v>11</v>
      </c>
    </row>
    <row r="38" spans="1:26">
      <c r="A38">
        <f>'Scouting Output'!A41</f>
        <v>7712</v>
      </c>
      <c r="B38" t="str">
        <f>'Scouting Output'!B41</f>
        <v>ACCN#2</v>
      </c>
      <c r="C38">
        <f>VLOOKUP($A38,'Scouting Output'!$A$3:$AM$42,37,FALSE)</f>
        <v>-22.585000000000001</v>
      </c>
      <c r="D38">
        <f>VLOOKUP($A38,'Scouting Output'!$A$3:$AM$42,38,FALSE)</f>
        <v>-3.75</v>
      </c>
      <c r="E38">
        <f>VLOOKUP($A38,'Scouting Output'!$A$3:$AM$42,39,FALSE)</f>
        <v>-1.9975000000000001</v>
      </c>
      <c r="F38">
        <f>VLOOKUP($A38, 'Scouting Output'!$A$3:$AM79, 30, FALSE)</f>
        <v>0.625</v>
      </c>
      <c r="G38">
        <f>VLOOKUP($A38, 'Scouting Output'!$A$3:$AM$42, 3, FALSE)</f>
        <v>4.75</v>
      </c>
      <c r="L38">
        <f>'Scouting Output'!A7</f>
        <v>2708</v>
      </c>
      <c r="M38" t="str">
        <f>'Scouting Output'!$B39</f>
        <v>Iron Works Robotics</v>
      </c>
      <c r="N38">
        <f>VLOOKUP(L38,'Scouting Output'!$A$3:$AM$42,37,FALSE)</f>
        <v>-22.4</v>
      </c>
      <c r="O38">
        <f>VLOOKUP(L38,'Scouting Output'!$A$3:$AM$42,38,FALSE)</f>
        <v>-3.8125</v>
      </c>
      <c r="P38">
        <f>VLOOKUP(L38,'Scouting Output'!$A$3:$AM$42,39,FALSE)</f>
        <v>-0.78</v>
      </c>
      <c r="Q38">
        <f>VLOOKUP(L38,'Scouting Output'!$A$3:$AM$42,30,FALSE)</f>
        <v>0.75</v>
      </c>
      <c r="R38">
        <f>VLOOKUP(L38, 'Scouting Output'!$A$3:$AM$42, 3, FALSE)</f>
        <v>4.625</v>
      </c>
      <c r="T38">
        <f>'Scouting Output'!$A39</f>
        <v>7690</v>
      </c>
      <c r="U38" t="str">
        <f>'Scouting Output'!$B39</f>
        <v>Iron Works Robotics</v>
      </c>
      <c r="V38">
        <f>VLOOKUP(T38,'Scouting Output'!$A$3:$AM$42,37,FALSE)</f>
        <v>-2.6363636363636367</v>
      </c>
      <c r="W38">
        <f>VLOOKUP(T38,'Scouting Output'!$A$3:$AM$42,38,FALSE)</f>
        <v>-5.1363636363636367</v>
      </c>
      <c r="X38">
        <f>VLOOKUP(T38,'Scouting Output'!$A$3:$AM$42,39,FALSE)</f>
        <v>-0.72727272727272729</v>
      </c>
      <c r="Y38">
        <f>VLOOKUP(T38,'Scouting Output'!$A$3:$AM$42,30,FALSE)</f>
        <v>0.72727272727272729</v>
      </c>
      <c r="Z38">
        <f>VLOOKUP(T38, 'Scouting Output'!$A$3:$AM$42, 3, FALSE)</f>
        <v>7</v>
      </c>
    </row>
    <row r="39" spans="1:26">
      <c r="A39">
        <f>'Scouting Output'!A7</f>
        <v>2708</v>
      </c>
      <c r="B39" t="str">
        <f>'Scouting Output'!B7</f>
        <v>Lake Effect Robotics</v>
      </c>
      <c r="C39">
        <f>VLOOKUP($A39,'Scouting Output'!$A$3:$AM$42,37,FALSE)</f>
        <v>-22.4</v>
      </c>
      <c r="D39">
        <f>VLOOKUP($A39,'Scouting Output'!$A$3:$AM$42,38,FALSE)</f>
        <v>-3.8125</v>
      </c>
      <c r="E39">
        <f>VLOOKUP($A39,'Scouting Output'!$A$3:$AM$42,39,FALSE)</f>
        <v>-0.78</v>
      </c>
      <c r="F39">
        <f>VLOOKUP($A39, 'Scouting Output'!$A$3:$AM81, 30, FALSE)</f>
        <v>0.75</v>
      </c>
      <c r="G39">
        <f>VLOOKUP($A39, 'Scouting Output'!$A$3:$AM$42, 3, FALSE)</f>
        <v>4.625</v>
      </c>
      <c r="L39">
        <f>'Scouting Output'!A8</f>
        <v>2852</v>
      </c>
      <c r="M39" t="str">
        <f>'Scouting Output'!$B40</f>
        <v>Mowat Mustangs</v>
      </c>
      <c r="N39">
        <f>VLOOKUP(L39,'Scouting Output'!$A$3:$AM$42,37,FALSE)</f>
        <v>0.95142857142857151</v>
      </c>
      <c r="O39">
        <f>VLOOKUP(L39,'Scouting Output'!$A$3:$AM$42,38,FALSE)</f>
        <v>-1.214285714285714</v>
      </c>
      <c r="P39">
        <f>VLOOKUP(L39,'Scouting Output'!$A$3:$AM$42,39,FALSE)</f>
        <v>-1.1771428571428573</v>
      </c>
      <c r="Q39">
        <f>VLOOKUP(L39,'Scouting Output'!$A$3:$AM$42,30,FALSE)</f>
        <v>0.7142857142857143</v>
      </c>
      <c r="R39">
        <f>VLOOKUP(L39, 'Scouting Output'!$A$3:$AM$42, 3, FALSE)</f>
        <v>9.2857142857142847</v>
      </c>
      <c r="T39">
        <f>'Scouting Output'!$A40</f>
        <v>7710</v>
      </c>
      <c r="U39" t="str">
        <f>'Scouting Output'!$B40</f>
        <v>Mowat Mustangs</v>
      </c>
      <c r="V39">
        <f>VLOOKUP(T39,'Scouting Output'!$A$3:$AM$42,37,FALSE)</f>
        <v>0</v>
      </c>
      <c r="W39">
        <f>VLOOKUP(T39,'Scouting Output'!$A$3:$AM$42,38,FALSE)</f>
        <v>-2.9285714285714288</v>
      </c>
      <c r="X39">
        <f>VLOOKUP(T39,'Scouting Output'!$A$3:$AM$42,39,FALSE)</f>
        <v>0</v>
      </c>
      <c r="Y39">
        <f>VLOOKUP(T39,'Scouting Output'!$A$3:$AM$42,30,FALSE)</f>
        <v>0.7142857142857143</v>
      </c>
      <c r="Z39">
        <f>VLOOKUP(T39, 'Scouting Output'!$A$3:$AM$42, 3, FALSE)</f>
        <v>10.571428571428571</v>
      </c>
    </row>
    <row r="40" spans="1:26">
      <c r="A40">
        <f>'Scouting Output'!A16</f>
        <v>4704</v>
      </c>
      <c r="B40" t="str">
        <f>'Scouting Output'!B16</f>
        <v>Northern Lights Robotics</v>
      </c>
      <c r="C40">
        <f>VLOOKUP($A40,'Scouting Output'!$A$3:$AM$42,37,FALSE)</f>
        <v>-1.788</v>
      </c>
      <c r="D40">
        <f>VLOOKUP($A40,'Scouting Output'!$A$3:$AM$42,38,FALSE)</f>
        <v>-4.5</v>
      </c>
      <c r="E40">
        <f>VLOOKUP($A40,'Scouting Output'!$A$3:$AM$42,39,FALSE)</f>
        <v>-0.58000000000000007</v>
      </c>
      <c r="F40">
        <f>VLOOKUP($A40, 'Scouting Output'!$A$3:$AM77, 30, FALSE)</f>
        <v>0.9</v>
      </c>
      <c r="G40">
        <f>VLOOKUP($A40, 'Scouting Output'!$A$3:$AM$42, 3, FALSE)</f>
        <v>8.5</v>
      </c>
      <c r="L40">
        <f>'Scouting Output'!A34</f>
        <v>6975</v>
      </c>
      <c r="M40" t="str">
        <f>'Scouting Output'!$B41</f>
        <v>ACCN#2</v>
      </c>
      <c r="N40">
        <f>VLOOKUP(L40,'Scouting Output'!$A$3:$AM$42,37,FALSE)</f>
        <v>-22</v>
      </c>
      <c r="O40">
        <f>VLOOKUP(L40,'Scouting Output'!$A$3:$AM$42,38,FALSE)</f>
        <v>-2.4444444444444446</v>
      </c>
      <c r="P40">
        <f>VLOOKUP(L40,'Scouting Output'!$A$3:$AM$42,39,FALSE)</f>
        <v>-1.8844444444444444</v>
      </c>
      <c r="Q40">
        <f>VLOOKUP(L40,'Scouting Output'!$A$3:$AM$42,30,FALSE)</f>
        <v>0.44444444444444442</v>
      </c>
      <c r="R40">
        <f>VLOOKUP(L40, 'Scouting Output'!$A$3:$AM$42, 3, FALSE)</f>
        <v>2.8888888888888893</v>
      </c>
      <c r="T40">
        <f>'Scouting Output'!$A41</f>
        <v>7712</v>
      </c>
      <c r="U40" t="str">
        <f>'Scouting Output'!$B41</f>
        <v>ACCN#2</v>
      </c>
      <c r="V40">
        <f>VLOOKUP(T40,'Scouting Output'!$A$3:$AM$42,37,FALSE)</f>
        <v>-22.585000000000001</v>
      </c>
      <c r="W40">
        <f>VLOOKUP(T40,'Scouting Output'!$A$3:$AM$42,38,FALSE)</f>
        <v>-3.75</v>
      </c>
      <c r="X40">
        <f>VLOOKUP(T40,'Scouting Output'!$A$3:$AM$42,39,FALSE)</f>
        <v>-1.9975000000000001</v>
      </c>
      <c r="Y40">
        <f>VLOOKUP(T40,'Scouting Output'!$A$3:$AM$42,30,FALSE)</f>
        <v>0.625</v>
      </c>
      <c r="Z40">
        <f>VLOOKUP(T40, 'Scouting Output'!$A$3:$AM$42, 3, FALSE)</f>
        <v>4.75</v>
      </c>
    </row>
    <row r="41" spans="1:26">
      <c r="A41">
        <f>'Scouting Output'!A39</f>
        <v>7690</v>
      </c>
      <c r="B41" t="str">
        <f>'Scouting Output'!B39</f>
        <v>Iron Works Robotics</v>
      </c>
      <c r="C41">
        <f>VLOOKUP($A41,'Scouting Output'!$A$3:$AM$42,37,FALSE)</f>
        <v>-2.6363636363636367</v>
      </c>
      <c r="D41">
        <f>VLOOKUP($A41,'Scouting Output'!$A$3:$AM$42,38,FALSE)</f>
        <v>-5.1363636363636367</v>
      </c>
      <c r="E41">
        <f>VLOOKUP($A41,'Scouting Output'!$A$3:$AM$42,39,FALSE)</f>
        <v>-0.72727272727272729</v>
      </c>
      <c r="F41">
        <f>VLOOKUP($A41, 'Scouting Output'!$A$3:$AM68, 30, FALSE)</f>
        <v>0.72727272727272729</v>
      </c>
      <c r="G41">
        <f>VLOOKUP($A41, 'Scouting Output'!$A$3:$AM$42, 3, FALSE)</f>
        <v>7</v>
      </c>
      <c r="L41">
        <f>'Scouting Output'!A41</f>
        <v>7712</v>
      </c>
      <c r="M41" t="str">
        <f>'Scouting Output'!$B42</f>
        <v>Miliken Mills H.S.</v>
      </c>
      <c r="N41">
        <f>VLOOKUP(L41,'Scouting Output'!$A$3:$AM$42,37,FALSE)</f>
        <v>-22.585000000000001</v>
      </c>
      <c r="O41">
        <f>VLOOKUP(L41,'Scouting Output'!$A$3:$AM$42,38,FALSE)</f>
        <v>-3.75</v>
      </c>
      <c r="P41">
        <f>VLOOKUP(L41,'Scouting Output'!$A$3:$AM$42,39,FALSE)</f>
        <v>-1.9975000000000001</v>
      </c>
      <c r="Q41">
        <f>VLOOKUP(L41,'Scouting Output'!$A$3:$AM$42,30,FALSE)</f>
        <v>0.625</v>
      </c>
      <c r="R41">
        <f>VLOOKUP(L41, 'Scouting Output'!$A$3:$AM$42, 3, FALSE)</f>
        <v>4.75</v>
      </c>
      <c r="T41">
        <f>'Scouting Output'!$A42</f>
        <v>7735</v>
      </c>
      <c r="U41" t="str">
        <f>'Scouting Output'!$B42</f>
        <v>Miliken Mills H.S.</v>
      </c>
      <c r="V41">
        <f>VLOOKUP(T41,'Scouting Output'!$A$3:$AM$42,37,FALSE)</f>
        <v>2.0379999999999998</v>
      </c>
      <c r="W41">
        <f>VLOOKUP(T41,'Scouting Output'!$A$3:$AM$42,38,FALSE)</f>
        <v>-0.3</v>
      </c>
      <c r="X41">
        <f>VLOOKUP(T41,'Scouting Output'!$A$3:$AM$42,39,FALSE)</f>
        <v>1.5030000000000001</v>
      </c>
      <c r="Y41">
        <f>VLOOKUP(T41,'Scouting Output'!$A$3:$AM$42,30,FALSE)</f>
        <v>0.8</v>
      </c>
      <c r="Z41">
        <f>VLOOKUP(T41, 'Scouting Output'!$A$3:$AM$42, 3, FALSE)</f>
        <v>12.700000000000001</v>
      </c>
    </row>
  </sheetData>
  <sortState xmlns:xlrd2="http://schemas.microsoft.com/office/spreadsheetml/2017/richdata2" ref="A2:G41">
    <sortCondition descending="1" ref="D2:D41"/>
  </sortState>
  <conditionalFormatting sqref="A1:G1048576">
    <cfRule type="expression" dxfId="25" priority="22">
      <formula>IF($A1=$I$2,TRUE,FALSE)</formula>
    </cfRule>
  </conditionalFormatting>
  <conditionalFormatting sqref="F2:G41">
    <cfRule type="cellIs" dxfId="24" priority="20" operator="between">
      <formula>1.45</formula>
      <formula>2.45</formula>
    </cfRule>
  </conditionalFormatting>
  <conditionalFormatting sqref="C1:E1048576">
    <cfRule type="cellIs" dxfId="23" priority="19" operator="lessThan">
      <formula>0</formula>
    </cfRule>
  </conditionalFormatting>
  <conditionalFormatting sqref="L1:Q41 R1:S1">
    <cfRule type="expression" dxfId="22" priority="14" stopIfTrue="1">
      <formula>IF($A1=$I$2,TRUE,FALSE)</formula>
    </cfRule>
    <cfRule type="expression" dxfId="21" priority="15">
      <formula>IF($A1=$I$2,TRUE,FALSE)</formula>
    </cfRule>
  </conditionalFormatting>
  <conditionalFormatting sqref="Q2:Q41">
    <cfRule type="cellIs" dxfId="20" priority="16" operator="between">
      <formula>1.45</formula>
      <formula>2.45</formula>
    </cfRule>
    <cfRule type="cellIs" dxfId="19" priority="17" operator="greaterThan">
      <formula>2.45</formula>
    </cfRule>
  </conditionalFormatting>
  <conditionalFormatting sqref="N1:P41">
    <cfRule type="cellIs" dxfId="18" priority="18" operator="lessThan">
      <formula>0</formula>
    </cfRule>
  </conditionalFormatting>
  <conditionalFormatting sqref="F2:F41">
    <cfRule type="cellIs" dxfId="17" priority="21" operator="greaterThan">
      <formula>2.45</formula>
    </cfRule>
  </conditionalFormatting>
  <conditionalFormatting sqref="Q1:Q1048576">
    <cfRule type="cellIs" dxfId="16" priority="13" operator="greaterThan">
      <formula>1.45</formula>
    </cfRule>
  </conditionalFormatting>
  <conditionalFormatting sqref="T1:Z1">
    <cfRule type="expression" dxfId="15" priority="8" stopIfTrue="1">
      <formula>IF($A1=$I$2,TRUE,FALSE)</formula>
    </cfRule>
    <cfRule type="expression" dxfId="14" priority="9">
      <formula>IF($A1=$I$2,TRUE,FALSE)</formula>
    </cfRule>
  </conditionalFormatting>
  <conditionalFormatting sqref="V1:X1">
    <cfRule type="cellIs" dxfId="13" priority="12" operator="lessThan">
      <formula>0</formula>
    </cfRule>
  </conditionalFormatting>
  <conditionalFormatting sqref="Y1">
    <cfRule type="cellIs" dxfId="12" priority="7" operator="greaterThan">
      <formula>1.45</formula>
    </cfRule>
  </conditionalFormatting>
  <conditionalFormatting sqref="T2:Y41">
    <cfRule type="expression" dxfId="11" priority="2" stopIfTrue="1">
      <formula>IF($A2=$I$2,TRUE,FALSE)</formula>
    </cfRule>
    <cfRule type="expression" dxfId="10" priority="3">
      <formula>IF($A2=$I$2,TRUE,FALSE)</formula>
    </cfRule>
  </conditionalFormatting>
  <conditionalFormatting sqref="Y2:Y41">
    <cfRule type="cellIs" dxfId="9" priority="4" operator="between">
      <formula>1.45</formula>
      <formula>2.45</formula>
    </cfRule>
    <cfRule type="cellIs" dxfId="8" priority="5" operator="greaterThan">
      <formula>2.45</formula>
    </cfRule>
  </conditionalFormatting>
  <conditionalFormatting sqref="V2:X41">
    <cfRule type="cellIs" dxfId="7" priority="6" operator="lessThan">
      <formula>0</formula>
    </cfRule>
  </conditionalFormatting>
  <conditionalFormatting sqref="Y2:Y41">
    <cfRule type="cellIs" dxfId="6"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9" t="s">
        <v>190</v>
      </c>
      <c r="B1" s="139"/>
      <c r="C1" s="113">
        <v>610</v>
      </c>
      <c r="E1" t="s">
        <v>178</v>
      </c>
    </row>
    <row r="2" spans="1:37">
      <c r="C2" s="158" t="s">
        <v>9</v>
      </c>
      <c r="D2" s="158"/>
      <c r="E2" s="158"/>
      <c r="F2" s="158"/>
      <c r="G2" s="158"/>
      <c r="H2" s="158"/>
      <c r="I2" s="158"/>
      <c r="J2" s="158"/>
      <c r="K2" s="158"/>
      <c r="L2" s="158" t="s">
        <v>1</v>
      </c>
      <c r="M2" s="158"/>
      <c r="N2" s="158"/>
      <c r="O2" s="158"/>
      <c r="P2" s="158"/>
      <c r="Q2" s="158"/>
      <c r="R2" s="158"/>
      <c r="S2" s="158"/>
      <c r="T2" s="158"/>
      <c r="U2" s="158"/>
      <c r="V2" s="158"/>
      <c r="W2" s="158"/>
      <c r="X2" s="158"/>
      <c r="Y2" s="158"/>
      <c r="Z2" s="158"/>
      <c r="AA2" s="158"/>
      <c r="AB2" s="158"/>
      <c r="AC2" s="158"/>
      <c r="AD2" s="158"/>
      <c r="AE2" s="158"/>
      <c r="AF2" s="158"/>
      <c r="AG2" s="158"/>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1</v>
      </c>
      <c r="F4">
        <f>VLOOKUP($C$1, 'Scouting Output'!$A$3:$AJ$998, COLUMN() + 1, FALSE)</f>
        <v>1</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1</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8</v>
      </c>
      <c r="Q4">
        <f>VLOOKUP($C$1, 'Scouting Output'!$A$3:$AJ$998, COLUMN() + 1, FALSE)</f>
        <v>6</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4</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8" t="s">
        <v>9</v>
      </c>
      <c r="D6" s="158"/>
      <c r="E6" s="158"/>
      <c r="F6" s="158"/>
      <c r="G6" s="158"/>
      <c r="H6" s="158"/>
      <c r="I6" s="158"/>
      <c r="J6" s="158"/>
      <c r="K6" s="158"/>
      <c r="L6" s="158" t="s">
        <v>115</v>
      </c>
      <c r="M6" s="158"/>
      <c r="N6" s="158"/>
      <c r="O6" s="158"/>
      <c r="P6" s="158"/>
      <c r="Q6" s="158"/>
      <c r="R6" s="158"/>
      <c r="S6" s="158"/>
      <c r="T6" s="158"/>
      <c r="U6" s="158"/>
      <c r="V6" s="158"/>
      <c r="W6" s="158"/>
      <c r="X6" s="158"/>
      <c r="Y6" s="158"/>
      <c r="Z6" s="158"/>
      <c r="AA6" s="158"/>
      <c r="AB6" s="158"/>
      <c r="AC6" s="158"/>
      <c r="AD6" s="158"/>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P98"/>
  <sheetViews>
    <sheetView zoomScale="80" zoomScaleNormal="80" workbookViewId="0">
      <selection activeCell="O67" sqref="O67"/>
    </sheetView>
  </sheetViews>
  <sheetFormatPr defaultColWidth="9.140625" defaultRowHeight="15"/>
  <cols>
    <col min="1" max="1" width="20.7109375" style="7" customWidth="1"/>
    <col min="2" max="2" width="9.28515625" style="7" customWidth="1"/>
    <col min="3" max="12" width="9.140625" style="7"/>
    <col min="13" max="13" width="9.140625" style="7" customWidth="1"/>
    <col min="14" max="16384" width="9.140625" style="7"/>
  </cols>
  <sheetData>
    <row r="1" spans="1:16">
      <c r="A1" s="159" t="s">
        <v>24</v>
      </c>
      <c r="B1" s="159"/>
      <c r="C1" s="159"/>
      <c r="D1" s="159"/>
      <c r="E1" s="159"/>
      <c r="F1" s="159"/>
      <c r="G1" s="159"/>
      <c r="H1" s="159"/>
      <c r="I1" s="159"/>
      <c r="J1" s="159"/>
    </row>
    <row r="2" spans="1:16" ht="15.75" thickBot="1"/>
    <row r="3" spans="1:16" ht="15.75" customHeight="1">
      <c r="B3" s="8" t="s">
        <v>25</v>
      </c>
      <c r="C3" s="160" t="s">
        <v>26</v>
      </c>
      <c r="D3" s="161"/>
      <c r="E3" s="161"/>
      <c r="F3" s="160" t="s">
        <v>27</v>
      </c>
      <c r="G3" s="161"/>
      <c r="H3" s="161"/>
      <c r="I3" s="160" t="s">
        <v>28</v>
      </c>
      <c r="J3" s="162"/>
      <c r="L3" s="7" t="s">
        <v>294</v>
      </c>
      <c r="M3" s="7">
        <v>919</v>
      </c>
    </row>
    <row r="4" spans="1:16" s="14" customFormat="1" ht="16.5" customHeight="1">
      <c r="A4" s="9" t="s">
        <v>29</v>
      </c>
      <c r="B4" s="10"/>
      <c r="C4" s="11" t="s">
        <v>30</v>
      </c>
      <c r="D4" s="12" t="s">
        <v>31</v>
      </c>
      <c r="E4" s="12" t="s">
        <v>32</v>
      </c>
      <c r="F4" s="11" t="s">
        <v>33</v>
      </c>
      <c r="G4" s="12" t="s">
        <v>34</v>
      </c>
      <c r="H4" s="12" t="s">
        <v>35</v>
      </c>
      <c r="I4" s="11" t="s">
        <v>20</v>
      </c>
      <c r="J4" s="13" t="s">
        <v>21</v>
      </c>
      <c r="L4" s="136"/>
      <c r="M4" s="136"/>
    </row>
    <row r="5" spans="1:16" ht="14.45" customHeight="1">
      <c r="A5" s="122" t="s">
        <v>293</v>
      </c>
      <c r="B5" s="137" t="s">
        <v>36</v>
      </c>
      <c r="C5" s="15">
        <v>1285</v>
      </c>
      <c r="D5" s="16">
        <v>6162</v>
      </c>
      <c r="E5" s="16">
        <v>5406</v>
      </c>
      <c r="F5" s="17">
        <v>5036</v>
      </c>
      <c r="G5" s="18">
        <v>1334</v>
      </c>
      <c r="H5" s="18">
        <v>5076</v>
      </c>
      <c r="I5" s="15"/>
      <c r="J5" s="19"/>
      <c r="O5" s="7">
        <v>188</v>
      </c>
      <c r="P5" s="7" t="s">
        <v>197</v>
      </c>
    </row>
    <row r="6" spans="1:16" ht="14.45" customHeight="1">
      <c r="A6" s="123"/>
      <c r="B6" s="20" t="s">
        <v>37</v>
      </c>
      <c r="C6" s="15">
        <v>2706</v>
      </c>
      <c r="D6" s="16">
        <v>7710</v>
      </c>
      <c r="E6" s="16">
        <v>6342</v>
      </c>
      <c r="F6" s="17">
        <v>188</v>
      </c>
      <c r="G6" s="18">
        <v>7456</v>
      </c>
      <c r="H6" s="18">
        <v>4252</v>
      </c>
      <c r="I6" s="15"/>
      <c r="J6" s="19"/>
      <c r="O6" s="7">
        <v>610</v>
      </c>
      <c r="P6" s="7" t="s">
        <v>198</v>
      </c>
    </row>
    <row r="7" spans="1:16" ht="14.45" customHeight="1">
      <c r="A7" s="123"/>
      <c r="B7" s="20" t="s">
        <v>38</v>
      </c>
      <c r="C7" s="15">
        <v>1246</v>
      </c>
      <c r="D7" s="16">
        <v>5911</v>
      </c>
      <c r="E7" s="16">
        <v>7476</v>
      </c>
      <c r="F7" s="17">
        <v>4308</v>
      </c>
      <c r="G7" s="18">
        <v>6866</v>
      </c>
      <c r="H7" s="18">
        <v>5039</v>
      </c>
      <c r="I7" s="15"/>
      <c r="J7" s="19"/>
      <c r="O7" s="7">
        <v>746</v>
      </c>
      <c r="P7" s="7" t="s">
        <v>367</v>
      </c>
    </row>
    <row r="8" spans="1:16" ht="14.45" customHeight="1">
      <c r="A8" s="123"/>
      <c r="B8" s="20" t="s">
        <v>39</v>
      </c>
      <c r="C8" s="15">
        <v>7136</v>
      </c>
      <c r="D8" s="16">
        <v>746</v>
      </c>
      <c r="E8" s="16">
        <v>7520</v>
      </c>
      <c r="F8" s="17">
        <v>6867</v>
      </c>
      <c r="G8" s="18">
        <v>6397</v>
      </c>
      <c r="H8" s="18">
        <v>6878</v>
      </c>
      <c r="I8" s="15"/>
      <c r="J8" s="19"/>
      <c r="O8" s="7">
        <v>919</v>
      </c>
      <c r="P8" s="7" t="s">
        <v>355</v>
      </c>
    </row>
    <row r="9" spans="1:16" ht="14.45" customHeight="1">
      <c r="A9" s="123"/>
      <c r="B9" s="20" t="s">
        <v>40</v>
      </c>
      <c r="C9" s="15">
        <v>919</v>
      </c>
      <c r="D9" s="16">
        <v>5024</v>
      </c>
      <c r="E9" s="16">
        <v>5031</v>
      </c>
      <c r="F9" s="17">
        <v>7690</v>
      </c>
      <c r="G9" s="18">
        <v>4939</v>
      </c>
      <c r="H9" s="18">
        <v>5719</v>
      </c>
      <c r="I9" s="15"/>
      <c r="J9" s="19"/>
      <c r="O9" s="7">
        <v>1246</v>
      </c>
      <c r="P9" s="7" t="s">
        <v>368</v>
      </c>
    </row>
    <row r="10" spans="1:16" ht="14.45" customHeight="1">
      <c r="A10" s="123"/>
      <c r="B10" s="20" t="s">
        <v>41</v>
      </c>
      <c r="C10" s="15">
        <v>6866</v>
      </c>
      <c r="D10" s="16">
        <v>6342</v>
      </c>
      <c r="E10" s="16">
        <v>1246</v>
      </c>
      <c r="F10" s="17">
        <v>1285</v>
      </c>
      <c r="G10" s="18">
        <v>7136</v>
      </c>
      <c r="H10" s="18">
        <v>5911</v>
      </c>
      <c r="I10" s="15"/>
      <c r="J10" s="19"/>
      <c r="O10" s="7">
        <v>1285</v>
      </c>
      <c r="P10" s="7" t="s">
        <v>356</v>
      </c>
    </row>
    <row r="11" spans="1:16" ht="14.45" customHeight="1">
      <c r="A11" s="123"/>
      <c r="B11" s="20" t="s">
        <v>42</v>
      </c>
      <c r="C11" s="15">
        <v>6878</v>
      </c>
      <c r="D11" s="16">
        <v>7710</v>
      </c>
      <c r="E11" s="16">
        <v>5031</v>
      </c>
      <c r="F11" s="17">
        <v>746</v>
      </c>
      <c r="G11" s="18">
        <v>1334</v>
      </c>
      <c r="H11" s="18">
        <v>188</v>
      </c>
      <c r="I11" s="15"/>
      <c r="J11" s="19"/>
      <c r="O11" s="7">
        <v>1334</v>
      </c>
      <c r="P11" s="7" t="s">
        <v>369</v>
      </c>
    </row>
    <row r="12" spans="1:16" ht="14.45" customHeight="1">
      <c r="A12" s="123"/>
      <c r="B12" s="20" t="s">
        <v>43</v>
      </c>
      <c r="C12" s="15">
        <v>4308</v>
      </c>
      <c r="D12" s="16">
        <v>5036</v>
      </c>
      <c r="E12" s="16">
        <v>7690</v>
      </c>
      <c r="F12" s="17">
        <v>7476</v>
      </c>
      <c r="G12" s="18">
        <v>5076</v>
      </c>
      <c r="H12" s="18">
        <v>7520</v>
      </c>
      <c r="I12" s="15"/>
      <c r="J12" s="19"/>
      <c r="O12" s="7">
        <v>2200</v>
      </c>
      <c r="P12" s="7" t="s">
        <v>199</v>
      </c>
    </row>
    <row r="13" spans="1:16" ht="14.45" customHeight="1">
      <c r="A13" s="123"/>
      <c r="B13" s="20" t="s">
        <v>44</v>
      </c>
      <c r="C13" s="15">
        <v>4252</v>
      </c>
      <c r="D13" s="16">
        <v>4939</v>
      </c>
      <c r="E13" s="16">
        <v>5024</v>
      </c>
      <c r="F13" s="17">
        <v>7456</v>
      </c>
      <c r="G13" s="18">
        <v>5406</v>
      </c>
      <c r="H13" s="18">
        <v>919</v>
      </c>
      <c r="I13" s="15"/>
      <c r="J13" s="19"/>
      <c r="O13" s="7">
        <v>2386</v>
      </c>
      <c r="P13" s="7" t="s">
        <v>200</v>
      </c>
    </row>
    <row r="14" spans="1:16" ht="14.45" customHeight="1">
      <c r="A14" s="123"/>
      <c r="B14" s="20" t="s">
        <v>45</v>
      </c>
      <c r="C14" s="15">
        <v>2706</v>
      </c>
      <c r="D14" s="16">
        <v>6397</v>
      </c>
      <c r="E14" s="16">
        <v>5039</v>
      </c>
      <c r="F14" s="17">
        <v>6162</v>
      </c>
      <c r="G14" s="18">
        <v>6867</v>
      </c>
      <c r="H14" s="18">
        <v>5719</v>
      </c>
      <c r="I14" s="15"/>
      <c r="J14" s="19"/>
      <c r="O14" s="7">
        <v>2706</v>
      </c>
      <c r="P14" s="7" t="s">
        <v>357</v>
      </c>
    </row>
    <row r="15" spans="1:16" ht="14.45" customHeight="1">
      <c r="A15" s="123"/>
      <c r="B15" s="20" t="s">
        <v>46</v>
      </c>
      <c r="C15" s="15">
        <v>7476</v>
      </c>
      <c r="D15" s="16">
        <v>7690</v>
      </c>
      <c r="E15" s="16">
        <v>7136</v>
      </c>
      <c r="F15" s="17">
        <v>7710</v>
      </c>
      <c r="G15" s="18">
        <v>5406</v>
      </c>
      <c r="H15" s="18">
        <v>5076</v>
      </c>
      <c r="I15" s="15"/>
      <c r="J15" s="19"/>
      <c r="O15" s="7">
        <v>2708</v>
      </c>
      <c r="P15" s="7" t="s">
        <v>201</v>
      </c>
    </row>
    <row r="16" spans="1:16" ht="14.45" customHeight="1">
      <c r="A16" s="123"/>
      <c r="B16" s="20" t="s">
        <v>47</v>
      </c>
      <c r="C16" s="15">
        <v>5039</v>
      </c>
      <c r="D16" s="16">
        <v>7456</v>
      </c>
      <c r="E16" s="16">
        <v>1334</v>
      </c>
      <c r="F16" s="17">
        <v>919</v>
      </c>
      <c r="G16" s="18">
        <v>5719</v>
      </c>
      <c r="H16" s="18">
        <v>746</v>
      </c>
      <c r="I16" s="15"/>
      <c r="J16" s="19"/>
      <c r="O16" s="7">
        <v>2852</v>
      </c>
      <c r="P16" s="7" t="s">
        <v>202</v>
      </c>
    </row>
    <row r="17" spans="1:16" ht="14.45" customHeight="1">
      <c r="A17" s="123"/>
      <c r="B17" s="20" t="s">
        <v>48</v>
      </c>
      <c r="C17" s="15">
        <v>5024</v>
      </c>
      <c r="D17" s="16">
        <v>6878</v>
      </c>
      <c r="E17" s="16">
        <v>6162</v>
      </c>
      <c r="F17" s="17">
        <v>1285</v>
      </c>
      <c r="G17" s="18">
        <v>6866</v>
      </c>
      <c r="H17" s="18">
        <v>4252</v>
      </c>
      <c r="I17" s="15"/>
      <c r="J17" s="19"/>
      <c r="O17" s="7">
        <v>2994</v>
      </c>
      <c r="P17" s="7" t="s">
        <v>203</v>
      </c>
    </row>
    <row r="18" spans="1:16" ht="14.45" customHeight="1">
      <c r="A18" s="123"/>
      <c r="B18" s="20" t="s">
        <v>49</v>
      </c>
      <c r="C18" s="15">
        <v>5031</v>
      </c>
      <c r="D18" s="16">
        <v>6397</v>
      </c>
      <c r="E18" s="16">
        <v>4308</v>
      </c>
      <c r="F18" s="17">
        <v>6867</v>
      </c>
      <c r="G18" s="18">
        <v>7520</v>
      </c>
      <c r="H18" s="18">
        <v>6342</v>
      </c>
      <c r="I18" s="15"/>
      <c r="J18" s="19"/>
      <c r="O18" s="7">
        <v>3571</v>
      </c>
      <c r="P18" s="7" t="s">
        <v>204</v>
      </c>
    </row>
    <row r="19" spans="1:16" ht="14.45" customHeight="1">
      <c r="A19" s="123"/>
      <c r="B19" s="20" t="s">
        <v>50</v>
      </c>
      <c r="C19" s="15">
        <v>5036</v>
      </c>
      <c r="D19" s="16">
        <v>1246</v>
      </c>
      <c r="E19" s="16">
        <v>2706</v>
      </c>
      <c r="F19" s="17">
        <v>4939</v>
      </c>
      <c r="G19" s="18">
        <v>188</v>
      </c>
      <c r="H19" s="18">
        <v>5911</v>
      </c>
      <c r="I19" s="15"/>
      <c r="J19" s="19"/>
      <c r="O19" s="7">
        <v>4015</v>
      </c>
      <c r="P19" s="7" t="s">
        <v>205</v>
      </c>
    </row>
    <row r="20" spans="1:16" ht="14.45" customHeight="1">
      <c r="A20" s="123"/>
      <c r="B20" s="20" t="s">
        <v>51</v>
      </c>
      <c r="C20" s="15">
        <v>5719</v>
      </c>
      <c r="D20" s="16">
        <v>7136</v>
      </c>
      <c r="E20" s="16">
        <v>5406</v>
      </c>
      <c r="F20" s="17">
        <v>6878</v>
      </c>
      <c r="G20" s="18">
        <v>919</v>
      </c>
      <c r="H20" s="18">
        <v>7520</v>
      </c>
      <c r="I20" s="15"/>
      <c r="J20" s="19"/>
      <c r="O20" s="7">
        <v>4152</v>
      </c>
      <c r="P20" s="7" t="s">
        <v>206</v>
      </c>
    </row>
    <row r="21" spans="1:16" ht="14.45" customHeight="1">
      <c r="A21" s="123"/>
      <c r="B21" s="20" t="s">
        <v>52</v>
      </c>
      <c r="C21" s="15">
        <v>7690</v>
      </c>
      <c r="D21" s="16">
        <v>5039</v>
      </c>
      <c r="E21" s="16">
        <v>7710</v>
      </c>
      <c r="F21" s="17">
        <v>6342</v>
      </c>
      <c r="G21" s="18">
        <v>746</v>
      </c>
      <c r="H21" s="18">
        <v>5024</v>
      </c>
      <c r="I21" s="15"/>
      <c r="J21" s="19"/>
      <c r="O21" s="7">
        <v>4252</v>
      </c>
      <c r="P21" s="7" t="s">
        <v>370</v>
      </c>
    </row>
    <row r="22" spans="1:16" ht="14.45" customHeight="1">
      <c r="A22" s="123"/>
      <c r="B22" s="20" t="s">
        <v>53</v>
      </c>
      <c r="C22" s="15">
        <v>6397</v>
      </c>
      <c r="D22" s="16">
        <v>1285</v>
      </c>
      <c r="E22" s="16">
        <v>7476</v>
      </c>
      <c r="F22" s="17">
        <v>5911</v>
      </c>
      <c r="G22" s="18">
        <v>7456</v>
      </c>
      <c r="H22" s="18">
        <v>2706</v>
      </c>
      <c r="I22" s="15"/>
      <c r="J22" s="19"/>
      <c r="O22" s="7">
        <v>4308</v>
      </c>
      <c r="P22" s="7" t="s">
        <v>358</v>
      </c>
    </row>
    <row r="23" spans="1:16" ht="14.45" customHeight="1">
      <c r="A23" s="123"/>
      <c r="B23" s="20" t="s">
        <v>54</v>
      </c>
      <c r="C23" s="15">
        <v>1246</v>
      </c>
      <c r="D23" s="16">
        <v>5076</v>
      </c>
      <c r="E23" s="16">
        <v>4308</v>
      </c>
      <c r="F23" s="17">
        <v>4939</v>
      </c>
      <c r="G23" s="18">
        <v>6867</v>
      </c>
      <c r="H23" s="18">
        <v>188</v>
      </c>
      <c r="I23" s="15"/>
      <c r="J23" s="19"/>
      <c r="O23" s="7">
        <v>4476</v>
      </c>
      <c r="P23" s="7" t="s">
        <v>207</v>
      </c>
    </row>
    <row r="24" spans="1:16" ht="14.45" customHeight="1">
      <c r="A24" s="123"/>
      <c r="B24" s="20" t="s">
        <v>55</v>
      </c>
      <c r="C24" s="15">
        <v>5036</v>
      </c>
      <c r="D24" s="16">
        <v>6866</v>
      </c>
      <c r="E24" s="16">
        <v>6162</v>
      </c>
      <c r="F24" s="17">
        <v>1334</v>
      </c>
      <c r="G24" s="18">
        <v>4252</v>
      </c>
      <c r="H24" s="18">
        <v>5031</v>
      </c>
      <c r="I24" s="15"/>
      <c r="J24" s="19"/>
      <c r="O24" s="7">
        <v>4519</v>
      </c>
      <c r="P24" s="7" t="s">
        <v>208</v>
      </c>
    </row>
    <row r="25" spans="1:16" ht="14.45" customHeight="1">
      <c r="A25" s="123"/>
      <c r="B25" s="20" t="s">
        <v>56</v>
      </c>
      <c r="C25" s="15">
        <v>7710</v>
      </c>
      <c r="D25" s="16">
        <v>4939</v>
      </c>
      <c r="E25" s="16">
        <v>7476</v>
      </c>
      <c r="F25" s="17">
        <v>188</v>
      </c>
      <c r="G25" s="18">
        <v>1285</v>
      </c>
      <c r="H25" s="18">
        <v>919</v>
      </c>
      <c r="I25" s="15"/>
      <c r="J25" s="19"/>
      <c r="O25" s="7">
        <v>4525</v>
      </c>
      <c r="P25" s="7" t="s">
        <v>209</v>
      </c>
    </row>
    <row r="26" spans="1:16" ht="14.45" customHeight="1">
      <c r="A26" s="123"/>
      <c r="B26" s="20" t="s">
        <v>57</v>
      </c>
      <c r="C26" s="15">
        <v>5076</v>
      </c>
      <c r="D26" s="16">
        <v>5039</v>
      </c>
      <c r="E26" s="16">
        <v>746</v>
      </c>
      <c r="F26" s="17">
        <v>2706</v>
      </c>
      <c r="G26" s="18">
        <v>6878</v>
      </c>
      <c r="H26" s="18">
        <v>4308</v>
      </c>
      <c r="I26" s="15"/>
      <c r="J26" s="19"/>
      <c r="O26" s="7">
        <v>4704</v>
      </c>
      <c r="P26" s="7" t="s">
        <v>210</v>
      </c>
    </row>
    <row r="27" spans="1:16" ht="14.45" customHeight="1">
      <c r="A27" s="123"/>
      <c r="B27" s="20" t="s">
        <v>58</v>
      </c>
      <c r="C27" s="15">
        <v>6867</v>
      </c>
      <c r="D27" s="16">
        <v>5024</v>
      </c>
      <c r="E27" s="16">
        <v>6866</v>
      </c>
      <c r="F27" s="17">
        <v>5031</v>
      </c>
      <c r="G27" s="18">
        <v>6162</v>
      </c>
      <c r="H27" s="18">
        <v>1334</v>
      </c>
      <c r="I27" s="15"/>
      <c r="J27" s="19"/>
      <c r="O27" s="7">
        <v>4783</v>
      </c>
      <c r="P27" s="7" t="s">
        <v>211</v>
      </c>
    </row>
    <row r="28" spans="1:16" ht="14.45" customHeight="1">
      <c r="A28" s="123"/>
      <c r="B28" s="20" t="s">
        <v>59</v>
      </c>
      <c r="C28" s="15">
        <v>4252</v>
      </c>
      <c r="D28" s="16">
        <v>6342</v>
      </c>
      <c r="E28" s="16">
        <v>7690</v>
      </c>
      <c r="F28" s="17">
        <v>1246</v>
      </c>
      <c r="G28" s="18">
        <v>7136</v>
      </c>
      <c r="H28" s="18">
        <v>6397</v>
      </c>
      <c r="I28" s="15"/>
      <c r="J28" s="19"/>
      <c r="O28" s="7">
        <v>4907</v>
      </c>
      <c r="P28" s="7" t="s">
        <v>212</v>
      </c>
    </row>
    <row r="29" spans="1:16" ht="14.45" customHeight="1">
      <c r="A29" s="123"/>
      <c r="B29" s="20" t="s">
        <v>60</v>
      </c>
      <c r="C29" s="15">
        <v>5719</v>
      </c>
      <c r="D29" s="16">
        <v>7520</v>
      </c>
      <c r="E29" s="16">
        <v>7456</v>
      </c>
      <c r="F29" s="17">
        <v>5406</v>
      </c>
      <c r="G29" s="18">
        <v>5911</v>
      </c>
      <c r="H29" s="18">
        <v>5036</v>
      </c>
      <c r="I29" s="15"/>
      <c r="J29" s="19"/>
      <c r="O29" s="7">
        <v>4936</v>
      </c>
      <c r="P29" s="7" t="s">
        <v>213</v>
      </c>
    </row>
    <row r="30" spans="1:16" ht="14.45" customHeight="1">
      <c r="A30" s="123"/>
      <c r="B30" s="20" t="s">
        <v>61</v>
      </c>
      <c r="C30" s="15">
        <v>6867</v>
      </c>
      <c r="D30" s="16">
        <v>188</v>
      </c>
      <c r="E30" s="16">
        <v>5076</v>
      </c>
      <c r="F30" s="17">
        <v>5024</v>
      </c>
      <c r="G30" s="18">
        <v>1334</v>
      </c>
      <c r="H30" s="18">
        <v>7476</v>
      </c>
      <c r="I30" s="15"/>
      <c r="J30" s="19"/>
      <c r="O30" s="7">
        <v>4939</v>
      </c>
      <c r="P30" s="7" t="s">
        <v>359</v>
      </c>
    </row>
    <row r="31" spans="1:16" ht="14.45" customHeight="1">
      <c r="A31" s="123"/>
      <c r="B31" s="20" t="s">
        <v>62</v>
      </c>
      <c r="C31" s="15">
        <v>7520</v>
      </c>
      <c r="D31" s="16">
        <v>7710</v>
      </c>
      <c r="E31" s="16">
        <v>5036</v>
      </c>
      <c r="F31" s="17">
        <v>5406</v>
      </c>
      <c r="G31" s="18">
        <v>5039</v>
      </c>
      <c r="H31" s="18">
        <v>1246</v>
      </c>
      <c r="I31" s="15"/>
      <c r="J31" s="19"/>
      <c r="O31" s="7">
        <v>4946</v>
      </c>
      <c r="P31" s="7" t="s">
        <v>214</v>
      </c>
    </row>
    <row r="32" spans="1:16" ht="14.45" customHeight="1">
      <c r="A32" s="123"/>
      <c r="B32" s="20" t="s">
        <v>63</v>
      </c>
      <c r="C32" s="15">
        <v>7456</v>
      </c>
      <c r="D32" s="16">
        <v>919</v>
      </c>
      <c r="E32" s="16">
        <v>4308</v>
      </c>
      <c r="F32" s="17">
        <v>6866</v>
      </c>
      <c r="G32" s="18">
        <v>6342</v>
      </c>
      <c r="H32" s="18">
        <v>6878</v>
      </c>
      <c r="I32" s="15"/>
      <c r="J32" s="19"/>
      <c r="O32" s="7">
        <v>4951</v>
      </c>
      <c r="P32" s="7" t="s">
        <v>215</v>
      </c>
    </row>
    <row r="33" spans="1:16" ht="14.45" customHeight="1">
      <c r="A33" s="123"/>
      <c r="B33" s="20" t="s">
        <v>64</v>
      </c>
      <c r="C33" s="15">
        <v>5031</v>
      </c>
      <c r="D33" s="16">
        <v>746</v>
      </c>
      <c r="E33" s="16">
        <v>1285</v>
      </c>
      <c r="F33" s="17">
        <v>5911</v>
      </c>
      <c r="G33" s="18">
        <v>4252</v>
      </c>
      <c r="H33" s="18">
        <v>5719</v>
      </c>
      <c r="I33" s="15"/>
      <c r="J33" s="19"/>
      <c r="O33" s="7">
        <v>5024</v>
      </c>
      <c r="P33" s="7" t="s">
        <v>371</v>
      </c>
    </row>
    <row r="34" spans="1:16" ht="14.45" customHeight="1">
      <c r="A34" s="123"/>
      <c r="B34" s="20" t="s">
        <v>65</v>
      </c>
      <c r="C34" s="15">
        <v>7136</v>
      </c>
      <c r="D34" s="16">
        <v>2706</v>
      </c>
      <c r="E34" s="16">
        <v>4939</v>
      </c>
      <c r="F34" s="17">
        <v>7690</v>
      </c>
      <c r="G34" s="18">
        <v>6162</v>
      </c>
      <c r="H34" s="18">
        <v>6397</v>
      </c>
      <c r="I34" s="15"/>
      <c r="J34" s="19"/>
      <c r="O34" s="7">
        <v>5031</v>
      </c>
      <c r="P34" s="7" t="s">
        <v>360</v>
      </c>
    </row>
    <row r="35" spans="1:16" ht="14.45" customHeight="1">
      <c r="A35" s="123"/>
      <c r="B35" s="20" t="s">
        <v>66</v>
      </c>
      <c r="C35" s="15">
        <v>1334</v>
      </c>
      <c r="D35" s="16">
        <v>5719</v>
      </c>
      <c r="E35" s="16">
        <v>1285</v>
      </c>
      <c r="F35" s="17">
        <v>7520</v>
      </c>
      <c r="G35" s="18">
        <v>4308</v>
      </c>
      <c r="H35" s="18">
        <v>5911</v>
      </c>
      <c r="I35" s="15"/>
      <c r="J35" s="19"/>
      <c r="O35" s="7">
        <v>5036</v>
      </c>
      <c r="P35" s="7" t="s">
        <v>216</v>
      </c>
    </row>
    <row r="36" spans="1:16" ht="14.45" customHeight="1">
      <c r="A36" s="123"/>
      <c r="B36" s="20" t="s">
        <v>67</v>
      </c>
      <c r="C36" s="15">
        <v>5039</v>
      </c>
      <c r="D36" s="16">
        <v>6867</v>
      </c>
      <c r="E36" s="16">
        <v>746</v>
      </c>
      <c r="F36" s="17">
        <v>7136</v>
      </c>
      <c r="G36" s="18">
        <v>4252</v>
      </c>
      <c r="H36" s="18">
        <v>5036</v>
      </c>
      <c r="I36" s="15"/>
      <c r="J36" s="19"/>
      <c r="O36" s="7">
        <v>5039</v>
      </c>
      <c r="P36" s="7" t="s">
        <v>361</v>
      </c>
    </row>
    <row r="37" spans="1:16" ht="14.45" customHeight="1">
      <c r="A37" s="123"/>
      <c r="B37" s="20" t="s">
        <v>68</v>
      </c>
      <c r="C37" s="15">
        <v>6162</v>
      </c>
      <c r="D37" s="16">
        <v>188</v>
      </c>
      <c r="E37" s="16">
        <v>5406</v>
      </c>
      <c r="F37" s="17">
        <v>7690</v>
      </c>
      <c r="G37" s="18">
        <v>1246</v>
      </c>
      <c r="H37" s="18">
        <v>7456</v>
      </c>
      <c r="I37" s="15"/>
      <c r="J37" s="19"/>
      <c r="O37" s="138">
        <v>5076</v>
      </c>
      <c r="P37" s="7" t="s">
        <v>372</v>
      </c>
    </row>
    <row r="38" spans="1:16" ht="14.45" customHeight="1">
      <c r="A38" s="123"/>
      <c r="B38" s="20" t="s">
        <v>69</v>
      </c>
      <c r="C38" s="15">
        <v>6342</v>
      </c>
      <c r="D38" s="16">
        <v>7476</v>
      </c>
      <c r="E38" s="16">
        <v>919</v>
      </c>
      <c r="F38" s="17">
        <v>6878</v>
      </c>
      <c r="G38" s="18">
        <v>5031</v>
      </c>
      <c r="H38" s="18">
        <v>4939</v>
      </c>
      <c r="I38" s="15"/>
      <c r="J38" s="19"/>
      <c r="O38" s="7">
        <v>5406</v>
      </c>
      <c r="P38" s="7" t="s">
        <v>362</v>
      </c>
    </row>
    <row r="39" spans="1:16" ht="14.45" customHeight="1">
      <c r="A39" s="123"/>
      <c r="B39" s="20" t="s">
        <v>70</v>
      </c>
      <c r="C39" s="15">
        <v>5076</v>
      </c>
      <c r="D39" s="16">
        <v>2706</v>
      </c>
      <c r="E39" s="16">
        <v>6866</v>
      </c>
      <c r="F39" s="17">
        <v>6397</v>
      </c>
      <c r="G39" s="18">
        <v>5024</v>
      </c>
      <c r="H39" s="18">
        <v>7710</v>
      </c>
      <c r="I39" s="15"/>
      <c r="J39" s="19"/>
      <c r="O39" s="7">
        <v>5409</v>
      </c>
      <c r="P39" s="7" t="s">
        <v>217</v>
      </c>
    </row>
    <row r="40" spans="1:16" ht="14.45" customHeight="1">
      <c r="A40" s="123"/>
      <c r="B40" s="20" t="s">
        <v>71</v>
      </c>
      <c r="C40" s="15">
        <v>4308</v>
      </c>
      <c r="D40" s="16">
        <v>6342</v>
      </c>
      <c r="E40" s="16">
        <v>1334</v>
      </c>
      <c r="F40" s="17">
        <v>746</v>
      </c>
      <c r="G40" s="18">
        <v>7690</v>
      </c>
      <c r="H40" s="18">
        <v>5036</v>
      </c>
      <c r="I40" s="15"/>
      <c r="J40" s="19"/>
      <c r="O40" s="7">
        <v>5426</v>
      </c>
      <c r="P40" s="7" t="s">
        <v>218</v>
      </c>
    </row>
    <row r="41" spans="1:16" ht="14.45" customHeight="1">
      <c r="A41" s="123"/>
      <c r="B41" s="20" t="s">
        <v>72</v>
      </c>
      <c r="C41" s="15">
        <v>7710</v>
      </c>
      <c r="D41" s="16">
        <v>4252</v>
      </c>
      <c r="E41" s="16">
        <v>919</v>
      </c>
      <c r="F41" s="17">
        <v>5406</v>
      </c>
      <c r="G41" s="18">
        <v>5076</v>
      </c>
      <c r="H41" s="18">
        <v>7520</v>
      </c>
      <c r="I41" s="15"/>
      <c r="J41" s="19"/>
      <c r="O41" s="7">
        <v>5719</v>
      </c>
      <c r="P41" s="7" t="s">
        <v>373</v>
      </c>
    </row>
    <row r="42" spans="1:16" ht="14.45" customHeight="1">
      <c r="A42" s="123"/>
      <c r="B42" s="20" t="s">
        <v>73</v>
      </c>
      <c r="C42" s="15">
        <v>5911</v>
      </c>
      <c r="D42" s="16">
        <v>5031</v>
      </c>
      <c r="E42" s="16">
        <v>6867</v>
      </c>
      <c r="F42" s="17">
        <v>188</v>
      </c>
      <c r="G42" s="18">
        <v>7476</v>
      </c>
      <c r="H42" s="18">
        <v>2706</v>
      </c>
      <c r="I42" s="15"/>
      <c r="J42" s="19"/>
      <c r="O42" s="7">
        <v>5885</v>
      </c>
      <c r="P42" s="7" t="s">
        <v>219</v>
      </c>
    </row>
    <row r="43" spans="1:16" ht="14.45" customHeight="1">
      <c r="A43" s="123"/>
      <c r="B43" s="20" t="s">
        <v>74</v>
      </c>
      <c r="C43" s="15">
        <v>5719</v>
      </c>
      <c r="D43" s="16">
        <v>6866</v>
      </c>
      <c r="E43" s="16">
        <v>6397</v>
      </c>
      <c r="F43" s="17">
        <v>5039</v>
      </c>
      <c r="G43" s="18">
        <v>4939</v>
      </c>
      <c r="H43" s="18">
        <v>6162</v>
      </c>
      <c r="I43" s="15"/>
      <c r="J43" s="19"/>
      <c r="O43" s="7">
        <v>5911</v>
      </c>
      <c r="P43" s="7" t="s">
        <v>374</v>
      </c>
    </row>
    <row r="44" spans="1:16" ht="14.45" customHeight="1">
      <c r="A44" s="123"/>
      <c r="B44" s="20" t="s">
        <v>75</v>
      </c>
      <c r="C44" s="15">
        <v>5024</v>
      </c>
      <c r="D44" s="16">
        <v>7136</v>
      </c>
      <c r="E44" s="16">
        <v>7456</v>
      </c>
      <c r="F44" s="17">
        <v>1285</v>
      </c>
      <c r="G44" s="18">
        <v>1246</v>
      </c>
      <c r="H44" s="18">
        <v>6878</v>
      </c>
      <c r="I44" s="15"/>
      <c r="J44" s="19"/>
      <c r="O44" s="7">
        <v>6070</v>
      </c>
      <c r="P44" s="7" t="s">
        <v>220</v>
      </c>
    </row>
    <row r="45" spans="1:16" ht="14.45" customHeight="1">
      <c r="A45" s="123"/>
      <c r="B45" s="20" t="s">
        <v>76</v>
      </c>
      <c r="C45" s="15">
        <v>1334</v>
      </c>
      <c r="D45" s="16">
        <v>5406</v>
      </c>
      <c r="E45" s="16">
        <v>7690</v>
      </c>
      <c r="F45" s="17">
        <v>919</v>
      </c>
      <c r="G45" s="18">
        <v>2706</v>
      </c>
      <c r="H45" s="18">
        <v>5031</v>
      </c>
      <c r="I45" s="15"/>
      <c r="J45" s="19"/>
      <c r="O45" s="7">
        <v>6110</v>
      </c>
      <c r="P45" s="7" t="s">
        <v>221</v>
      </c>
    </row>
    <row r="46" spans="1:16" ht="14.45" customHeight="1">
      <c r="A46" s="123"/>
      <c r="B46" s="20" t="s">
        <v>77</v>
      </c>
      <c r="C46" s="15">
        <v>1246</v>
      </c>
      <c r="D46" s="16">
        <v>5719</v>
      </c>
      <c r="E46" s="16">
        <v>746</v>
      </c>
      <c r="F46" s="17">
        <v>7476</v>
      </c>
      <c r="G46" s="18">
        <v>4308</v>
      </c>
      <c r="H46" s="18">
        <v>4252</v>
      </c>
      <c r="I46" s="15"/>
      <c r="J46" s="19"/>
      <c r="O46" s="7">
        <v>6135</v>
      </c>
      <c r="P46" s="7" t="s">
        <v>222</v>
      </c>
    </row>
    <row r="47" spans="1:16" ht="14.45" customHeight="1">
      <c r="A47" s="123"/>
      <c r="B47" s="20" t="s">
        <v>78</v>
      </c>
      <c r="C47" s="15">
        <v>6878</v>
      </c>
      <c r="D47" s="16">
        <v>5036</v>
      </c>
      <c r="E47" s="16">
        <v>6867</v>
      </c>
      <c r="F47" s="17">
        <v>7710</v>
      </c>
      <c r="G47" s="18">
        <v>6162</v>
      </c>
      <c r="H47" s="18">
        <v>1285</v>
      </c>
      <c r="I47" s="15"/>
      <c r="J47" s="19"/>
      <c r="O47" s="7">
        <v>6162</v>
      </c>
      <c r="P47" s="7" t="s">
        <v>375</v>
      </c>
    </row>
    <row r="48" spans="1:16" ht="14.45" customHeight="1">
      <c r="A48" s="123"/>
      <c r="B48" s="20" t="s">
        <v>79</v>
      </c>
      <c r="C48" s="15">
        <v>6866</v>
      </c>
      <c r="D48" s="16">
        <v>7456</v>
      </c>
      <c r="E48" s="16">
        <v>4939</v>
      </c>
      <c r="F48" s="17">
        <v>5076</v>
      </c>
      <c r="G48" s="18">
        <v>5911</v>
      </c>
      <c r="H48" s="18">
        <v>6397</v>
      </c>
      <c r="I48" s="15"/>
      <c r="J48" s="19"/>
      <c r="O48" s="7">
        <v>6342</v>
      </c>
      <c r="P48" s="7" t="s">
        <v>363</v>
      </c>
    </row>
    <row r="49" spans="1:16" ht="14.45" customHeight="1">
      <c r="A49" s="123"/>
      <c r="B49" s="20" t="s">
        <v>80</v>
      </c>
      <c r="C49" s="15">
        <v>7520</v>
      </c>
      <c r="D49" s="16">
        <v>5024</v>
      </c>
      <c r="E49" s="16">
        <v>188</v>
      </c>
      <c r="F49" s="17">
        <v>6342</v>
      </c>
      <c r="G49" s="18">
        <v>5039</v>
      </c>
      <c r="H49" s="18">
        <v>7136</v>
      </c>
      <c r="I49" s="15"/>
      <c r="J49" s="19"/>
      <c r="O49" s="7">
        <v>6397</v>
      </c>
      <c r="P49" s="7" t="s">
        <v>376</v>
      </c>
    </row>
    <row r="50" spans="1:16" ht="14.45" customHeight="1">
      <c r="A50" s="123"/>
      <c r="B50" s="20" t="s">
        <v>81</v>
      </c>
      <c r="C50" s="15">
        <v>6162</v>
      </c>
      <c r="D50" s="16">
        <v>919</v>
      </c>
      <c r="E50" s="16">
        <v>5911</v>
      </c>
      <c r="F50" s="17">
        <v>5406</v>
      </c>
      <c r="G50" s="18">
        <v>4308</v>
      </c>
      <c r="H50" s="18">
        <v>6867</v>
      </c>
      <c r="I50" s="15"/>
      <c r="J50" s="19"/>
      <c r="O50" s="7">
        <v>6514</v>
      </c>
      <c r="P50" s="7" t="s">
        <v>223</v>
      </c>
    </row>
    <row r="51" spans="1:16" ht="14.45" customHeight="1">
      <c r="A51" s="123"/>
      <c r="B51" s="20" t="s">
        <v>82</v>
      </c>
      <c r="C51" s="15">
        <v>6342</v>
      </c>
      <c r="D51" s="16">
        <v>188</v>
      </c>
      <c r="E51" s="16">
        <v>6397</v>
      </c>
      <c r="F51" s="17">
        <v>746</v>
      </c>
      <c r="G51" s="18">
        <v>7476</v>
      </c>
      <c r="H51" s="18">
        <v>6866</v>
      </c>
      <c r="I51" s="15"/>
      <c r="J51" s="19"/>
      <c r="O51" s="7">
        <v>6859</v>
      </c>
      <c r="P51" s="7" t="s">
        <v>224</v>
      </c>
    </row>
    <row r="52" spans="1:16" ht="14.45" customHeight="1">
      <c r="A52" s="123"/>
      <c r="B52" s="20" t="s">
        <v>83</v>
      </c>
      <c r="C52" s="15">
        <v>4939</v>
      </c>
      <c r="D52" s="16">
        <v>5036</v>
      </c>
      <c r="E52" s="16">
        <v>1285</v>
      </c>
      <c r="F52" s="17">
        <v>7136</v>
      </c>
      <c r="G52" s="18">
        <v>1334</v>
      </c>
      <c r="H52" s="18">
        <v>7710</v>
      </c>
      <c r="I52" s="15"/>
      <c r="J52" s="19"/>
      <c r="O52" s="7">
        <v>6864</v>
      </c>
      <c r="P52" s="7" t="s">
        <v>225</v>
      </c>
    </row>
    <row r="53" spans="1:16" ht="14.45" customHeight="1">
      <c r="A53" s="123"/>
      <c r="B53" s="20" t="s">
        <v>84</v>
      </c>
      <c r="C53" s="15">
        <v>5719</v>
      </c>
      <c r="D53" s="16">
        <v>5031</v>
      </c>
      <c r="E53" s="16">
        <v>5039</v>
      </c>
      <c r="F53" s="17">
        <v>5076</v>
      </c>
      <c r="G53" s="18">
        <v>6878</v>
      </c>
      <c r="H53" s="18">
        <v>7456</v>
      </c>
      <c r="I53" s="15"/>
      <c r="J53" s="19"/>
      <c r="O53" s="7">
        <v>6866</v>
      </c>
      <c r="P53" s="7" t="s">
        <v>226</v>
      </c>
    </row>
    <row r="54" spans="1:16" ht="14.45" customHeight="1">
      <c r="A54" s="123"/>
      <c r="B54" s="20" t="s">
        <v>85</v>
      </c>
      <c r="C54" s="15">
        <v>4252</v>
      </c>
      <c r="D54" s="16">
        <v>7520</v>
      </c>
      <c r="E54" s="16">
        <v>1246</v>
      </c>
      <c r="F54" s="17">
        <v>5024</v>
      </c>
      <c r="G54" s="18">
        <v>7690</v>
      </c>
      <c r="H54" s="18">
        <v>2706</v>
      </c>
      <c r="I54" s="15"/>
      <c r="J54" s="19"/>
      <c r="O54" s="7">
        <v>6867</v>
      </c>
      <c r="P54" s="7" t="s">
        <v>227</v>
      </c>
    </row>
    <row r="55" spans="1:16" ht="14.45" customHeight="1">
      <c r="A55" s="123"/>
      <c r="B55" s="20" t="s">
        <v>86</v>
      </c>
      <c r="C55" s="15">
        <v>746</v>
      </c>
      <c r="D55" s="16">
        <v>5911</v>
      </c>
      <c r="E55" s="16">
        <v>7710</v>
      </c>
      <c r="F55" s="17">
        <v>4939</v>
      </c>
      <c r="G55" s="18">
        <v>5076</v>
      </c>
      <c r="H55" s="18">
        <v>6342</v>
      </c>
      <c r="I55" s="15"/>
      <c r="J55" s="19"/>
      <c r="O55" s="7">
        <v>6878</v>
      </c>
      <c r="P55" s="7" t="s">
        <v>377</v>
      </c>
    </row>
    <row r="56" spans="1:16" ht="14.45" customHeight="1">
      <c r="A56" s="123"/>
      <c r="B56" s="20" t="s">
        <v>87</v>
      </c>
      <c r="C56" s="15">
        <v>6878</v>
      </c>
      <c r="D56" s="16">
        <v>6867</v>
      </c>
      <c r="E56" s="16">
        <v>1334</v>
      </c>
      <c r="F56" s="17">
        <v>7520</v>
      </c>
      <c r="G56" s="18">
        <v>7690</v>
      </c>
      <c r="H56" s="18">
        <v>6866</v>
      </c>
      <c r="I56" s="15"/>
      <c r="J56" s="19"/>
      <c r="O56" s="7">
        <v>6975</v>
      </c>
      <c r="P56" s="7" t="s">
        <v>228</v>
      </c>
    </row>
    <row r="57" spans="1:16" ht="14.45" customHeight="1">
      <c r="A57" s="123"/>
      <c r="B57" s="20" t="s">
        <v>88</v>
      </c>
      <c r="C57" s="15">
        <v>6162</v>
      </c>
      <c r="D57" s="16">
        <v>1285</v>
      </c>
      <c r="E57" s="16">
        <v>7456</v>
      </c>
      <c r="F57" s="17">
        <v>919</v>
      </c>
      <c r="G57" s="18">
        <v>2706</v>
      </c>
      <c r="H57" s="18">
        <v>1246</v>
      </c>
      <c r="I57" s="15"/>
      <c r="J57" s="19"/>
      <c r="O57" s="7">
        <v>6987</v>
      </c>
      <c r="P57" s="7" t="s">
        <v>229</v>
      </c>
    </row>
    <row r="58" spans="1:16" ht="14.45" customHeight="1">
      <c r="A58" s="123"/>
      <c r="B58" s="20" t="s">
        <v>89</v>
      </c>
      <c r="C58" s="15">
        <v>188</v>
      </c>
      <c r="D58" s="16">
        <v>4308</v>
      </c>
      <c r="E58" s="16">
        <v>7136</v>
      </c>
      <c r="F58" s="17">
        <v>5036</v>
      </c>
      <c r="G58" s="18">
        <v>5719</v>
      </c>
      <c r="H58" s="18">
        <v>5024</v>
      </c>
      <c r="I58" s="15"/>
      <c r="J58" s="19"/>
      <c r="O58" s="7">
        <v>7136</v>
      </c>
      <c r="P58" s="7" t="s">
        <v>364</v>
      </c>
    </row>
    <row r="59" spans="1:16" ht="14.45" customHeight="1">
      <c r="A59" s="123"/>
      <c r="B59" s="20" t="s">
        <v>90</v>
      </c>
      <c r="C59" s="15">
        <v>6397</v>
      </c>
      <c r="D59" s="16">
        <v>5406</v>
      </c>
      <c r="E59" s="16">
        <v>4252</v>
      </c>
      <c r="F59" s="17">
        <v>5031</v>
      </c>
      <c r="G59" s="18">
        <v>7476</v>
      </c>
      <c r="H59" s="18">
        <v>5039</v>
      </c>
      <c r="I59" s="15"/>
      <c r="J59" s="19"/>
      <c r="O59" s="7">
        <v>7267</v>
      </c>
      <c r="P59" s="7" t="s">
        <v>230</v>
      </c>
    </row>
    <row r="60" spans="1:16" ht="14.45" customHeight="1">
      <c r="A60" s="123"/>
      <c r="B60" s="20" t="s">
        <v>91</v>
      </c>
      <c r="C60" s="15">
        <v>5911</v>
      </c>
      <c r="D60" s="16">
        <v>6878</v>
      </c>
      <c r="E60" s="16">
        <v>7690</v>
      </c>
      <c r="F60" s="17">
        <v>4308</v>
      </c>
      <c r="G60" s="18">
        <v>7710</v>
      </c>
      <c r="H60" s="18">
        <v>5719</v>
      </c>
      <c r="I60" s="15"/>
      <c r="J60" s="19"/>
      <c r="O60" s="7">
        <v>7456</v>
      </c>
      <c r="P60" s="7" t="s">
        <v>365</v>
      </c>
    </row>
    <row r="61" spans="1:16" ht="14.45" customHeight="1">
      <c r="A61" s="123"/>
      <c r="B61" s="20" t="s">
        <v>92</v>
      </c>
      <c r="C61" s="15">
        <v>2706</v>
      </c>
      <c r="D61" s="16">
        <v>7520</v>
      </c>
      <c r="E61" s="16">
        <v>4939</v>
      </c>
      <c r="F61" s="17">
        <v>4252</v>
      </c>
      <c r="G61" s="18">
        <v>746</v>
      </c>
      <c r="H61" s="18">
        <v>6162</v>
      </c>
      <c r="I61" s="15"/>
      <c r="J61" s="19"/>
      <c r="O61" s="7">
        <v>7476</v>
      </c>
      <c r="P61" s="7" t="s">
        <v>378</v>
      </c>
    </row>
    <row r="62" spans="1:16" ht="14.45" customHeight="1">
      <c r="A62" s="123"/>
      <c r="B62" s="20" t="s">
        <v>93</v>
      </c>
      <c r="C62" s="15">
        <v>7476</v>
      </c>
      <c r="D62" s="16">
        <v>5406</v>
      </c>
      <c r="E62" s="16">
        <v>6867</v>
      </c>
      <c r="F62" s="17">
        <v>7456</v>
      </c>
      <c r="G62" s="18">
        <v>1285</v>
      </c>
      <c r="H62" s="18">
        <v>6342</v>
      </c>
      <c r="I62" s="15"/>
      <c r="J62" s="19"/>
      <c r="O62" s="7">
        <v>7520</v>
      </c>
      <c r="P62" s="7" t="s">
        <v>366</v>
      </c>
    </row>
    <row r="63" spans="1:16" ht="14.45" customHeight="1">
      <c r="A63" s="123"/>
      <c r="B63" s="20" t="s">
        <v>94</v>
      </c>
      <c r="C63" s="15">
        <v>1334</v>
      </c>
      <c r="D63" s="16">
        <v>919</v>
      </c>
      <c r="E63" s="16">
        <v>5076</v>
      </c>
      <c r="F63" s="17">
        <v>6397</v>
      </c>
      <c r="G63" s="18">
        <v>1246</v>
      </c>
      <c r="H63" s="18">
        <v>5024</v>
      </c>
      <c r="I63" s="15"/>
      <c r="J63" s="19"/>
      <c r="O63" s="7">
        <v>7564</v>
      </c>
      <c r="P63" s="7" t="s">
        <v>231</v>
      </c>
    </row>
    <row r="64" spans="1:16" ht="14.45" customHeight="1">
      <c r="A64" s="123"/>
      <c r="B64" s="20" t="s">
        <v>95</v>
      </c>
      <c r="C64" s="15">
        <v>5039</v>
      </c>
      <c r="D64" s="16">
        <v>5036</v>
      </c>
      <c r="E64" s="16">
        <v>188</v>
      </c>
      <c r="F64" s="17">
        <v>6866</v>
      </c>
      <c r="G64" s="18">
        <v>5031</v>
      </c>
      <c r="H64" s="18">
        <v>7136</v>
      </c>
      <c r="I64" s="15"/>
      <c r="J64" s="19"/>
      <c r="O64" s="7">
        <v>7614</v>
      </c>
      <c r="P64" s="7" t="s">
        <v>232</v>
      </c>
    </row>
    <row r="65" spans="1:16" ht="14.45" customHeight="1">
      <c r="A65" s="123"/>
      <c r="B65" s="137"/>
      <c r="C65" s="15"/>
      <c r="D65" s="16"/>
      <c r="E65" s="16"/>
      <c r="F65" s="17"/>
      <c r="G65" s="18"/>
      <c r="H65" s="18"/>
      <c r="I65" s="15"/>
      <c r="J65" s="19"/>
      <c r="O65" s="7">
        <v>7690</v>
      </c>
      <c r="P65" s="7" t="s">
        <v>233</v>
      </c>
    </row>
    <row r="66" spans="1:16" ht="14.45" customHeight="1">
      <c r="A66" s="123"/>
      <c r="B66" s="20"/>
      <c r="C66" s="15"/>
      <c r="D66" s="16"/>
      <c r="E66" s="16"/>
      <c r="F66" s="17"/>
      <c r="G66" s="18"/>
      <c r="H66" s="18"/>
      <c r="I66" s="15"/>
      <c r="J66" s="19"/>
      <c r="O66" s="7">
        <v>7710</v>
      </c>
      <c r="P66" s="7" t="s">
        <v>234</v>
      </c>
    </row>
    <row r="67" spans="1:16" ht="14.45" customHeight="1">
      <c r="A67" s="123"/>
      <c r="B67" s="20"/>
      <c r="C67" s="15"/>
      <c r="D67" s="16"/>
      <c r="E67" s="16"/>
      <c r="F67" s="17"/>
      <c r="G67" s="18"/>
      <c r="H67" s="18"/>
      <c r="I67" s="15"/>
      <c r="J67" s="19"/>
      <c r="O67" s="7">
        <v>7712</v>
      </c>
      <c r="P67" s="7" t="s">
        <v>235</v>
      </c>
    </row>
    <row r="68" spans="1:16" ht="14.45" customHeight="1">
      <c r="A68" s="123"/>
      <c r="B68" s="20"/>
      <c r="C68" s="15"/>
      <c r="D68" s="16"/>
      <c r="E68" s="16"/>
      <c r="F68" s="17"/>
      <c r="G68" s="18"/>
      <c r="H68" s="18"/>
      <c r="I68" s="15"/>
      <c r="J68" s="19"/>
      <c r="O68" s="7">
        <v>7735</v>
      </c>
      <c r="P68" s="7" t="s">
        <v>236</v>
      </c>
    </row>
    <row r="69" spans="1:16" ht="14.45" customHeight="1">
      <c r="A69" s="123"/>
      <c r="B69" s="20"/>
      <c r="C69" s="15"/>
      <c r="D69" s="16"/>
      <c r="E69" s="16"/>
      <c r="F69" s="17"/>
      <c r="G69" s="18"/>
      <c r="H69" s="18"/>
      <c r="I69" s="15"/>
      <c r="J69" s="19"/>
      <c r="O69" s="138" t="s">
        <v>354</v>
      </c>
    </row>
    <row r="70" spans="1:16" ht="14.45" customHeight="1">
      <c r="A70" s="123"/>
      <c r="B70" s="20"/>
      <c r="C70" s="15"/>
      <c r="D70" s="16"/>
      <c r="E70" s="16"/>
      <c r="F70" s="17"/>
      <c r="G70" s="18"/>
      <c r="H70" s="18"/>
      <c r="I70" s="15"/>
      <c r="J70" s="19"/>
    </row>
    <row r="71" spans="1:16" ht="14.45" customHeight="1">
      <c r="A71" s="123"/>
      <c r="B71" s="20"/>
      <c r="C71" s="15"/>
      <c r="D71" s="16"/>
      <c r="E71" s="16"/>
      <c r="F71" s="17"/>
      <c r="G71" s="18"/>
      <c r="H71" s="18"/>
      <c r="I71" s="15"/>
      <c r="J71" s="19"/>
    </row>
    <row r="72" spans="1:16" ht="14.45" customHeight="1">
      <c r="A72" s="123"/>
      <c r="B72" s="20"/>
      <c r="C72" s="15"/>
      <c r="D72" s="16"/>
      <c r="E72" s="16"/>
      <c r="F72" s="17"/>
      <c r="G72" s="18"/>
      <c r="H72" s="18"/>
      <c r="I72" s="15"/>
      <c r="J72" s="19"/>
    </row>
    <row r="73" spans="1:16" ht="14.45" customHeight="1">
      <c r="A73" s="123"/>
      <c r="B73" s="20"/>
      <c r="C73" s="15"/>
      <c r="D73" s="16"/>
      <c r="E73" s="16"/>
      <c r="F73" s="17"/>
      <c r="G73" s="18"/>
      <c r="H73" s="18"/>
      <c r="I73" s="15"/>
      <c r="J73" s="19"/>
    </row>
    <row r="74" spans="1:16" ht="14.45" customHeight="1">
      <c r="A74" s="123"/>
      <c r="B74" s="20"/>
      <c r="C74" s="15"/>
      <c r="D74" s="16"/>
      <c r="E74" s="16"/>
      <c r="F74" s="17"/>
      <c r="G74" s="18"/>
      <c r="H74" s="18"/>
      <c r="I74" s="15"/>
      <c r="J74" s="19"/>
    </row>
    <row r="75" spans="1:16" ht="14.45" customHeight="1">
      <c r="A75" s="123"/>
      <c r="B75" s="20"/>
      <c r="C75" s="15"/>
      <c r="D75" s="16"/>
      <c r="E75" s="16"/>
      <c r="F75" s="17"/>
      <c r="G75" s="18"/>
      <c r="H75" s="18"/>
      <c r="I75" s="15"/>
      <c r="J75" s="19"/>
    </row>
    <row r="76" spans="1:16" ht="14.45" customHeight="1">
      <c r="A76" s="123"/>
      <c r="B76" s="20"/>
      <c r="C76" s="15"/>
      <c r="D76" s="16"/>
      <c r="E76" s="16"/>
      <c r="F76" s="17"/>
      <c r="G76" s="18"/>
      <c r="H76" s="18"/>
      <c r="I76" s="15"/>
      <c r="J76" s="19"/>
    </row>
    <row r="77" spans="1:16" ht="14.45" customHeight="1">
      <c r="A77" s="123"/>
      <c r="B77" s="20"/>
      <c r="C77" s="15"/>
      <c r="D77" s="16"/>
      <c r="E77" s="16"/>
      <c r="F77" s="17"/>
      <c r="G77" s="18"/>
      <c r="H77" s="18"/>
      <c r="I77" s="15"/>
      <c r="J77" s="19"/>
    </row>
    <row r="78" spans="1:16" ht="14.45" customHeight="1">
      <c r="A78" s="123"/>
      <c r="B78" s="20"/>
      <c r="C78" s="15"/>
      <c r="D78" s="16"/>
      <c r="E78" s="16"/>
      <c r="F78" s="17"/>
      <c r="G78" s="18"/>
      <c r="H78" s="18"/>
      <c r="I78" s="15"/>
      <c r="J78" s="19"/>
    </row>
    <row r="79" spans="1:16" ht="14.45" customHeight="1">
      <c r="A79" s="123"/>
      <c r="B79" s="20"/>
      <c r="C79" s="15"/>
      <c r="D79" s="16"/>
      <c r="E79" s="16"/>
      <c r="F79" s="17"/>
      <c r="G79" s="18"/>
      <c r="H79" s="18"/>
      <c r="I79" s="15"/>
      <c r="J79" s="19"/>
    </row>
    <row r="80" spans="1:16"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137"/>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5" priority="4" operator="equal">
      <formula>6135</formula>
    </cfRule>
  </conditionalFormatting>
  <conditionalFormatting sqref="F1:H1048576">
    <cfRule type="cellIs" dxfId="4" priority="3" operator="equal">
      <formula>6135</formula>
    </cfRule>
  </conditionalFormatting>
  <conditionalFormatting sqref="C1:H1048576">
    <cfRule type="cellIs" dxfId="3" priority="1" operator="equal">
      <formula>$M$3</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3" t="s">
        <v>150</v>
      </c>
      <c r="B1" s="163"/>
      <c r="C1" s="163"/>
      <c r="D1" s="163"/>
      <c r="E1" s="163"/>
      <c r="F1" s="163"/>
      <c r="G1" s="163"/>
      <c r="H1" s="163"/>
      <c r="I1" s="163"/>
      <c r="J1" s="163"/>
      <c r="K1" s="163"/>
      <c r="L1" s="163"/>
      <c r="M1" s="163"/>
      <c r="N1" s="163"/>
      <c r="O1" s="163"/>
      <c r="P1" s="163"/>
      <c r="Q1" s="163"/>
      <c r="R1" s="163"/>
      <c r="S1" s="163"/>
      <c r="T1" s="163"/>
      <c r="U1" s="163"/>
      <c r="V1" s="163"/>
      <c r="W1" s="163"/>
      <c r="X1" s="163"/>
      <c r="Y1" s="163"/>
      <c r="Z1" s="163"/>
      <c r="AA1" s="163"/>
    </row>
    <row r="2" spans="1:27">
      <c r="A2" s="163"/>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row>
    <row r="3" spans="1:27">
      <c r="A3" s="152" t="s">
        <v>0</v>
      </c>
      <c r="B3" s="152"/>
      <c r="C3" s="152"/>
      <c r="D3" s="1"/>
      <c r="E3" s="1"/>
      <c r="F3" s="1"/>
      <c r="G3" s="152" t="s">
        <v>9</v>
      </c>
      <c r="H3" s="152"/>
      <c r="I3" s="152"/>
      <c r="J3" s="152"/>
      <c r="K3" s="152"/>
      <c r="L3" s="152"/>
      <c r="M3" s="152"/>
      <c r="N3" s="139" t="s">
        <v>1</v>
      </c>
      <c r="O3" s="139"/>
      <c r="P3" s="139"/>
      <c r="Q3" s="139"/>
      <c r="R3" s="139"/>
      <c r="S3" s="139"/>
      <c r="T3" s="139"/>
      <c r="U3" s="139"/>
      <c r="V3" s="139"/>
      <c r="W3" s="139"/>
      <c r="X3" s="139"/>
      <c r="Y3" s="139" t="s">
        <v>2</v>
      </c>
      <c r="Z3" s="139"/>
      <c r="AA3" s="139"/>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2200</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2386</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2708</v>
      </c>
      <c r="E9" s="75">
        <v>4</v>
      </c>
      <c r="F9" s="75">
        <v>4</v>
      </c>
      <c r="G9">
        <v>4</v>
      </c>
      <c r="H9">
        <v>4</v>
      </c>
      <c r="I9">
        <v>4</v>
      </c>
      <c r="J9">
        <v>4</v>
      </c>
      <c r="K9">
        <v>4</v>
      </c>
      <c r="L9">
        <v>4</v>
      </c>
      <c r="M9">
        <v>4</v>
      </c>
      <c r="N9">
        <v>4</v>
      </c>
      <c r="O9">
        <v>4</v>
      </c>
      <c r="P9">
        <v>4</v>
      </c>
      <c r="Q9">
        <v>4</v>
      </c>
      <c r="R9">
        <v>4</v>
      </c>
      <c r="S9">
        <v>4</v>
      </c>
      <c r="T9">
        <v>4</v>
      </c>
      <c r="U9">
        <v>4</v>
      </c>
    </row>
    <row r="10" spans="1:27">
      <c r="A10">
        <f>'Scouting Output'!$A8</f>
        <v>2852</v>
      </c>
      <c r="E10" s="75">
        <v>5</v>
      </c>
      <c r="N10">
        <v>5</v>
      </c>
      <c r="O10">
        <v>5</v>
      </c>
    </row>
    <row r="11" spans="1:27">
      <c r="A11">
        <f>'Scouting Output'!$A9</f>
        <v>2994</v>
      </c>
      <c r="E11" s="75">
        <v>6</v>
      </c>
      <c r="N11">
        <v>6</v>
      </c>
      <c r="O11">
        <v>6</v>
      </c>
    </row>
    <row r="12" spans="1:27">
      <c r="A12">
        <f>'Scouting Output'!$A10</f>
        <v>3571</v>
      </c>
      <c r="E12" s="75">
        <v>7</v>
      </c>
      <c r="N12">
        <v>7</v>
      </c>
      <c r="O12">
        <v>7</v>
      </c>
    </row>
    <row r="13" spans="1:27">
      <c r="A13">
        <f>'Scouting Output'!$A11</f>
        <v>4015</v>
      </c>
      <c r="E13" s="75">
        <v>8</v>
      </c>
      <c r="N13">
        <v>8</v>
      </c>
      <c r="O13">
        <v>8</v>
      </c>
    </row>
    <row r="14" spans="1:27">
      <c r="A14">
        <f>'Scouting Output'!$A12</f>
        <v>4152</v>
      </c>
    </row>
    <row r="15" spans="1:27">
      <c r="A15">
        <f>'Scouting Output'!$A13</f>
        <v>4476</v>
      </c>
      <c r="G15" t="s">
        <v>144</v>
      </c>
    </row>
    <row r="16" spans="1:27">
      <c r="A16">
        <f>'Scouting Output'!$A14</f>
        <v>4519</v>
      </c>
    </row>
    <row r="17" spans="1:1">
      <c r="A17">
        <f>'Scouting Output'!$A15</f>
        <v>4525</v>
      </c>
    </row>
    <row r="18" spans="1:1">
      <c r="A18">
        <f>'Scouting Output'!$A16</f>
        <v>4704</v>
      </c>
    </row>
    <row r="19" spans="1:1">
      <c r="A19">
        <f>'Scouting Output'!$A17</f>
        <v>4783</v>
      </c>
    </row>
    <row r="20" spans="1:1">
      <c r="A20">
        <f>'Scouting Output'!$A18</f>
        <v>4907</v>
      </c>
    </row>
    <row r="21" spans="1:1">
      <c r="A21">
        <f>'Scouting Output'!$A19</f>
        <v>4936</v>
      </c>
    </row>
    <row r="22" spans="1:1">
      <c r="A22">
        <f>'Scouting Output'!$A20</f>
        <v>4946</v>
      </c>
    </row>
    <row r="23" spans="1:1">
      <c r="A23">
        <f>'Scouting Output'!$A21</f>
        <v>4951</v>
      </c>
    </row>
    <row r="24" spans="1:1">
      <c r="A24">
        <f>'Scouting Output'!$A22</f>
        <v>5036</v>
      </c>
    </row>
    <row r="25" spans="1:1">
      <c r="A25">
        <f>'Scouting Output'!$A23</f>
        <v>5409</v>
      </c>
    </row>
    <row r="26" spans="1:1">
      <c r="A26">
        <f>'Scouting Output'!$A24</f>
        <v>5426</v>
      </c>
    </row>
    <row r="27" spans="1:1">
      <c r="A27">
        <f>'Scouting Output'!$A25</f>
        <v>5885</v>
      </c>
    </row>
    <row r="28" spans="1:1">
      <c r="A28">
        <f>'Scouting Output'!$A26</f>
        <v>6070</v>
      </c>
    </row>
    <row r="29" spans="1:1">
      <c r="A29">
        <f>'Scouting Output'!$A27</f>
        <v>6110</v>
      </c>
    </row>
    <row r="30" spans="1:1">
      <c r="A30">
        <f>'Scouting Output'!$A28</f>
        <v>6135</v>
      </c>
    </row>
    <row r="31" spans="1:1">
      <c r="A31">
        <f>'Scouting Output'!$A29</f>
        <v>6514</v>
      </c>
    </row>
    <row r="32" spans="1:1">
      <c r="A32">
        <f>'Scouting Output'!$A30</f>
        <v>6859</v>
      </c>
    </row>
    <row r="33" spans="1:1">
      <c r="A33">
        <f>'Scouting Output'!$A31</f>
        <v>6864</v>
      </c>
    </row>
    <row r="34" spans="1:1">
      <c r="A34">
        <f>'Scouting Output'!$A32</f>
        <v>6866</v>
      </c>
    </row>
    <row r="35" spans="1:1">
      <c r="A35">
        <f>'Scouting Output'!$A33</f>
        <v>6867</v>
      </c>
    </row>
    <row r="36" spans="1:1">
      <c r="A36">
        <f>'Scouting Output'!$A34</f>
        <v>6975</v>
      </c>
    </row>
    <row r="37" spans="1:1">
      <c r="A37">
        <f>'Scouting Output'!$A35</f>
        <v>6987</v>
      </c>
    </row>
    <row r="38" spans="1:1">
      <c r="A38">
        <f>'Scouting Output'!$A36</f>
        <v>7267</v>
      </c>
    </row>
    <row r="39" spans="1:1">
      <c r="A39">
        <f>'Scouting Output'!$A37</f>
        <v>7564</v>
      </c>
    </row>
    <row r="40" spans="1:1">
      <c r="A40">
        <f>'Scouting Output'!$A38</f>
        <v>7614</v>
      </c>
    </row>
    <row r="41" spans="1:1">
      <c r="A41">
        <f>'Scouting Output'!$A39</f>
        <v>7690</v>
      </c>
    </row>
    <row r="42" spans="1:1">
      <c r="A42">
        <f>'Scouting Output'!$A40</f>
        <v>7710</v>
      </c>
    </row>
    <row r="43" spans="1:1">
      <c r="A43">
        <f>'Scouting Output'!$A41</f>
        <v>7712</v>
      </c>
    </row>
    <row r="44" spans="1:1">
      <c r="A44">
        <f>'Scouting Output'!$A42</f>
        <v>7735</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4" t="s">
        <v>172</v>
      </c>
      <c r="C16" s="164"/>
      <c r="D16" s="164"/>
      <c r="E16" s="164"/>
      <c r="F16" s="164"/>
      <c r="G16" s="164"/>
      <c r="H16" s="164"/>
      <c r="I16" s="164"/>
      <c r="J16" s="164"/>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4" t="s">
        <v>196</v>
      </c>
      <c r="C28" s="164"/>
      <c r="D28" s="164"/>
      <c r="E28" s="164"/>
      <c r="F28" s="164"/>
      <c r="G28" s="164"/>
      <c r="H28" s="164"/>
      <c r="I28" s="164"/>
      <c r="J28" s="164"/>
      <c r="K28" s="164"/>
      <c r="L28" s="164"/>
    </row>
    <row r="29" spans="1:12" ht="21" customHeight="1">
      <c r="B29" t="s">
        <v>173</v>
      </c>
    </row>
    <row r="32" spans="1:12">
      <c r="A32" s="30" t="s">
        <v>156</v>
      </c>
    </row>
    <row r="33" spans="1:12">
      <c r="B33" t="s">
        <v>174</v>
      </c>
    </row>
    <row r="34" spans="1:12" ht="18.2" customHeight="1">
      <c r="B34" t="s">
        <v>175</v>
      </c>
    </row>
    <row r="35" spans="1:12" ht="32.1" customHeight="1">
      <c r="B35" s="140" t="s">
        <v>176</v>
      </c>
      <c r="C35" s="140"/>
      <c r="D35" s="140"/>
      <c r="E35" s="140"/>
      <c r="F35" s="140"/>
      <c r="G35" s="140"/>
      <c r="H35" s="140"/>
      <c r="I35" s="140"/>
      <c r="J35" s="140"/>
      <c r="K35" s="140"/>
      <c r="L35" s="140"/>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40" t="s">
        <v>185</v>
      </c>
      <c r="D49" s="140"/>
      <c r="E49" s="140"/>
      <c r="F49" s="140"/>
      <c r="G49" s="140"/>
      <c r="H49" s="140"/>
      <c r="I49" s="140"/>
      <c r="J49" s="140"/>
      <c r="K49" s="140"/>
      <c r="L49" s="140"/>
      <c r="M49" s="140"/>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5" t="s">
        <v>163</v>
      </c>
      <c r="B65" s="165"/>
      <c r="C65" s="165"/>
      <c r="D65" s="165"/>
      <c r="E65" s="165"/>
      <c r="F65" s="165"/>
      <c r="G65" s="165"/>
      <c r="H65" s="165"/>
      <c r="I65" s="165"/>
      <c r="J65" s="165"/>
      <c r="K65" s="165"/>
      <c r="L65" s="165"/>
      <c r="M65" s="165"/>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66" t="s">
        <v>103</v>
      </c>
      <c r="C3" s="167"/>
      <c r="D3" s="168"/>
      <c r="E3" s="95" t="s">
        <v>20</v>
      </c>
      <c r="F3" s="95" t="s">
        <v>104</v>
      </c>
      <c r="G3" s="166" t="s">
        <v>105</v>
      </c>
      <c r="H3" s="167"/>
      <c r="I3" s="167"/>
      <c r="J3" s="168"/>
      <c r="K3" s="96" t="s">
        <v>6</v>
      </c>
      <c r="L3" s="45"/>
      <c r="N3" s="40"/>
      <c r="O3" s="166" t="s">
        <v>103</v>
      </c>
      <c r="P3" s="167"/>
      <c r="Q3" s="168"/>
      <c r="R3" s="95" t="s">
        <v>20</v>
      </c>
      <c r="S3" s="95" t="s">
        <v>104</v>
      </c>
      <c r="T3" s="166" t="s">
        <v>105</v>
      </c>
      <c r="U3" s="167"/>
      <c r="V3" s="167"/>
      <c r="W3" s="168"/>
      <c r="X3" s="96" t="s">
        <v>6</v>
      </c>
      <c r="Y3" s="38"/>
      <c r="Z3" s="41"/>
      <c r="AA3" s="41"/>
      <c r="AB3" s="41"/>
      <c r="AC3" s="41"/>
      <c r="AD3" s="41"/>
      <c r="AE3" s="41"/>
    </row>
    <row r="4" spans="1:31" ht="15.95" customHeight="1">
      <c r="A4" s="39"/>
      <c r="B4" s="169" t="s">
        <v>106</v>
      </c>
      <c r="C4" s="170"/>
      <c r="D4" s="171"/>
      <c r="E4" s="70" t="s">
        <v>111</v>
      </c>
      <c r="F4" s="107" t="s">
        <v>112</v>
      </c>
      <c r="G4" s="42" t="s">
        <v>107</v>
      </c>
      <c r="H4" s="43" t="s">
        <v>108</v>
      </c>
      <c r="I4" s="43" t="s">
        <v>109</v>
      </c>
      <c r="J4" s="44" t="s">
        <v>110</v>
      </c>
      <c r="K4" s="97" t="s">
        <v>5</v>
      </c>
      <c r="L4" s="45"/>
      <c r="N4" s="94"/>
      <c r="O4" s="169" t="s">
        <v>106</v>
      </c>
      <c r="P4" s="170"/>
      <c r="Q4" s="171"/>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72" t="s">
        <v>117</v>
      </c>
      <c r="D6" s="172"/>
      <c r="E6" s="172"/>
      <c r="F6" s="172"/>
      <c r="G6" s="172" t="s">
        <v>116</v>
      </c>
      <c r="H6" s="173"/>
      <c r="I6" s="173"/>
      <c r="J6" s="173"/>
      <c r="K6" s="97" t="s">
        <v>118</v>
      </c>
      <c r="L6" s="45"/>
      <c r="N6" s="45"/>
      <c r="O6" s="99" t="s">
        <v>115</v>
      </c>
      <c r="P6" s="172" t="s">
        <v>117</v>
      </c>
      <c r="Q6" s="172"/>
      <c r="R6" s="172"/>
      <c r="S6" s="172"/>
      <c r="T6" s="172" t="s">
        <v>116</v>
      </c>
      <c r="U6" s="173"/>
      <c r="V6" s="173"/>
      <c r="W6" s="173"/>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74" t="s">
        <v>125</v>
      </c>
      <c r="C10" s="63">
        <v>1</v>
      </c>
      <c r="D10" s="64">
        <v>2</v>
      </c>
      <c r="E10" s="43">
        <v>3</v>
      </c>
      <c r="F10" s="44">
        <v>4</v>
      </c>
      <c r="G10" s="42">
        <v>1</v>
      </c>
      <c r="H10" s="43">
        <v>2</v>
      </c>
      <c r="I10" s="43">
        <v>3</v>
      </c>
      <c r="J10" s="44">
        <v>4</v>
      </c>
      <c r="K10" s="96" t="s">
        <v>122</v>
      </c>
      <c r="L10" s="94"/>
      <c r="N10" s="38"/>
      <c r="O10" s="174" t="s">
        <v>125</v>
      </c>
      <c r="P10" s="63">
        <v>1</v>
      </c>
      <c r="Q10" s="64">
        <v>2</v>
      </c>
      <c r="R10" s="43">
        <v>3</v>
      </c>
      <c r="S10" s="44">
        <v>4</v>
      </c>
      <c r="T10" s="42">
        <v>1</v>
      </c>
      <c r="U10" s="43">
        <v>2</v>
      </c>
      <c r="V10" s="43">
        <v>3</v>
      </c>
      <c r="W10" s="44">
        <v>4</v>
      </c>
      <c r="X10" s="96" t="s">
        <v>122</v>
      </c>
      <c r="Y10" s="38"/>
    </row>
    <row r="11" spans="1:31" ht="15.95" customHeight="1" thickBot="1">
      <c r="A11" s="56"/>
      <c r="B11" s="175"/>
      <c r="C11" s="65">
        <v>5</v>
      </c>
      <c r="D11" s="66">
        <v>6</v>
      </c>
      <c r="E11" s="61">
        <v>7</v>
      </c>
      <c r="F11" s="62">
        <v>8</v>
      </c>
      <c r="G11" s="60">
        <v>5</v>
      </c>
      <c r="H11" s="61">
        <v>6</v>
      </c>
      <c r="I11" s="61">
        <v>7</v>
      </c>
      <c r="J11" s="62">
        <v>8</v>
      </c>
      <c r="K11" s="101" t="s">
        <v>126</v>
      </c>
      <c r="L11" s="40"/>
      <c r="N11" s="38"/>
      <c r="O11" s="175"/>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76" t="s">
        <v>128</v>
      </c>
      <c r="G12" s="176"/>
      <c r="H12" s="68">
        <v>2</v>
      </c>
      <c r="I12" s="68">
        <v>3</v>
      </c>
      <c r="J12" s="69"/>
      <c r="K12" s="104" t="s">
        <v>122</v>
      </c>
      <c r="L12" s="38"/>
      <c r="N12" s="38"/>
      <c r="O12" s="54" t="s">
        <v>127</v>
      </c>
      <c r="P12" s="67">
        <v>1</v>
      </c>
      <c r="Q12" s="68">
        <v>2</v>
      </c>
      <c r="R12" s="68">
        <v>3</v>
      </c>
      <c r="S12" s="176" t="s">
        <v>128</v>
      </c>
      <c r="T12" s="176"/>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66" t="s">
        <v>103</v>
      </c>
      <c r="C16" s="167"/>
      <c r="D16" s="168"/>
      <c r="E16" s="95" t="s">
        <v>20</v>
      </c>
      <c r="F16" s="95" t="s">
        <v>104</v>
      </c>
      <c r="G16" s="166" t="s">
        <v>105</v>
      </c>
      <c r="H16" s="167"/>
      <c r="I16" s="167"/>
      <c r="J16" s="168"/>
      <c r="K16" s="96" t="s">
        <v>6</v>
      </c>
      <c r="L16" s="45"/>
      <c r="N16" s="40"/>
      <c r="O16" s="166" t="s">
        <v>103</v>
      </c>
      <c r="P16" s="167"/>
      <c r="Q16" s="168"/>
      <c r="R16" s="95" t="s">
        <v>20</v>
      </c>
      <c r="S16" s="95" t="s">
        <v>104</v>
      </c>
      <c r="T16" s="166" t="s">
        <v>105</v>
      </c>
      <c r="U16" s="167"/>
      <c r="V16" s="167"/>
      <c r="W16" s="168"/>
      <c r="X16" s="96" t="s">
        <v>6</v>
      </c>
      <c r="Y16" s="55"/>
    </row>
    <row r="17" spans="1:25" ht="15.95" customHeight="1">
      <c r="A17" s="39"/>
      <c r="B17" s="169" t="s">
        <v>106</v>
      </c>
      <c r="C17" s="170"/>
      <c r="D17" s="171"/>
      <c r="E17" s="70" t="s">
        <v>111</v>
      </c>
      <c r="F17" s="107" t="s">
        <v>112</v>
      </c>
      <c r="G17" s="42" t="s">
        <v>107</v>
      </c>
      <c r="H17" s="43" t="s">
        <v>108</v>
      </c>
      <c r="I17" s="43" t="s">
        <v>109</v>
      </c>
      <c r="J17" s="44" t="s">
        <v>110</v>
      </c>
      <c r="K17" s="97" t="s">
        <v>5</v>
      </c>
      <c r="L17" s="45"/>
      <c r="N17" s="94"/>
      <c r="O17" s="169" t="s">
        <v>106</v>
      </c>
      <c r="P17" s="170"/>
      <c r="Q17" s="171"/>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72" t="s">
        <v>117</v>
      </c>
      <c r="D19" s="172"/>
      <c r="E19" s="172"/>
      <c r="F19" s="172"/>
      <c r="G19" s="172" t="s">
        <v>116</v>
      </c>
      <c r="H19" s="173"/>
      <c r="I19" s="173"/>
      <c r="J19" s="173"/>
      <c r="K19" s="97" t="s">
        <v>118</v>
      </c>
      <c r="L19" s="45"/>
      <c r="N19" s="45"/>
      <c r="O19" s="99" t="s">
        <v>115</v>
      </c>
      <c r="P19" s="172" t="s">
        <v>117</v>
      </c>
      <c r="Q19" s="172"/>
      <c r="R19" s="172"/>
      <c r="S19" s="172"/>
      <c r="T19" s="172" t="s">
        <v>116</v>
      </c>
      <c r="U19" s="173"/>
      <c r="V19" s="173"/>
      <c r="W19" s="173"/>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74" t="s">
        <v>125</v>
      </c>
      <c r="C23" s="63">
        <v>1</v>
      </c>
      <c r="D23" s="64">
        <v>2</v>
      </c>
      <c r="E23" s="43">
        <v>3</v>
      </c>
      <c r="F23" s="44">
        <v>4</v>
      </c>
      <c r="G23" s="42">
        <v>1</v>
      </c>
      <c r="H23" s="43">
        <v>2</v>
      </c>
      <c r="I23" s="43">
        <v>3</v>
      </c>
      <c r="J23" s="44">
        <v>4</v>
      </c>
      <c r="K23" s="96" t="s">
        <v>122</v>
      </c>
      <c r="L23" s="38"/>
      <c r="N23" s="38"/>
      <c r="O23" s="174" t="s">
        <v>125</v>
      </c>
      <c r="P23" s="63">
        <v>1</v>
      </c>
      <c r="Q23" s="64">
        <v>2</v>
      </c>
      <c r="R23" s="43">
        <v>3</v>
      </c>
      <c r="S23" s="44">
        <v>4</v>
      </c>
      <c r="T23" s="42">
        <v>1</v>
      </c>
      <c r="U23" s="43">
        <v>2</v>
      </c>
      <c r="V23" s="43">
        <v>3</v>
      </c>
      <c r="W23" s="44">
        <v>4</v>
      </c>
      <c r="X23" s="96" t="s">
        <v>122</v>
      </c>
      <c r="Y23" s="38"/>
    </row>
    <row r="24" spans="1:25" ht="15.95" customHeight="1" thickBot="1">
      <c r="A24" s="53"/>
      <c r="B24" s="175"/>
      <c r="C24" s="65">
        <v>5</v>
      </c>
      <c r="D24" s="66">
        <v>6</v>
      </c>
      <c r="E24" s="61">
        <v>7</v>
      </c>
      <c r="F24" s="62">
        <v>8</v>
      </c>
      <c r="G24" s="60">
        <v>5</v>
      </c>
      <c r="H24" s="61">
        <v>6</v>
      </c>
      <c r="I24" s="61">
        <v>7</v>
      </c>
      <c r="J24" s="62">
        <v>8</v>
      </c>
      <c r="K24" s="101" t="s">
        <v>126</v>
      </c>
      <c r="L24" s="38"/>
      <c r="N24" s="38"/>
      <c r="O24" s="175"/>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76" t="s">
        <v>128</v>
      </c>
      <c r="G25" s="176"/>
      <c r="H25" s="68">
        <v>2</v>
      </c>
      <c r="I25" s="68">
        <v>3</v>
      </c>
      <c r="J25" s="69"/>
      <c r="K25" s="104" t="s">
        <v>122</v>
      </c>
      <c r="L25" s="57"/>
      <c r="N25" s="57"/>
      <c r="O25" s="54" t="s">
        <v>127</v>
      </c>
      <c r="P25" s="67">
        <v>1</v>
      </c>
      <c r="Q25" s="68">
        <v>2</v>
      </c>
      <c r="R25" s="68">
        <v>3</v>
      </c>
      <c r="S25" s="176" t="s">
        <v>128</v>
      </c>
      <c r="T25" s="176"/>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66" t="s">
        <v>103</v>
      </c>
      <c r="C29" s="167"/>
      <c r="D29" s="168"/>
      <c r="E29" s="95" t="s">
        <v>20</v>
      </c>
      <c r="F29" s="95" t="s">
        <v>104</v>
      </c>
      <c r="G29" s="166" t="s">
        <v>105</v>
      </c>
      <c r="H29" s="167"/>
      <c r="I29" s="167"/>
      <c r="J29" s="168"/>
      <c r="K29" s="96" t="s">
        <v>6</v>
      </c>
      <c r="L29" s="45"/>
      <c r="N29" s="40"/>
      <c r="O29" s="166" t="s">
        <v>103</v>
      </c>
      <c r="P29" s="167"/>
      <c r="Q29" s="168"/>
      <c r="R29" s="95" t="s">
        <v>20</v>
      </c>
      <c r="S29" s="95" t="s">
        <v>104</v>
      </c>
      <c r="T29" s="166" t="s">
        <v>105</v>
      </c>
      <c r="U29" s="167"/>
      <c r="V29" s="167"/>
      <c r="W29" s="168"/>
      <c r="X29" s="96" t="s">
        <v>6</v>
      </c>
      <c r="Y29" s="55"/>
    </row>
    <row r="30" spans="1:25" ht="15.95" customHeight="1">
      <c r="A30" s="39"/>
      <c r="B30" s="169" t="s">
        <v>106</v>
      </c>
      <c r="C30" s="170"/>
      <c r="D30" s="171"/>
      <c r="E30" s="70" t="s">
        <v>111</v>
      </c>
      <c r="F30" s="107" t="s">
        <v>112</v>
      </c>
      <c r="G30" s="42" t="s">
        <v>107</v>
      </c>
      <c r="H30" s="43" t="s">
        <v>108</v>
      </c>
      <c r="I30" s="43" t="s">
        <v>109</v>
      </c>
      <c r="J30" s="44" t="s">
        <v>110</v>
      </c>
      <c r="K30" s="97" t="s">
        <v>5</v>
      </c>
      <c r="L30" s="45"/>
      <c r="N30" s="94"/>
      <c r="O30" s="169" t="s">
        <v>106</v>
      </c>
      <c r="P30" s="170"/>
      <c r="Q30" s="171"/>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72" t="s">
        <v>117</v>
      </c>
      <c r="D32" s="172"/>
      <c r="E32" s="172"/>
      <c r="F32" s="172"/>
      <c r="G32" s="172" t="s">
        <v>116</v>
      </c>
      <c r="H32" s="173"/>
      <c r="I32" s="173"/>
      <c r="J32" s="173"/>
      <c r="K32" s="97" t="s">
        <v>118</v>
      </c>
      <c r="L32" s="45"/>
      <c r="N32" s="45"/>
      <c r="O32" s="99" t="s">
        <v>115</v>
      </c>
      <c r="P32" s="172" t="s">
        <v>117</v>
      </c>
      <c r="Q32" s="172"/>
      <c r="R32" s="172"/>
      <c r="S32" s="172"/>
      <c r="T32" s="172" t="s">
        <v>116</v>
      </c>
      <c r="U32" s="173"/>
      <c r="V32" s="173"/>
      <c r="W32" s="173"/>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74" t="s">
        <v>125</v>
      </c>
      <c r="C36" s="63">
        <v>1</v>
      </c>
      <c r="D36" s="64">
        <v>2</v>
      </c>
      <c r="E36" s="43">
        <v>3</v>
      </c>
      <c r="F36" s="44">
        <v>4</v>
      </c>
      <c r="G36" s="42">
        <v>1</v>
      </c>
      <c r="H36" s="43">
        <v>2</v>
      </c>
      <c r="I36" s="43">
        <v>3</v>
      </c>
      <c r="J36" s="44">
        <v>4</v>
      </c>
      <c r="K36" s="96" t="s">
        <v>122</v>
      </c>
      <c r="L36" s="38"/>
      <c r="N36" s="38"/>
      <c r="O36" s="174" t="s">
        <v>125</v>
      </c>
      <c r="P36" s="63">
        <v>1</v>
      </c>
      <c r="Q36" s="64">
        <v>2</v>
      </c>
      <c r="R36" s="43">
        <v>3</v>
      </c>
      <c r="S36" s="44">
        <v>4</v>
      </c>
      <c r="T36" s="42">
        <v>1</v>
      </c>
      <c r="U36" s="43">
        <v>2</v>
      </c>
      <c r="V36" s="43">
        <v>3</v>
      </c>
      <c r="W36" s="44">
        <v>4</v>
      </c>
      <c r="X36" s="96" t="s">
        <v>122</v>
      </c>
      <c r="Y36" s="38"/>
    </row>
    <row r="37" spans="1:25" ht="15.95" customHeight="1" thickBot="1">
      <c r="A37" s="53"/>
      <c r="B37" s="175"/>
      <c r="C37" s="65">
        <v>5</v>
      </c>
      <c r="D37" s="66">
        <v>6</v>
      </c>
      <c r="E37" s="61">
        <v>7</v>
      </c>
      <c r="F37" s="62">
        <v>8</v>
      </c>
      <c r="G37" s="60">
        <v>5</v>
      </c>
      <c r="H37" s="61">
        <v>6</v>
      </c>
      <c r="I37" s="61">
        <v>7</v>
      </c>
      <c r="J37" s="62">
        <v>8</v>
      </c>
      <c r="K37" s="101" t="s">
        <v>126</v>
      </c>
      <c r="L37" s="38"/>
      <c r="N37" s="38"/>
      <c r="O37" s="175"/>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76" t="s">
        <v>128</v>
      </c>
      <c r="G38" s="176"/>
      <c r="H38" s="68">
        <v>2</v>
      </c>
      <c r="I38" s="68">
        <v>3</v>
      </c>
      <c r="J38" s="69"/>
      <c r="K38" s="104" t="s">
        <v>122</v>
      </c>
      <c r="L38" s="38"/>
      <c r="N38" s="38"/>
      <c r="O38" s="54" t="s">
        <v>127</v>
      </c>
      <c r="P38" s="67">
        <v>1</v>
      </c>
      <c r="Q38" s="68">
        <v>2</v>
      </c>
      <c r="R38" s="68">
        <v>3</v>
      </c>
      <c r="S38" s="176" t="s">
        <v>128</v>
      </c>
      <c r="T38" s="176"/>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66" t="s">
        <v>103</v>
      </c>
      <c r="C42" s="167"/>
      <c r="D42" s="168"/>
      <c r="E42" s="95" t="s">
        <v>20</v>
      </c>
      <c r="F42" s="95" t="s">
        <v>104</v>
      </c>
      <c r="G42" s="166" t="s">
        <v>105</v>
      </c>
      <c r="H42" s="167"/>
      <c r="I42" s="167"/>
      <c r="J42" s="168"/>
      <c r="K42" s="96" t="s">
        <v>6</v>
      </c>
      <c r="L42" s="45"/>
      <c r="N42" s="40"/>
      <c r="O42" s="166" t="s">
        <v>103</v>
      </c>
      <c r="P42" s="167"/>
      <c r="Q42" s="168"/>
      <c r="R42" s="95" t="s">
        <v>20</v>
      </c>
      <c r="S42" s="95" t="s">
        <v>104</v>
      </c>
      <c r="T42" s="166" t="s">
        <v>105</v>
      </c>
      <c r="U42" s="167"/>
      <c r="V42" s="167"/>
      <c r="W42" s="168"/>
      <c r="X42" s="96" t="s">
        <v>6</v>
      </c>
      <c r="Y42" s="55"/>
    </row>
    <row r="43" spans="1:25" ht="15.95" customHeight="1">
      <c r="A43" s="39"/>
      <c r="B43" s="169" t="s">
        <v>106</v>
      </c>
      <c r="C43" s="170"/>
      <c r="D43" s="171"/>
      <c r="E43" s="70" t="s">
        <v>111</v>
      </c>
      <c r="F43" s="107" t="s">
        <v>112</v>
      </c>
      <c r="G43" s="42" t="s">
        <v>107</v>
      </c>
      <c r="H43" s="43" t="s">
        <v>108</v>
      </c>
      <c r="I43" s="43" t="s">
        <v>109</v>
      </c>
      <c r="J43" s="44" t="s">
        <v>110</v>
      </c>
      <c r="K43" s="97" t="s">
        <v>5</v>
      </c>
      <c r="L43" s="45"/>
      <c r="N43" s="94"/>
      <c r="O43" s="169" t="s">
        <v>106</v>
      </c>
      <c r="P43" s="170"/>
      <c r="Q43" s="171"/>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72" t="s">
        <v>117</v>
      </c>
      <c r="D45" s="172"/>
      <c r="E45" s="172"/>
      <c r="F45" s="172"/>
      <c r="G45" s="172" t="s">
        <v>116</v>
      </c>
      <c r="H45" s="173"/>
      <c r="I45" s="173"/>
      <c r="J45" s="173"/>
      <c r="K45" s="97" t="s">
        <v>118</v>
      </c>
      <c r="L45" s="45"/>
      <c r="N45" s="45"/>
      <c r="O45" s="99" t="s">
        <v>115</v>
      </c>
      <c r="P45" s="172" t="s">
        <v>117</v>
      </c>
      <c r="Q45" s="172"/>
      <c r="R45" s="172"/>
      <c r="S45" s="172"/>
      <c r="T45" s="172" t="s">
        <v>116</v>
      </c>
      <c r="U45" s="173"/>
      <c r="V45" s="173"/>
      <c r="W45" s="173"/>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74" t="s">
        <v>125</v>
      </c>
      <c r="C49" s="63">
        <v>1</v>
      </c>
      <c r="D49" s="64">
        <v>2</v>
      </c>
      <c r="E49" s="43">
        <v>3</v>
      </c>
      <c r="F49" s="44">
        <v>4</v>
      </c>
      <c r="G49" s="42">
        <v>1</v>
      </c>
      <c r="H49" s="43">
        <v>2</v>
      </c>
      <c r="I49" s="43">
        <v>3</v>
      </c>
      <c r="J49" s="44">
        <v>4</v>
      </c>
      <c r="K49" s="96" t="s">
        <v>122</v>
      </c>
      <c r="L49" s="38"/>
      <c r="N49" s="38"/>
      <c r="O49" s="174" t="s">
        <v>125</v>
      </c>
      <c r="P49" s="63">
        <v>1</v>
      </c>
      <c r="Q49" s="64">
        <v>2</v>
      </c>
      <c r="R49" s="43">
        <v>3</v>
      </c>
      <c r="S49" s="44">
        <v>4</v>
      </c>
      <c r="T49" s="42">
        <v>1</v>
      </c>
      <c r="U49" s="43">
        <v>2</v>
      </c>
      <c r="V49" s="43">
        <v>3</v>
      </c>
      <c r="W49" s="44">
        <v>4</v>
      </c>
      <c r="X49" s="96" t="s">
        <v>122</v>
      </c>
      <c r="Y49" s="38"/>
    </row>
    <row r="50" spans="1:25" ht="15.95" customHeight="1" thickBot="1">
      <c r="A50" s="53"/>
      <c r="B50" s="175"/>
      <c r="C50" s="65">
        <v>5</v>
      </c>
      <c r="D50" s="66">
        <v>6</v>
      </c>
      <c r="E50" s="61">
        <v>7</v>
      </c>
      <c r="F50" s="62">
        <v>8</v>
      </c>
      <c r="G50" s="60">
        <v>5</v>
      </c>
      <c r="H50" s="61">
        <v>6</v>
      </c>
      <c r="I50" s="61">
        <v>7</v>
      </c>
      <c r="J50" s="62">
        <v>8</v>
      </c>
      <c r="K50" s="101" t="s">
        <v>126</v>
      </c>
      <c r="L50" s="38"/>
      <c r="N50" s="38"/>
      <c r="O50" s="175"/>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76" t="s">
        <v>128</v>
      </c>
      <c r="G51" s="176"/>
      <c r="H51" s="68">
        <v>2</v>
      </c>
      <c r="I51" s="68">
        <v>3</v>
      </c>
      <c r="J51" s="69"/>
      <c r="K51" s="104" t="s">
        <v>122</v>
      </c>
      <c r="L51" s="38"/>
      <c r="N51" s="38"/>
      <c r="O51" s="54" t="s">
        <v>127</v>
      </c>
      <c r="P51" s="67">
        <v>1</v>
      </c>
      <c r="Q51" s="68">
        <v>2</v>
      </c>
      <c r="R51" s="68">
        <v>3</v>
      </c>
      <c r="S51" s="176" t="s">
        <v>128</v>
      </c>
      <c r="T51" s="176"/>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B49:B50"/>
    <mergeCell ref="O49:O50"/>
    <mergeCell ref="F51:G51"/>
    <mergeCell ref="S51:T51"/>
    <mergeCell ref="B43:D43"/>
    <mergeCell ref="O43:Q43"/>
    <mergeCell ref="C45:F45"/>
    <mergeCell ref="G45:J45"/>
    <mergeCell ref="P45:S45"/>
    <mergeCell ref="T45:W45"/>
    <mergeCell ref="B36:B37"/>
    <mergeCell ref="O36:O37"/>
    <mergeCell ref="F38:G38"/>
    <mergeCell ref="S38:T38"/>
    <mergeCell ref="B42:D42"/>
    <mergeCell ref="G42:J42"/>
    <mergeCell ref="O42:Q42"/>
    <mergeCell ref="T42:W42"/>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T19:W19"/>
    <mergeCell ref="F12:G12"/>
    <mergeCell ref="S12:T12"/>
    <mergeCell ref="B16:D16"/>
    <mergeCell ref="G16:J16"/>
    <mergeCell ref="O16:Q16"/>
    <mergeCell ref="T16:W16"/>
    <mergeCell ref="B17:D17"/>
    <mergeCell ref="O17:Q17"/>
    <mergeCell ref="C19:F19"/>
    <mergeCell ref="G19:J19"/>
    <mergeCell ref="P19:S19"/>
    <mergeCell ref="C6:F6"/>
    <mergeCell ref="G6:J6"/>
    <mergeCell ref="P6:S6"/>
    <mergeCell ref="T6:W6"/>
    <mergeCell ref="B10:B11"/>
    <mergeCell ref="O10:O11"/>
    <mergeCell ref="T3:W3"/>
    <mergeCell ref="B4:D4"/>
    <mergeCell ref="O4:Q4"/>
    <mergeCell ref="B3:D3"/>
    <mergeCell ref="G3:J3"/>
    <mergeCell ref="O3:Q3"/>
  </mergeCells>
  <pageMargins left="0.7" right="0.7" top="0.75" bottom="0.75" header="0.3" footer="0.3"/>
  <pageSetup orientation="portrait" horizontalDpi="0" verticalDpi="0" copies="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B829-9CA3-4E96-9656-82AFA04AFBC7}">
  <sheetPr codeName="Sheet11"/>
  <dimension ref="C1:AM3"/>
  <sheetViews>
    <sheetView workbookViewId="0">
      <selection activeCell="D28" sqref="D28"/>
    </sheetView>
  </sheetViews>
  <sheetFormatPr defaultRowHeight="15"/>
  <sheetData>
    <row r="1" spans="3:39">
      <c r="C1" s="1"/>
      <c r="D1" s="1"/>
      <c r="E1" s="1"/>
      <c r="F1" s="1"/>
      <c r="G1" s="155" t="s">
        <v>9</v>
      </c>
      <c r="H1" s="152"/>
      <c r="I1" s="152"/>
      <c r="J1" s="152"/>
      <c r="K1" s="152"/>
      <c r="L1" s="152"/>
      <c r="M1" s="152"/>
      <c r="N1" s="152"/>
      <c r="O1" s="152"/>
      <c r="P1" s="156"/>
      <c r="Q1" s="154" t="s">
        <v>1</v>
      </c>
      <c r="R1" s="139"/>
      <c r="S1" s="139"/>
      <c r="T1" s="139"/>
      <c r="U1" s="139"/>
      <c r="V1" s="139"/>
      <c r="W1" s="139"/>
      <c r="X1" s="139"/>
      <c r="Y1" s="139"/>
      <c r="Z1" s="139"/>
      <c r="AA1" s="139"/>
      <c r="AB1" s="139"/>
      <c r="AC1" s="139"/>
      <c r="AD1" s="157"/>
      <c r="AE1" s="154" t="s">
        <v>2</v>
      </c>
      <c r="AF1" s="139"/>
      <c r="AG1" s="139"/>
      <c r="AH1" s="139"/>
      <c r="AI1" s="157"/>
      <c r="AJ1" s="4"/>
      <c r="AL1" s="1"/>
      <c r="AM1" s="1"/>
    </row>
    <row r="2" spans="3:39" ht="15.75" thickBot="1">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 t="shared" ref="AL3" si="0">SUM(hHatch * SUM($H3:$K3), hHatch * SUM($S3:$V3), hRocket23 * SUM($J3:$K3), hRocket23 * SUM($U3:$V3), hSandstorm * SUM($H3:$K3), hPenalty * $AH3, hDropHatch * $AI3,hTippedBroke * SUM($AE3:$AF3), IF($E3 &lt; hNoAutoThreshold, hNoAuto), IF($AG3 &gt; hFloorHatchThreshold, hFloorHatch))</f>
        <v>-1.5</v>
      </c>
      <c r="AM3">
        <f t="shared" ref="AM3" si="1">SUM(cCargo * SUM($M3:$P3), cCargo *SUM( $X3:$AA3), cRocket23 * SUM($O3:$P3, $Z3:$AA3),cSandstorm * SUM($M3:$P3), cPenalty * $AH3, cTippedBroke * SUM($AE3:$AF3), IF($E3 &lt; cNoAutoThreshold, cNoAuto, 0))</f>
        <v>-1</v>
      </c>
    </row>
  </sheetData>
  <mergeCells count="3">
    <mergeCell ref="G1:P1"/>
    <mergeCell ref="Q1:AD1"/>
    <mergeCell ref="AE1:AI1"/>
  </mergeCells>
  <conditionalFormatting sqref="C3:AM3">
    <cfRule type="expression" dxfId="2" priority="3">
      <formula>IF($AJ3=0,TRUE,FALSE)</formula>
    </cfRule>
  </conditionalFormatting>
  <conditionalFormatting sqref="F1:F3">
    <cfRule type="cellIs" dxfId="1" priority="1" operator="greaterThan">
      <formula>$AQ$20</formula>
    </cfRule>
    <cfRule type="cellIs" dxfId="0" priority="2" operator="greaterThan">
      <formula>$AQ$20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35</vt:i4>
      </vt:variant>
    </vt:vector>
  </HeadingPairs>
  <TitlesOfParts>
    <vt:vector size="46" baseType="lpstr">
      <vt:lpstr>Raw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Template Formulas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2019-03-16T22:56:20Z</dcterms:modified>
</cp:coreProperties>
</file>