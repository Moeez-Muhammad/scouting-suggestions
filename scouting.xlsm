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Riaz\Desktop\Moeez\@Archive\2018-2019\Programming\py-scouting-suggestions\"/>
    </mc:Choice>
  </mc:AlternateContent>
  <xr:revisionPtr revIDLastSave="0" documentId="8_{2AE28E3C-0173-4A69-A0F7-0EFE3A5C6EB2}" xr6:coauthVersionLast="41" xr6:coauthVersionMax="41" xr10:uidLastSave="{00000000-0000-0000-0000-000000000000}"/>
  <bookViews>
    <workbookView xWindow="-120" yWindow="-120" windowWidth="29040" windowHeight="16440" tabRatio="803" firstSheet="2" activeTab="5" xr2:uid="{86C8F276-7FB8-4C6C-A12A-5132E1768D42}"/>
  </bookViews>
  <sheets>
    <sheet name="Raw Data" sheetId="2" r:id="rId1"/>
    <sheet name="Next Match Alliances" sheetId="6" r:id="rId2"/>
    <sheet name="Abbreviated NMA" sheetId="13" r:id="rId3"/>
    <sheet name="Scouting Output" sheetId="1" r:id="rId4"/>
    <sheet name="pick list (2)" sheetId="18" r:id="rId5"/>
    <sheet name="pick list" sheetId="17" r:id="rId6"/>
    <sheet name="Data Spitter" sheetId="8" r:id="rId7"/>
    <sheet name="EVENT DATA" sheetId="5" r:id="rId8"/>
    <sheet name="Data Validation" sheetId="3" r:id="rId9"/>
    <sheet name="How to use this spreadsheet" sheetId="11" r:id="rId10"/>
    <sheet name="Scouting Sheets" sheetId="7" r:id="rId11"/>
    <sheet name="Template Formulas" sheetId="14" r:id="rId12"/>
  </sheets>
  <functionGroups builtInGroupCount="19"/>
  <externalReferences>
    <externalReference r:id="rId13"/>
  </externalReferences>
  <definedNames>
    <definedName name="assist">'Scouting Output'!$AQ$21</definedName>
    <definedName name="assistThreshold">'Scouting Output'!$AQ$22</definedName>
    <definedName name="auto">'Scouting Output'!$AQ$14</definedName>
    <definedName name="autoThreshold">'Scouting Output'!$AQ$15</definedName>
    <definedName name="cargo">'Scouting Output'!$AQ$17</definedName>
    <definedName name="cCargo">'Scouting Output'!$AW$14</definedName>
    <definedName name="climb">'Scouting Output'!$AQ$19</definedName>
    <definedName name="climbThreshold">'Scouting Output'!$AQ$20</definedName>
    <definedName name="cNoAuto">'Scouting Output'!$AW$19</definedName>
    <definedName name="cNoAutoThreshold">'Scouting Output'!$AW$20</definedName>
    <definedName name="cPenalty">'Scouting Output'!$AW$17</definedName>
    <definedName name="cRocket23">'Scouting Output'!$AW$15</definedName>
    <definedName name="cSandstorm">'Scouting Output'!$AW$16</definedName>
    <definedName name="cTippedBroke">'Scouting Output'!$AW$18</definedName>
    <definedName name="doesNothing">'Scouting Output'!$AQ$28</definedName>
    <definedName name="doesNothingThreshold">'Scouting Output'!$AQ$29</definedName>
    <definedName name="dropHatch">'Scouting Output'!$AQ$24</definedName>
    <definedName name="hatch">'Scouting Output'!$AQ$16</definedName>
    <definedName name="hDropHatch">'Scouting Output'!$AT$18</definedName>
    <definedName name="hFloorHatch">'Scouting Output'!$AT$22</definedName>
    <definedName name="hFloorHatchThreshold">'Scouting Output'!$AT$23</definedName>
    <definedName name="hHatch">'Scouting Output'!$AT$14</definedName>
    <definedName name="hNoAuto">'Scouting Output'!$AT$20</definedName>
    <definedName name="hNoAutoThreshold">'Scouting Output'!$AT$21</definedName>
    <definedName name="hPenalty">'Scouting Output'!$AT$17</definedName>
    <definedName name="hRocket23">'Scouting Output'!$AT$15</definedName>
    <definedName name="hSandstorm">'Scouting Output'!$AT$16</definedName>
    <definedName name="hTippedBroke">'Scouting Output'!$AT$19</definedName>
    <definedName name="Look">[1]VLOOKUP!$A:$U</definedName>
    <definedName name="noAuto">'Scouting Output'!$AQ$26</definedName>
    <definedName name="noAutoThreshold">'Scouting Output'!$AQ$27</definedName>
    <definedName name="penalty">'Scouting Output'!$AQ$23</definedName>
    <definedName name="rocket23">'Scouting Output'!$AQ$18</definedName>
    <definedName name="rocket2and3">'Scouting Output'!$AQ$18</definedName>
    <definedName name="sandstorm">'Scouting Output'!$AT$16</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7" i="17" l="1"/>
  <c r="G39" i="17"/>
  <c r="G40" i="17"/>
  <c r="G41" i="17"/>
  <c r="G42" i="17"/>
  <c r="G43" i="17"/>
  <c r="G2" i="17"/>
  <c r="G4" i="17"/>
  <c r="G44" i="17"/>
  <c r="G64" i="17"/>
  <c r="G23" i="17"/>
  <c r="G15" i="17"/>
  <c r="G35" i="17"/>
  <c r="G34" i="17"/>
  <c r="G6" i="17"/>
  <c r="G45" i="17"/>
  <c r="G46" i="17"/>
  <c r="G10" i="17"/>
  <c r="G18" i="17"/>
  <c r="G36" i="17"/>
  <c r="G37" i="17"/>
  <c r="G29" i="17"/>
  <c r="G5" i="17"/>
  <c r="G17" i="17"/>
  <c r="G47" i="17"/>
  <c r="G12" i="17"/>
  <c r="G13" i="17"/>
  <c r="G48" i="17"/>
  <c r="G49" i="17"/>
  <c r="G19" i="17"/>
  <c r="G50" i="17"/>
  <c r="G51" i="17"/>
  <c r="G52" i="17"/>
  <c r="G22" i="17"/>
  <c r="G21" i="17"/>
  <c r="G53" i="17"/>
  <c r="G3" i="17"/>
  <c r="G54" i="17"/>
  <c r="G31" i="17"/>
  <c r="G26" i="17"/>
  <c r="G11" i="17"/>
  <c r="G55" i="17"/>
  <c r="G56" i="17"/>
  <c r="G57" i="17"/>
  <c r="G33" i="17"/>
  <c r="G32" i="17"/>
  <c r="G28" i="17"/>
  <c r="G16" i="17"/>
  <c r="G8" i="17"/>
  <c r="G58" i="17"/>
  <c r="G63" i="17"/>
  <c r="G30" i="17"/>
  <c r="G59" i="17"/>
  <c r="G20" i="17"/>
  <c r="G60" i="17"/>
  <c r="G61" i="17"/>
  <c r="G62" i="17"/>
  <c r="G25" i="17"/>
  <c r="G24" i="17"/>
  <c r="G38" i="17"/>
  <c r="G27" i="17"/>
  <c r="G65" i="17"/>
  <c r="G14" i="17"/>
  <c r="F7" i="17"/>
  <c r="F39" i="17"/>
  <c r="F40" i="17"/>
  <c r="F41" i="17"/>
  <c r="F42" i="17"/>
  <c r="F43" i="17"/>
  <c r="F2" i="17"/>
  <c r="F4" i="17"/>
  <c r="F44" i="17"/>
  <c r="F64" i="17"/>
  <c r="F23" i="17"/>
  <c r="F15" i="17"/>
  <c r="F35" i="17"/>
  <c r="F34" i="17"/>
  <c r="F6" i="17"/>
  <c r="F45" i="17"/>
  <c r="F46" i="17"/>
  <c r="F10" i="17"/>
  <c r="F18" i="17"/>
  <c r="F36" i="17"/>
  <c r="F37" i="17"/>
  <c r="F29" i="17"/>
  <c r="F5" i="17"/>
  <c r="F17" i="17"/>
  <c r="F47" i="17"/>
  <c r="F12" i="17"/>
  <c r="F13" i="17"/>
  <c r="F48" i="17"/>
  <c r="F49" i="17"/>
  <c r="F19" i="17"/>
  <c r="F50" i="17"/>
  <c r="F51" i="17"/>
  <c r="F52" i="17"/>
  <c r="F22" i="17"/>
  <c r="F21" i="17"/>
  <c r="F53" i="17"/>
  <c r="F3" i="17"/>
  <c r="F54" i="17"/>
  <c r="F31" i="17"/>
  <c r="F26" i="17"/>
  <c r="F11" i="17"/>
  <c r="F55" i="17"/>
  <c r="F56" i="17"/>
  <c r="F57" i="17"/>
  <c r="F33" i="17"/>
  <c r="F32" i="17"/>
  <c r="F28" i="17"/>
  <c r="F16" i="17"/>
  <c r="F8" i="17"/>
  <c r="F58" i="17"/>
  <c r="F63" i="17"/>
  <c r="F30" i="17"/>
  <c r="F59" i="17"/>
  <c r="F20" i="17"/>
  <c r="F60" i="17"/>
  <c r="F61" i="17"/>
  <c r="F62" i="17"/>
  <c r="F25" i="17"/>
  <c r="F24" i="17"/>
  <c r="F38" i="17"/>
  <c r="F27" i="17"/>
  <c r="F65" i="17"/>
  <c r="F14" i="17"/>
  <c r="E7" i="17"/>
  <c r="E39" i="17"/>
  <c r="E40" i="17"/>
  <c r="E41" i="17"/>
  <c r="E42" i="17"/>
  <c r="E43" i="17"/>
  <c r="E2" i="17"/>
  <c r="E4" i="17"/>
  <c r="E44" i="17"/>
  <c r="E64" i="17"/>
  <c r="E23" i="17"/>
  <c r="E15" i="17"/>
  <c r="E35" i="17"/>
  <c r="E34" i="17"/>
  <c r="E6" i="17"/>
  <c r="E45" i="17"/>
  <c r="E46" i="17"/>
  <c r="E10" i="17"/>
  <c r="E18" i="17"/>
  <c r="E36" i="17"/>
  <c r="E37" i="17"/>
  <c r="E29" i="17"/>
  <c r="E5" i="17"/>
  <c r="E17" i="17"/>
  <c r="E47" i="17"/>
  <c r="E12" i="17"/>
  <c r="E13" i="17"/>
  <c r="E48" i="17"/>
  <c r="E49" i="17"/>
  <c r="E19" i="17"/>
  <c r="E50" i="17"/>
  <c r="E51" i="17"/>
  <c r="E52" i="17"/>
  <c r="E22" i="17"/>
  <c r="E21" i="17"/>
  <c r="E53" i="17"/>
  <c r="E3" i="17"/>
  <c r="E54" i="17"/>
  <c r="E31" i="17"/>
  <c r="E26" i="17"/>
  <c r="E11" i="17"/>
  <c r="E55" i="17"/>
  <c r="E56" i="17"/>
  <c r="E57" i="17"/>
  <c r="E33" i="17"/>
  <c r="E32" i="17"/>
  <c r="E28" i="17"/>
  <c r="E16" i="17"/>
  <c r="E8" i="17"/>
  <c r="E58" i="17"/>
  <c r="E63" i="17"/>
  <c r="E30" i="17"/>
  <c r="E59" i="17"/>
  <c r="E20" i="17"/>
  <c r="E60" i="17"/>
  <c r="E61" i="17"/>
  <c r="E62" i="17"/>
  <c r="E25" i="17"/>
  <c r="E24" i="17"/>
  <c r="E38" i="17"/>
  <c r="E27" i="17"/>
  <c r="E65" i="17"/>
  <c r="E14" i="17"/>
  <c r="D7" i="17"/>
  <c r="D39" i="17"/>
  <c r="D40" i="17"/>
  <c r="D41" i="17"/>
  <c r="D42" i="17"/>
  <c r="D43" i="17"/>
  <c r="D2" i="17"/>
  <c r="D4" i="17"/>
  <c r="D44" i="17"/>
  <c r="D64" i="17"/>
  <c r="D23" i="17"/>
  <c r="D15" i="17"/>
  <c r="D35" i="17"/>
  <c r="D34" i="17"/>
  <c r="D6" i="17"/>
  <c r="D45" i="17"/>
  <c r="D46" i="17"/>
  <c r="D10" i="17"/>
  <c r="D18" i="17"/>
  <c r="D36" i="17"/>
  <c r="D37" i="17"/>
  <c r="D29" i="17"/>
  <c r="D5" i="17"/>
  <c r="D17" i="17"/>
  <c r="D47" i="17"/>
  <c r="D12" i="17"/>
  <c r="D13" i="17"/>
  <c r="D48" i="17"/>
  <c r="D49" i="17"/>
  <c r="D19" i="17"/>
  <c r="D50" i="17"/>
  <c r="D51" i="17"/>
  <c r="D52" i="17"/>
  <c r="D22" i="17"/>
  <c r="D21" i="17"/>
  <c r="D53" i="17"/>
  <c r="D3" i="17"/>
  <c r="D54" i="17"/>
  <c r="D31" i="17"/>
  <c r="D26" i="17"/>
  <c r="D11" i="17"/>
  <c r="D55" i="17"/>
  <c r="D56" i="17"/>
  <c r="D57" i="17"/>
  <c r="D33" i="17"/>
  <c r="D32" i="17"/>
  <c r="D28" i="17"/>
  <c r="D16" i="17"/>
  <c r="D8" i="17"/>
  <c r="D58" i="17"/>
  <c r="D63" i="17"/>
  <c r="D30" i="17"/>
  <c r="D59" i="17"/>
  <c r="D20" i="17"/>
  <c r="D60" i="17"/>
  <c r="D61" i="17"/>
  <c r="D62" i="17"/>
  <c r="D25" i="17"/>
  <c r="D24" i="17"/>
  <c r="D38" i="17"/>
  <c r="D27" i="17"/>
  <c r="D65" i="17"/>
  <c r="D14" i="17"/>
  <c r="C7" i="17"/>
  <c r="C39" i="17"/>
  <c r="C40" i="17"/>
  <c r="C41" i="17"/>
  <c r="C42" i="17"/>
  <c r="C43" i="17"/>
  <c r="C2" i="17"/>
  <c r="C4" i="17"/>
  <c r="C44" i="17"/>
  <c r="C64" i="17"/>
  <c r="C23" i="17"/>
  <c r="C15" i="17"/>
  <c r="C35" i="17"/>
  <c r="C34" i="17"/>
  <c r="C6" i="17"/>
  <c r="C45" i="17"/>
  <c r="C46" i="17"/>
  <c r="C10" i="17"/>
  <c r="C18" i="17"/>
  <c r="C36" i="17"/>
  <c r="C37" i="17"/>
  <c r="C29" i="17"/>
  <c r="C5" i="17"/>
  <c r="C17" i="17"/>
  <c r="C47" i="17"/>
  <c r="C12" i="17"/>
  <c r="C13" i="17"/>
  <c r="C48" i="17"/>
  <c r="C49" i="17"/>
  <c r="C19" i="17"/>
  <c r="C50" i="17"/>
  <c r="C51" i="17"/>
  <c r="C52" i="17"/>
  <c r="C22" i="17"/>
  <c r="C21" i="17"/>
  <c r="C53" i="17"/>
  <c r="C3" i="17"/>
  <c r="C54" i="17"/>
  <c r="C31" i="17"/>
  <c r="C26" i="17"/>
  <c r="C11" i="17"/>
  <c r="C55" i="17"/>
  <c r="C56" i="17"/>
  <c r="C57" i="17"/>
  <c r="C33" i="17"/>
  <c r="C32" i="17"/>
  <c r="C28" i="17"/>
  <c r="C16" i="17"/>
  <c r="C8" i="17"/>
  <c r="C58" i="17"/>
  <c r="C63" i="17"/>
  <c r="C30" i="17"/>
  <c r="C59" i="17"/>
  <c r="C20" i="17"/>
  <c r="C60" i="17"/>
  <c r="C61" i="17"/>
  <c r="C62" i="17"/>
  <c r="C25" i="17"/>
  <c r="C24" i="17"/>
  <c r="C38" i="17"/>
  <c r="C27" i="17"/>
  <c r="C65" i="17"/>
  <c r="C14" i="17"/>
  <c r="A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L3" i="1"/>
  <c r="AL4"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K3" i="1"/>
  <c r="AK4" i="1"/>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J3" i="1"/>
  <c r="AJ4" i="1"/>
  <c r="AJ5" i="1"/>
  <c r="AJ6" i="1"/>
  <c r="AJ7" i="1"/>
  <c r="AJ8"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I3" i="1"/>
  <c r="AI4" i="1"/>
  <c r="AI5" i="1"/>
  <c r="AI6" i="1"/>
  <c r="AI7" i="1"/>
  <c r="AI8" i="1"/>
  <c r="AI9" i="1"/>
  <c r="AI10" i="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H3" i="1"/>
  <c r="AH4" i="1"/>
  <c r="AH5" i="1"/>
  <c r="AH6" i="1"/>
  <c r="AH7" i="1"/>
  <c r="AH8" i="1"/>
  <c r="AH9" i="1"/>
  <c r="AH10" i="1"/>
  <c r="AH11" i="1"/>
  <c r="AH12" i="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G3" i="1"/>
  <c r="AG4" i="1"/>
  <c r="AG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F3" i="1"/>
  <c r="AF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E3" i="1"/>
  <c r="AE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D3" i="1"/>
  <c r="AD4" i="1"/>
  <c r="AD5" i="1"/>
  <c r="AD6" i="1"/>
  <c r="AD7" i="1"/>
  <c r="AD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C59" i="1" s="1"/>
  <c r="X60" i="1"/>
  <c r="X61" i="1"/>
  <c r="X62" i="1"/>
  <c r="X63" i="1"/>
  <c r="X64" i="1"/>
  <c r="X65" i="1"/>
  <c r="X66"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C58" i="1" s="1"/>
  <c r="K59" i="1"/>
  <c r="K60" i="1"/>
  <c r="K61" i="1"/>
  <c r="K62" i="1"/>
  <c r="K63" i="1"/>
  <c r="K64" i="1"/>
  <c r="K65" i="1"/>
  <c r="K66"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C57" i="1" s="1"/>
  <c r="J58" i="1"/>
  <c r="J59" i="1"/>
  <c r="J60" i="1"/>
  <c r="J61" i="1"/>
  <c r="J62" i="1"/>
  <c r="J63" i="1"/>
  <c r="J64" i="1"/>
  <c r="J65" i="1"/>
  <c r="J66"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D63" i="1" s="1"/>
  <c r="I64" i="1"/>
  <c r="I65" i="1"/>
  <c r="I66"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4"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60" i="1"/>
  <c r="C64" i="1"/>
  <c r="G6" i="14"/>
  <c r="F6" i="14"/>
  <c r="E6" i="14"/>
  <c r="D6" i="14"/>
  <c r="C6" i="14"/>
  <c r="D61" i="1" l="1"/>
  <c r="C61" i="1"/>
  <c r="C63" i="1"/>
  <c r="D66" i="1"/>
  <c r="D62" i="1"/>
  <c r="D65" i="1"/>
  <c r="C65" i="1"/>
  <c r="C66" i="1"/>
  <c r="C62" i="1"/>
  <c r="E9" i="17"/>
  <c r="F9" i="17"/>
  <c r="G9" i="17"/>
  <c r="U41" i="18"/>
  <c r="T41" i="18"/>
  <c r="M41" i="18"/>
  <c r="L41" i="18"/>
  <c r="B41" i="18"/>
  <c r="A41" i="18"/>
  <c r="U40" i="18"/>
  <c r="T40" i="18"/>
  <c r="M40" i="18"/>
  <c r="L40" i="18"/>
  <c r="B40" i="18"/>
  <c r="A40" i="18"/>
  <c r="U39" i="18"/>
  <c r="T39" i="18"/>
  <c r="M39" i="18"/>
  <c r="L39" i="18"/>
  <c r="B39" i="18"/>
  <c r="A39" i="18"/>
  <c r="U38" i="18"/>
  <c r="T38" i="18"/>
  <c r="M38" i="18"/>
  <c r="L38" i="18"/>
  <c r="B38" i="18"/>
  <c r="A38" i="18"/>
  <c r="U37" i="18"/>
  <c r="T37" i="18"/>
  <c r="M37" i="18"/>
  <c r="L37" i="18"/>
  <c r="B37" i="18"/>
  <c r="A37" i="18"/>
  <c r="U36" i="18"/>
  <c r="T36" i="18"/>
  <c r="M36" i="18"/>
  <c r="L36" i="18"/>
  <c r="B36" i="18"/>
  <c r="A36" i="18"/>
  <c r="U35" i="18"/>
  <c r="T35" i="18"/>
  <c r="M35" i="18"/>
  <c r="L35" i="18"/>
  <c r="B35" i="18"/>
  <c r="A35" i="18"/>
  <c r="U34" i="18"/>
  <c r="T34" i="18"/>
  <c r="M34" i="18"/>
  <c r="L34" i="18"/>
  <c r="B34" i="18"/>
  <c r="A34" i="18"/>
  <c r="U33" i="18"/>
  <c r="T33" i="18"/>
  <c r="M33" i="18"/>
  <c r="L33" i="18"/>
  <c r="B33" i="18"/>
  <c r="A33" i="18"/>
  <c r="U32" i="18"/>
  <c r="T32" i="18"/>
  <c r="M32" i="18"/>
  <c r="L32" i="18"/>
  <c r="B32" i="18"/>
  <c r="A32" i="18"/>
  <c r="U31" i="18"/>
  <c r="T31" i="18"/>
  <c r="M31" i="18"/>
  <c r="L31" i="18"/>
  <c r="B31" i="18"/>
  <c r="A31" i="18"/>
  <c r="U30" i="18"/>
  <c r="T30" i="18"/>
  <c r="M30" i="18"/>
  <c r="L30" i="18"/>
  <c r="B30" i="18"/>
  <c r="A30" i="18"/>
  <c r="U29" i="18"/>
  <c r="T29" i="18"/>
  <c r="M29" i="18"/>
  <c r="L29" i="18"/>
  <c r="B29" i="18"/>
  <c r="A29" i="18"/>
  <c r="U28" i="18"/>
  <c r="T28" i="18"/>
  <c r="M28" i="18"/>
  <c r="L28" i="18"/>
  <c r="B28" i="18"/>
  <c r="A28" i="18"/>
  <c r="U27" i="18"/>
  <c r="T27" i="18"/>
  <c r="M27" i="18"/>
  <c r="L27" i="18"/>
  <c r="B27" i="18"/>
  <c r="A27" i="18"/>
  <c r="U26" i="18"/>
  <c r="T26" i="18"/>
  <c r="M26" i="18"/>
  <c r="L26" i="18"/>
  <c r="B26" i="18"/>
  <c r="A26" i="18"/>
  <c r="U25" i="18"/>
  <c r="T25" i="18"/>
  <c r="M25" i="18"/>
  <c r="L25" i="18"/>
  <c r="B25" i="18"/>
  <c r="A25" i="18"/>
  <c r="U24" i="18"/>
  <c r="T24" i="18"/>
  <c r="M24" i="18"/>
  <c r="L24" i="18"/>
  <c r="B24" i="18"/>
  <c r="A24" i="18"/>
  <c r="U23" i="18"/>
  <c r="T23" i="18"/>
  <c r="M23" i="18"/>
  <c r="L23" i="18"/>
  <c r="B23" i="18"/>
  <c r="A23" i="18"/>
  <c r="U22" i="18"/>
  <c r="T22" i="18"/>
  <c r="M22" i="18"/>
  <c r="L22" i="18"/>
  <c r="B22" i="18"/>
  <c r="A22" i="18"/>
  <c r="U21" i="18"/>
  <c r="T21" i="18"/>
  <c r="M21" i="18"/>
  <c r="L21" i="18"/>
  <c r="B21" i="18"/>
  <c r="A21" i="18"/>
  <c r="U20" i="18"/>
  <c r="T20" i="18"/>
  <c r="M20" i="18"/>
  <c r="L20" i="18"/>
  <c r="B20" i="18"/>
  <c r="A20" i="18"/>
  <c r="U19" i="18"/>
  <c r="T19" i="18"/>
  <c r="M19" i="18"/>
  <c r="L19" i="18"/>
  <c r="B19" i="18"/>
  <c r="A19" i="18"/>
  <c r="U18" i="18"/>
  <c r="T18" i="18"/>
  <c r="M18" i="18"/>
  <c r="L18" i="18"/>
  <c r="B18" i="18"/>
  <c r="A18" i="18"/>
  <c r="U17" i="18"/>
  <c r="T17" i="18"/>
  <c r="M17" i="18"/>
  <c r="L17" i="18"/>
  <c r="B17" i="18"/>
  <c r="A17" i="18"/>
  <c r="U16" i="18"/>
  <c r="T16" i="18"/>
  <c r="M16" i="18"/>
  <c r="L16" i="18"/>
  <c r="B16" i="18"/>
  <c r="A16" i="18"/>
  <c r="U15" i="18"/>
  <c r="T15" i="18"/>
  <c r="M15" i="18"/>
  <c r="L15" i="18"/>
  <c r="B15" i="18"/>
  <c r="A15" i="18"/>
  <c r="U14" i="18"/>
  <c r="T14" i="18"/>
  <c r="M14" i="18"/>
  <c r="L14" i="18"/>
  <c r="B14" i="18"/>
  <c r="A14" i="18"/>
  <c r="U13" i="18"/>
  <c r="T13" i="18"/>
  <c r="M13" i="18"/>
  <c r="L13" i="18"/>
  <c r="B13" i="18"/>
  <c r="A13" i="18"/>
  <c r="U12" i="18"/>
  <c r="T12" i="18"/>
  <c r="M12" i="18"/>
  <c r="L12" i="18"/>
  <c r="B12" i="18"/>
  <c r="A12" i="18"/>
  <c r="U11" i="18"/>
  <c r="T11" i="18"/>
  <c r="M11" i="18"/>
  <c r="L11" i="18"/>
  <c r="B11" i="18"/>
  <c r="A11" i="18"/>
  <c r="U10" i="18"/>
  <c r="T10" i="18"/>
  <c r="M10" i="18"/>
  <c r="L10" i="18"/>
  <c r="B10" i="18"/>
  <c r="A10" i="18"/>
  <c r="U9" i="18"/>
  <c r="T9" i="18"/>
  <c r="M9" i="18"/>
  <c r="L9" i="18"/>
  <c r="B9" i="18"/>
  <c r="A9" i="18"/>
  <c r="U8" i="18"/>
  <c r="T8" i="18"/>
  <c r="M8" i="18"/>
  <c r="L8" i="18"/>
  <c r="B8" i="18"/>
  <c r="A8" i="18"/>
  <c r="U7" i="18"/>
  <c r="T7" i="18"/>
  <c r="M7" i="18"/>
  <c r="L7" i="18"/>
  <c r="B7" i="18"/>
  <c r="A7" i="18"/>
  <c r="U6" i="18"/>
  <c r="T6" i="18"/>
  <c r="M6" i="18"/>
  <c r="L6" i="18"/>
  <c r="B6" i="18"/>
  <c r="A6" i="18"/>
  <c r="U5" i="18"/>
  <c r="T5" i="18"/>
  <c r="M5" i="18"/>
  <c r="L5" i="18"/>
  <c r="B5" i="18"/>
  <c r="A5" i="18"/>
  <c r="U4" i="18"/>
  <c r="T4" i="18"/>
  <c r="M4" i="18"/>
  <c r="L4" i="18"/>
  <c r="B4" i="18"/>
  <c r="A4" i="18"/>
  <c r="U3" i="18"/>
  <c r="T3" i="18"/>
  <c r="M3" i="18"/>
  <c r="L3" i="18"/>
  <c r="B3" i="18"/>
  <c r="A3" i="18"/>
  <c r="U2" i="18"/>
  <c r="T2" i="18"/>
  <c r="M2" i="18"/>
  <c r="L2" i="18"/>
  <c r="B2" i="18"/>
  <c r="A2" i="18"/>
  <c r="E1" i="18"/>
  <c r="D1" i="18"/>
  <c r="U41" i="17"/>
  <c r="T41" i="17"/>
  <c r="M41" i="17"/>
  <c r="L41" i="17"/>
  <c r="U40" i="17"/>
  <c r="T40" i="17"/>
  <c r="M40" i="17"/>
  <c r="L40" i="17"/>
  <c r="U39" i="17"/>
  <c r="T39" i="17"/>
  <c r="M39" i="17"/>
  <c r="L39" i="17"/>
  <c r="U38" i="17"/>
  <c r="T38" i="17"/>
  <c r="M38" i="17"/>
  <c r="L38" i="17"/>
  <c r="U37" i="17"/>
  <c r="T37" i="17"/>
  <c r="M37" i="17"/>
  <c r="L37" i="17"/>
  <c r="U36" i="17"/>
  <c r="T36" i="17"/>
  <c r="M36" i="17"/>
  <c r="L36" i="17"/>
  <c r="U35" i="17"/>
  <c r="T35" i="17"/>
  <c r="M35" i="17"/>
  <c r="L35" i="17"/>
  <c r="U34" i="17"/>
  <c r="T34" i="17"/>
  <c r="M34" i="17"/>
  <c r="L34" i="17"/>
  <c r="U33" i="17"/>
  <c r="T33" i="17"/>
  <c r="M33" i="17"/>
  <c r="L33" i="17"/>
  <c r="U32" i="17"/>
  <c r="T32" i="17"/>
  <c r="M32" i="17"/>
  <c r="L32" i="17"/>
  <c r="U31" i="17"/>
  <c r="T31" i="17"/>
  <c r="M31" i="17"/>
  <c r="L31" i="17"/>
  <c r="U30" i="17"/>
  <c r="T30" i="17"/>
  <c r="M30" i="17"/>
  <c r="L30" i="17"/>
  <c r="U29" i="17"/>
  <c r="T29" i="17"/>
  <c r="M29" i="17"/>
  <c r="L29" i="17"/>
  <c r="U28" i="17"/>
  <c r="T28" i="17"/>
  <c r="M28" i="17"/>
  <c r="L28" i="17"/>
  <c r="U27" i="17"/>
  <c r="T27" i="17"/>
  <c r="M27" i="17"/>
  <c r="L27" i="17"/>
  <c r="U26" i="17"/>
  <c r="T26" i="17"/>
  <c r="M26" i="17"/>
  <c r="L26" i="17"/>
  <c r="U25" i="17"/>
  <c r="T25" i="17"/>
  <c r="M25" i="17"/>
  <c r="L25" i="17"/>
  <c r="U24" i="17"/>
  <c r="T24" i="17"/>
  <c r="M24" i="17"/>
  <c r="L24" i="17"/>
  <c r="U23" i="17"/>
  <c r="T23" i="17"/>
  <c r="M23" i="17"/>
  <c r="L23" i="17"/>
  <c r="U22" i="17"/>
  <c r="T22" i="17"/>
  <c r="M22" i="17"/>
  <c r="L22" i="17"/>
  <c r="U21" i="17"/>
  <c r="T21" i="17"/>
  <c r="M21" i="17"/>
  <c r="L21" i="17"/>
  <c r="U20" i="17"/>
  <c r="T20" i="17"/>
  <c r="M20" i="17"/>
  <c r="L20" i="17"/>
  <c r="U19" i="17"/>
  <c r="T19" i="17"/>
  <c r="M19" i="17"/>
  <c r="L19" i="17"/>
  <c r="U18" i="17"/>
  <c r="T18" i="17"/>
  <c r="M18" i="17"/>
  <c r="L18" i="17"/>
  <c r="U17" i="17"/>
  <c r="T17" i="17"/>
  <c r="M17" i="17"/>
  <c r="L17" i="17"/>
  <c r="U16" i="17"/>
  <c r="T16" i="17"/>
  <c r="M16" i="17"/>
  <c r="L16" i="17"/>
  <c r="U15" i="17"/>
  <c r="T15" i="17"/>
  <c r="M15" i="17"/>
  <c r="L15" i="17"/>
  <c r="U14" i="17"/>
  <c r="T14" i="17"/>
  <c r="M14" i="17"/>
  <c r="L14" i="17"/>
  <c r="U13" i="17"/>
  <c r="T13" i="17"/>
  <c r="M13" i="17"/>
  <c r="L13" i="17"/>
  <c r="U12" i="17"/>
  <c r="T12" i="17"/>
  <c r="M12" i="17"/>
  <c r="L12" i="17"/>
  <c r="U11" i="17"/>
  <c r="T11" i="17"/>
  <c r="M11" i="17"/>
  <c r="L11" i="17"/>
  <c r="U10" i="17"/>
  <c r="T10" i="17"/>
  <c r="M10" i="17"/>
  <c r="L10" i="17"/>
  <c r="U9" i="17"/>
  <c r="T9" i="17"/>
  <c r="M9" i="17"/>
  <c r="L9" i="17"/>
  <c r="U8" i="17"/>
  <c r="T8" i="17"/>
  <c r="M8" i="17"/>
  <c r="L8" i="17"/>
  <c r="U7" i="17"/>
  <c r="T7" i="17"/>
  <c r="M7" i="17"/>
  <c r="L7" i="17"/>
  <c r="U6" i="17"/>
  <c r="T6" i="17"/>
  <c r="M6" i="17"/>
  <c r="L6" i="17"/>
  <c r="U5" i="17"/>
  <c r="T5" i="17"/>
  <c r="M5" i="17"/>
  <c r="L5" i="17"/>
  <c r="U4" i="17"/>
  <c r="T4" i="17"/>
  <c r="M4" i="17"/>
  <c r="L4" i="17"/>
  <c r="U3" i="17"/>
  <c r="T3" i="17"/>
  <c r="M3" i="17"/>
  <c r="L3" i="17"/>
  <c r="U2" i="17"/>
  <c r="T2" i="17"/>
  <c r="M2" i="17"/>
  <c r="L2" i="17"/>
  <c r="E1" i="17"/>
  <c r="D1" i="17"/>
  <c r="C9" i="17" l="1"/>
  <c r="D9" i="17"/>
  <c r="Y34" i="18"/>
  <c r="W41" i="18"/>
  <c r="Y38" i="18"/>
  <c r="Q13" i="17"/>
  <c r="Y31" i="18"/>
  <c r="Y39" i="17"/>
  <c r="F33" i="18"/>
  <c r="F15" i="18"/>
  <c r="Q2" i="17"/>
  <c r="P31" i="18"/>
  <c r="Y22" i="18"/>
  <c r="F29" i="18"/>
  <c r="Y20" i="18"/>
  <c r="X19" i="18"/>
  <c r="F4" i="18"/>
  <c r="Q15" i="17"/>
  <c r="Y16" i="17"/>
  <c r="Q38" i="17"/>
  <c r="F8" i="18"/>
  <c r="D33" i="18"/>
  <c r="X17" i="18"/>
  <c r="W36" i="17"/>
  <c r="E5" i="18"/>
  <c r="X31" i="18"/>
  <c r="P35" i="18"/>
  <c r="P39" i="18"/>
  <c r="D10" i="18"/>
  <c r="Q29" i="17"/>
  <c r="Q22" i="17"/>
  <c r="D32" i="18"/>
  <c r="F32" i="18"/>
  <c r="Y26" i="18"/>
  <c r="F24" i="18"/>
  <c r="Y22" i="17"/>
  <c r="F7" i="18"/>
  <c r="Q25" i="17"/>
  <c r="Y13" i="18"/>
  <c r="F41" i="18"/>
  <c r="Q21" i="18"/>
  <c r="Q38" i="18"/>
  <c r="Q8" i="18"/>
  <c r="F36" i="18"/>
  <c r="Y2" i="18"/>
  <c r="E34" i="18"/>
  <c r="P23" i="18"/>
  <c r="Z38" i="18"/>
  <c r="Q26" i="18"/>
  <c r="Y35" i="18"/>
  <c r="R12" i="17"/>
  <c r="Z30" i="18"/>
  <c r="X28" i="18"/>
  <c r="D6" i="18"/>
  <c r="D19" i="18"/>
  <c r="Q4" i="17"/>
  <c r="O25" i="18"/>
  <c r="Q34" i="18"/>
  <c r="Q16" i="18"/>
  <c r="O20" i="18"/>
  <c r="Q37" i="18"/>
  <c r="Y9" i="18"/>
  <c r="Q21" i="17"/>
  <c r="Y6" i="18"/>
  <c r="Q5" i="17"/>
  <c r="Q5" i="18"/>
  <c r="R8" i="18"/>
  <c r="G35" i="18"/>
  <c r="X3" i="18"/>
  <c r="R9" i="18"/>
  <c r="P14" i="18"/>
  <c r="Z41" i="18"/>
  <c r="E16" i="18"/>
  <c r="F16" i="18"/>
  <c r="G16" i="18"/>
  <c r="Q41" i="18"/>
  <c r="G40" i="18"/>
  <c r="Y39" i="18"/>
  <c r="F40" i="18"/>
  <c r="G18" i="18"/>
  <c r="D18" i="18"/>
  <c r="Y37" i="18"/>
  <c r="P13" i="18"/>
  <c r="F27" i="18"/>
  <c r="Q13" i="18"/>
  <c r="Y35" i="17"/>
  <c r="G10" i="18"/>
  <c r="X35" i="18"/>
  <c r="E9" i="18"/>
  <c r="Z34" i="18"/>
  <c r="Q33" i="17"/>
  <c r="Q33" i="18"/>
  <c r="X34" i="18"/>
  <c r="R40" i="18"/>
  <c r="G14" i="18"/>
  <c r="Y33" i="18"/>
  <c r="G28" i="18"/>
  <c r="R29" i="18"/>
  <c r="F28" i="18"/>
  <c r="Q29" i="18"/>
  <c r="X32" i="18"/>
  <c r="Q12" i="18"/>
  <c r="F11" i="18"/>
  <c r="P12" i="18"/>
  <c r="R12" i="18"/>
  <c r="E11" i="18"/>
  <c r="G11" i="18"/>
  <c r="W30" i="18"/>
  <c r="Y30" i="18"/>
  <c r="E13" i="18"/>
  <c r="X30" i="18"/>
  <c r="G32" i="18"/>
  <c r="Y29" i="18"/>
  <c r="Q24" i="18"/>
  <c r="Z29" i="18"/>
  <c r="R24" i="18"/>
  <c r="P10" i="18"/>
  <c r="X27" i="18"/>
  <c r="P18" i="18"/>
  <c r="W26" i="18"/>
  <c r="Z26" i="18"/>
  <c r="Y26" i="17"/>
  <c r="Z25" i="18"/>
  <c r="O36" i="18"/>
  <c r="W25" i="18"/>
  <c r="Y25" i="18"/>
  <c r="Q36" i="18"/>
  <c r="E38" i="18"/>
  <c r="O32" i="18"/>
  <c r="Q32" i="18"/>
  <c r="E19" i="18"/>
  <c r="X23" i="18"/>
  <c r="Q28" i="18"/>
  <c r="R28" i="18"/>
  <c r="Z23" i="18"/>
  <c r="F19" i="18"/>
  <c r="D20" i="18"/>
  <c r="O11" i="18"/>
  <c r="G20" i="18"/>
  <c r="E20" i="18"/>
  <c r="R11" i="18"/>
  <c r="F20" i="18"/>
  <c r="E29" i="18"/>
  <c r="Q4" i="18"/>
  <c r="P4" i="18"/>
  <c r="Y21" i="18"/>
  <c r="O3" i="18"/>
  <c r="R3" i="18"/>
  <c r="Z19" i="18"/>
  <c r="E4" i="18"/>
  <c r="R15" i="18"/>
  <c r="Z18" i="17"/>
  <c r="R17" i="18"/>
  <c r="Z18" i="18"/>
  <c r="D7" i="18"/>
  <c r="Q17" i="18"/>
  <c r="Y18" i="17"/>
  <c r="X18" i="18"/>
  <c r="Q17" i="17"/>
  <c r="E7" i="18"/>
  <c r="G7" i="18"/>
  <c r="P17" i="18"/>
  <c r="Y18" i="18"/>
  <c r="Z17" i="18"/>
  <c r="P25" i="18"/>
  <c r="F37" i="18"/>
  <c r="Y17" i="18"/>
  <c r="Q25" i="18"/>
  <c r="D22" i="18"/>
  <c r="X15" i="18"/>
  <c r="E21" i="18"/>
  <c r="Q34" i="17"/>
  <c r="O31" i="18"/>
  <c r="D31" i="18"/>
  <c r="X14" i="18"/>
  <c r="G31" i="18"/>
  <c r="Y14" i="18"/>
  <c r="F31" i="18"/>
  <c r="P19" i="18"/>
  <c r="X13" i="18"/>
  <c r="Z13" i="18"/>
  <c r="W12" i="18"/>
  <c r="E3" i="18"/>
  <c r="P16" i="18"/>
  <c r="F3" i="18"/>
  <c r="G39" i="18"/>
  <c r="Z10" i="18"/>
  <c r="Q20" i="18"/>
  <c r="X10" i="18"/>
  <c r="F39" i="18"/>
  <c r="Y10" i="18"/>
  <c r="R20" i="18"/>
  <c r="D39" i="18"/>
  <c r="Q37" i="17"/>
  <c r="X9" i="18"/>
  <c r="Z8" i="18"/>
  <c r="X7" i="18"/>
  <c r="E12" i="18"/>
  <c r="O39" i="18"/>
  <c r="F12" i="18"/>
  <c r="X6" i="18"/>
  <c r="Z6" i="18"/>
  <c r="X5" i="18"/>
  <c r="P5" i="18"/>
  <c r="Z5" i="18"/>
  <c r="R5" i="18"/>
  <c r="Y5" i="18"/>
  <c r="E8" i="18"/>
  <c r="O8" i="18"/>
  <c r="W4" i="18"/>
  <c r="Z4" i="18"/>
  <c r="P8" i="18"/>
  <c r="Z3" i="17"/>
  <c r="P9" i="18"/>
  <c r="G36" i="18"/>
  <c r="Q9" i="17"/>
  <c r="Q9" i="18"/>
  <c r="P2" i="18"/>
  <c r="F35" i="18"/>
  <c r="X2" i="18"/>
  <c r="R6" i="18"/>
  <c r="Q6" i="18"/>
  <c r="Z11" i="18"/>
  <c r="Y11" i="18"/>
  <c r="D17" i="18"/>
  <c r="G17" i="18"/>
  <c r="F17" i="18"/>
  <c r="D24" i="18"/>
  <c r="D25" i="18"/>
  <c r="G25" i="18"/>
  <c r="F25" i="18"/>
  <c r="E25" i="18"/>
  <c r="O27" i="18"/>
  <c r="D5" i="18"/>
  <c r="G5" i="18"/>
  <c r="F5" i="18"/>
  <c r="R10" i="18"/>
  <c r="Q10" i="18"/>
  <c r="E15" i="18"/>
  <c r="Z15" i="18"/>
  <c r="Y15" i="18"/>
  <c r="P22" i="18"/>
  <c r="R22" i="18"/>
  <c r="F23" i="18"/>
  <c r="G23" i="18"/>
  <c r="Z3" i="18"/>
  <c r="Y3" i="18"/>
  <c r="P6" i="18"/>
  <c r="O7" i="18"/>
  <c r="D9" i="18"/>
  <c r="G9" i="18"/>
  <c r="F9" i="18"/>
  <c r="X11" i="18"/>
  <c r="O14" i="18"/>
  <c r="R14" i="18"/>
  <c r="Q14" i="18"/>
  <c r="E17" i="18"/>
  <c r="Z20" i="18"/>
  <c r="X20" i="18"/>
  <c r="Z24" i="18"/>
  <c r="Y24" i="18"/>
  <c r="X24" i="18"/>
  <c r="X40" i="18"/>
  <c r="O29" i="18"/>
  <c r="D28" i="18"/>
  <c r="O21" i="18"/>
  <c r="D15" i="18"/>
  <c r="O2" i="18"/>
  <c r="Q2" i="18"/>
  <c r="Y7" i="18"/>
  <c r="D13" i="18"/>
  <c r="G13" i="18"/>
  <c r="F13" i="18"/>
  <c r="R18" i="18"/>
  <c r="Q18" i="18"/>
  <c r="E22" i="18"/>
  <c r="Q22" i="18"/>
  <c r="E23" i="18"/>
  <c r="P30" i="18"/>
  <c r="E28" i="18"/>
  <c r="E2" i="18"/>
  <c r="P3" i="18"/>
  <c r="X4" i="18"/>
  <c r="E6" i="18"/>
  <c r="P7" i="18"/>
  <c r="X8" i="18"/>
  <c r="W9" i="18"/>
  <c r="E10" i="18"/>
  <c r="D11" i="18"/>
  <c r="P11" i="18"/>
  <c r="X12" i="18"/>
  <c r="E14" i="18"/>
  <c r="P15" i="18"/>
  <c r="X16" i="18"/>
  <c r="W17" i="18"/>
  <c r="E18" i="18"/>
  <c r="R19" i="18"/>
  <c r="Q19" i="18"/>
  <c r="F21" i="18"/>
  <c r="X21" i="18"/>
  <c r="W22" i="18"/>
  <c r="E24" i="18"/>
  <c r="P33" i="18"/>
  <c r="P34" i="18"/>
  <c r="O35" i="18"/>
  <c r="R35" i="18"/>
  <c r="Q35" i="18"/>
  <c r="W37" i="18"/>
  <c r="X38" i="18"/>
  <c r="X39" i="18"/>
  <c r="Y36" i="18"/>
  <c r="W34" i="18"/>
  <c r="O33" i="18"/>
  <c r="F2" i="18"/>
  <c r="W2" i="18"/>
  <c r="Q3" i="18"/>
  <c r="Y4" i="18"/>
  <c r="F6" i="18"/>
  <c r="W6" i="18"/>
  <c r="Q7" i="18"/>
  <c r="Y8" i="18"/>
  <c r="F10" i="18"/>
  <c r="W10" i="18"/>
  <c r="Q11" i="18"/>
  <c r="D12" i="18"/>
  <c r="Y12" i="18"/>
  <c r="O13" i="18"/>
  <c r="F14" i="18"/>
  <c r="W14" i="18"/>
  <c r="Q15" i="18"/>
  <c r="D16" i="18"/>
  <c r="Y16" i="18"/>
  <c r="F18" i="18"/>
  <c r="Y19" i="18"/>
  <c r="P20" i="18"/>
  <c r="G21" i="18"/>
  <c r="Z21" i="18"/>
  <c r="X22" i="18"/>
  <c r="R23" i="18"/>
  <c r="Q23" i="18"/>
  <c r="O24" i="18"/>
  <c r="F26" i="18"/>
  <c r="X26" i="18"/>
  <c r="Z28" i="18"/>
  <c r="Y28" i="18"/>
  <c r="G29" i="18"/>
  <c r="P29" i="18"/>
  <c r="W29" i="18"/>
  <c r="R31" i="18"/>
  <c r="Q31" i="18"/>
  <c r="W31" i="18"/>
  <c r="Z31" i="18"/>
  <c r="E32" i="18"/>
  <c r="E33" i="18"/>
  <c r="G34" i="18"/>
  <c r="F34" i="18"/>
  <c r="P37" i="18"/>
  <c r="P38" i="18"/>
  <c r="Q39" i="18"/>
  <c r="E41" i="18"/>
  <c r="R27" i="18"/>
  <c r="Q27" i="18"/>
  <c r="Z27" i="18"/>
  <c r="G30" i="18"/>
  <c r="F30" i="18"/>
  <c r="R30" i="18"/>
  <c r="O19" i="18"/>
  <c r="P21" i="18"/>
  <c r="G22" i="18"/>
  <c r="F22" i="18"/>
  <c r="Y23" i="18"/>
  <c r="P27" i="18"/>
  <c r="Y27" i="18"/>
  <c r="E30" i="18"/>
  <c r="Q30" i="18"/>
  <c r="W32" i="18"/>
  <c r="Z32" i="18"/>
  <c r="Y32" i="18"/>
  <c r="E36" i="18"/>
  <c r="D38" i="18"/>
  <c r="G38" i="18"/>
  <c r="F38" i="18"/>
  <c r="Z40" i="18"/>
  <c r="Y40" i="18"/>
  <c r="P24" i="18"/>
  <c r="X25" i="18"/>
  <c r="E27" i="18"/>
  <c r="P28" i="18"/>
  <c r="X29" i="18"/>
  <c r="E31" i="18"/>
  <c r="P32" i="18"/>
  <c r="G33" i="18"/>
  <c r="X33" i="18"/>
  <c r="R34" i="18"/>
  <c r="E35" i="18"/>
  <c r="Z35" i="18"/>
  <c r="P36" i="18"/>
  <c r="G37" i="18"/>
  <c r="X37" i="18"/>
  <c r="R38" i="18"/>
  <c r="W38" i="18"/>
  <c r="E39" i="18"/>
  <c r="Z39" i="18"/>
  <c r="P40" i="18"/>
  <c r="G41" i="18"/>
  <c r="X41" i="18"/>
  <c r="W35" i="18"/>
  <c r="D37" i="18"/>
  <c r="O38" i="18"/>
  <c r="E40" i="18"/>
  <c r="Q40" i="18"/>
  <c r="P41" i="18"/>
  <c r="Y41" i="18"/>
  <c r="W41" i="17"/>
  <c r="X40" i="17"/>
  <c r="Q41" i="17"/>
  <c r="Y38" i="17"/>
  <c r="P35" i="17"/>
  <c r="Z38" i="17"/>
  <c r="Y37" i="17"/>
  <c r="X36" i="17"/>
  <c r="Y34" i="17"/>
  <c r="Y33" i="17"/>
  <c r="P29" i="17"/>
  <c r="O12" i="17"/>
  <c r="Q12" i="17"/>
  <c r="P12" i="17"/>
  <c r="Y30" i="17"/>
  <c r="Z30" i="17"/>
  <c r="W29" i="17"/>
  <c r="Y29" i="17"/>
  <c r="Q24" i="17"/>
  <c r="X27" i="17"/>
  <c r="Y27" i="17"/>
  <c r="Z26" i="17"/>
  <c r="W25" i="17"/>
  <c r="Q36" i="17"/>
  <c r="Y25" i="17"/>
  <c r="O32" i="17"/>
  <c r="Q32" i="17"/>
  <c r="R32" i="17"/>
  <c r="Q28" i="17"/>
  <c r="R28" i="17"/>
  <c r="P4" i="17"/>
  <c r="Y21" i="17"/>
  <c r="O3" i="17"/>
  <c r="R17" i="17"/>
  <c r="X18" i="17"/>
  <c r="Y17" i="17"/>
  <c r="W16" i="17"/>
  <c r="P30" i="17"/>
  <c r="Q30" i="17"/>
  <c r="Z16" i="17"/>
  <c r="X15" i="17"/>
  <c r="Z14" i="17"/>
  <c r="Y14" i="17"/>
  <c r="W14" i="17"/>
  <c r="P19" i="17"/>
  <c r="W12" i="17"/>
  <c r="X12" i="17"/>
  <c r="Q16" i="17"/>
  <c r="X11" i="17"/>
  <c r="Z11" i="17"/>
  <c r="Z10" i="17"/>
  <c r="Y10" i="17"/>
  <c r="W10" i="17"/>
  <c r="X10" i="17"/>
  <c r="Q20" i="17"/>
  <c r="Y9" i="17"/>
  <c r="P37" i="17"/>
  <c r="R37" i="17"/>
  <c r="R21" i="17"/>
  <c r="X8" i="17"/>
  <c r="P39" i="17"/>
  <c r="W7" i="17"/>
  <c r="X6" i="17"/>
  <c r="Y6" i="17"/>
  <c r="Z6" i="17"/>
  <c r="P5" i="17"/>
  <c r="R5" i="17"/>
  <c r="Y5" i="17"/>
  <c r="Q8" i="17"/>
  <c r="Z4" i="17"/>
  <c r="X3" i="17"/>
  <c r="R9" i="17"/>
  <c r="Y3" i="17"/>
  <c r="P2" i="17"/>
  <c r="Y2" i="17"/>
  <c r="W18" i="17"/>
  <c r="O17" i="17"/>
  <c r="Q11" i="17"/>
  <c r="O14" i="17"/>
  <c r="Q14" i="17"/>
  <c r="Q3" i="17"/>
  <c r="Y4" i="17"/>
  <c r="Q6" i="17"/>
  <c r="O7" i="17"/>
  <c r="R8" i="17"/>
  <c r="Y11" i="17"/>
  <c r="X14" i="17"/>
  <c r="R18" i="17"/>
  <c r="Q18" i="17"/>
  <c r="Z20" i="17"/>
  <c r="R23" i="17"/>
  <c r="Q23" i="17"/>
  <c r="P23" i="17"/>
  <c r="X24" i="17"/>
  <c r="Q26" i="17"/>
  <c r="P26" i="17"/>
  <c r="Z28" i="17"/>
  <c r="Y28" i="17"/>
  <c r="X28" i="17"/>
  <c r="W31" i="17"/>
  <c r="Z31" i="17"/>
  <c r="Y31" i="17"/>
  <c r="Y7" i="17"/>
  <c r="X2" i="17"/>
  <c r="R3" i="17"/>
  <c r="P7" i="17"/>
  <c r="Z8" i="17"/>
  <c r="Y8" i="17"/>
  <c r="Q10" i="17"/>
  <c r="O11" i="17"/>
  <c r="P13" i="17"/>
  <c r="X13" i="17"/>
  <c r="O22" i="17"/>
  <c r="P22" i="17"/>
  <c r="R22" i="17"/>
  <c r="O36" i="17"/>
  <c r="W22" i="17"/>
  <c r="W4" i="17"/>
  <c r="Z5" i="17"/>
  <c r="R7" i="17"/>
  <c r="Q7" i="17"/>
  <c r="O8" i="17"/>
  <c r="R10" i="17"/>
  <c r="P11" i="17"/>
  <c r="Z12" i="17"/>
  <c r="Y12" i="17"/>
  <c r="Y13" i="17"/>
  <c r="W13" i="17"/>
  <c r="Z15" i="17"/>
  <c r="Y15" i="17"/>
  <c r="P18" i="17"/>
  <c r="X19" i="17"/>
  <c r="Y20" i="17"/>
  <c r="Z23" i="17"/>
  <c r="Y23" i="17"/>
  <c r="X23" i="17"/>
  <c r="O24" i="17"/>
  <c r="W24" i="17"/>
  <c r="X26" i="17"/>
  <c r="P27" i="17"/>
  <c r="R31" i="17"/>
  <c r="Q31" i="17"/>
  <c r="P31" i="17"/>
  <c r="O31" i="17"/>
  <c r="P15" i="17"/>
  <c r="O16" i="17"/>
  <c r="X16" i="17"/>
  <c r="W17" i="17"/>
  <c r="Q19" i="17"/>
  <c r="O20" i="17"/>
  <c r="W32" i="17"/>
  <c r="Y32" i="17"/>
  <c r="X39" i="17"/>
  <c r="Y19" i="17"/>
  <c r="P20" i="17"/>
  <c r="X22" i="17"/>
  <c r="Z24" i="17"/>
  <c r="Y24" i="17"/>
  <c r="P25" i="17"/>
  <c r="R27" i="17"/>
  <c r="Q27" i="17"/>
  <c r="W27" i="17"/>
  <c r="Z27" i="17"/>
  <c r="O30" i="17"/>
  <c r="R30" i="17"/>
  <c r="X30" i="17"/>
  <c r="X34" i="17"/>
  <c r="X35" i="17"/>
  <c r="Y36" i="17"/>
  <c r="O39" i="17"/>
  <c r="R39" i="17"/>
  <c r="Q39" i="17"/>
  <c r="O19" i="17"/>
  <c r="Z19" i="17"/>
  <c r="R20" i="17"/>
  <c r="X32" i="17"/>
  <c r="P33" i="17"/>
  <c r="P34" i="17"/>
  <c r="O35" i="17"/>
  <c r="R35" i="17"/>
  <c r="Q35" i="17"/>
  <c r="W40" i="17"/>
  <c r="Z40" i="17"/>
  <c r="Y40" i="17"/>
  <c r="P24" i="17"/>
  <c r="O25" i="17"/>
  <c r="X25" i="17"/>
  <c r="P28" i="17"/>
  <c r="O29" i="17"/>
  <c r="X29" i="17"/>
  <c r="W30" i="17"/>
  <c r="P32" i="17"/>
  <c r="O33" i="17"/>
  <c r="X33" i="17"/>
  <c r="R34" i="17"/>
  <c r="W34" i="17"/>
  <c r="Z35" i="17"/>
  <c r="P36" i="17"/>
  <c r="X37" i="17"/>
  <c r="R38" i="17"/>
  <c r="W38" i="17"/>
  <c r="Z39" i="17"/>
  <c r="P40" i="17"/>
  <c r="O38" i="17"/>
  <c r="X38" i="17"/>
  <c r="Q40" i="17"/>
  <c r="P41" i="17"/>
  <c r="Y41" i="17"/>
  <c r="R40" i="17"/>
  <c r="R4" i="17"/>
  <c r="R11" i="17"/>
  <c r="AJ3" i="14"/>
  <c r="AI3" i="14"/>
  <c r="AH3" i="14"/>
  <c r="AM3" i="14" s="1"/>
  <c r="AG3" i="14"/>
  <c r="AF3" i="14"/>
  <c r="AE3" i="14"/>
  <c r="AD3" i="14"/>
  <c r="AC3" i="14"/>
  <c r="AB3" i="14"/>
  <c r="AA3" i="14"/>
  <c r="Z3" i="14"/>
  <c r="Y3" i="14"/>
  <c r="X3" i="14"/>
  <c r="W3" i="14" a="1"/>
  <c r="W3" i="14" s="1"/>
  <c r="V3" i="14"/>
  <c r="U3" i="14"/>
  <c r="T3" i="14"/>
  <c r="S3" i="14"/>
  <c r="R3" i="14" a="1"/>
  <c r="R3" i="14" s="1"/>
  <c r="Q3" i="14" a="1"/>
  <c r="Q3" i="14" s="1"/>
  <c r="P3" i="14"/>
  <c r="O3" i="14"/>
  <c r="N3" i="14"/>
  <c r="M3" i="14"/>
  <c r="L3" i="14" a="1"/>
  <c r="L3" i="14" s="1"/>
  <c r="K3" i="14"/>
  <c r="J3" i="14"/>
  <c r="I3" i="14"/>
  <c r="H3" i="14"/>
  <c r="G3" i="14" a="1"/>
  <c r="G3" i="14" s="1"/>
  <c r="F3" i="14" a="1"/>
  <c r="F3" i="14" s="1"/>
  <c r="E3" i="14"/>
  <c r="D3" i="14"/>
  <c r="B19" i="6"/>
  <c r="B18" i="6"/>
  <c r="B17" i="6"/>
  <c r="B11" i="6"/>
  <c r="B10" i="6"/>
  <c r="W8" i="18" l="1"/>
  <c r="D29" i="18"/>
  <c r="W21" i="18"/>
  <c r="D35" i="18"/>
  <c r="O12" i="18"/>
  <c r="O41" i="17"/>
  <c r="W33" i="17"/>
  <c r="O41" i="18"/>
  <c r="W40" i="18"/>
  <c r="X36" i="18"/>
  <c r="E26" i="18"/>
  <c r="W11" i="18"/>
  <c r="D14" i="18"/>
  <c r="O10" i="17"/>
  <c r="D41" i="18"/>
  <c r="W27" i="18"/>
  <c r="D3" i="18"/>
  <c r="P26" i="18"/>
  <c r="O10" i="18"/>
  <c r="O37" i="18"/>
  <c r="W33" i="18"/>
  <c r="O16" i="18"/>
  <c r="O40" i="17"/>
  <c r="O37" i="17"/>
  <c r="W9" i="17"/>
  <c r="W11" i="17"/>
  <c r="V35" i="17"/>
  <c r="O40" i="18"/>
  <c r="W15" i="18"/>
  <c r="O4" i="18"/>
  <c r="D27" i="18"/>
  <c r="W5" i="18"/>
  <c r="W13" i="18"/>
  <c r="N6" i="18"/>
  <c r="W3" i="18"/>
  <c r="D23" i="18"/>
  <c r="O23" i="17"/>
  <c r="W5" i="17"/>
  <c r="D8" i="18"/>
  <c r="O5" i="18"/>
  <c r="O15" i="18"/>
  <c r="W23" i="17"/>
  <c r="O28" i="17"/>
  <c r="W23" i="18"/>
  <c r="O28" i="18"/>
  <c r="R26" i="18"/>
  <c r="Z33" i="18"/>
  <c r="R36" i="18"/>
  <c r="G4" i="18"/>
  <c r="R25" i="18"/>
  <c r="C37" i="18"/>
  <c r="G8" i="18"/>
  <c r="X17" i="17"/>
  <c r="O15" i="17"/>
  <c r="O27" i="17"/>
  <c r="E37" i="18"/>
  <c r="G26" i="18"/>
  <c r="Z36" i="18"/>
  <c r="W28" i="18"/>
  <c r="O23" i="18"/>
  <c r="W39" i="17"/>
  <c r="W19" i="18"/>
  <c r="D4" i="18"/>
  <c r="W19" i="17"/>
  <c r="W28" i="17"/>
  <c r="N40" i="18"/>
  <c r="W35" i="17"/>
  <c r="D36" i="18"/>
  <c r="O26" i="17"/>
  <c r="O26" i="18"/>
  <c r="O9" i="18"/>
  <c r="W36" i="18"/>
  <c r="D26" i="18"/>
  <c r="V35" i="18"/>
  <c r="C10" i="18"/>
  <c r="Z2" i="17"/>
  <c r="R2" i="18"/>
  <c r="Z2" i="18"/>
  <c r="R2" i="17"/>
  <c r="N9" i="17"/>
  <c r="W39" i="18"/>
  <c r="O34" i="18"/>
  <c r="C27" i="18"/>
  <c r="N9" i="18"/>
  <c r="V3" i="18"/>
  <c r="V37" i="18"/>
  <c r="O34" i="17"/>
  <c r="W15" i="17"/>
  <c r="C14" i="18"/>
  <c r="D21" i="18"/>
  <c r="O6" i="18"/>
  <c r="O6" i="17"/>
  <c r="D40" i="18"/>
  <c r="N14" i="18"/>
  <c r="C26" i="18"/>
  <c r="C28" i="18"/>
  <c r="N18" i="18"/>
  <c r="N18" i="17"/>
  <c r="V26" i="18"/>
  <c r="C30" i="18"/>
  <c r="V26" i="17"/>
  <c r="V20" i="18"/>
  <c r="C34" i="18"/>
  <c r="N3" i="18"/>
  <c r="W18" i="18"/>
  <c r="O30" i="18"/>
  <c r="O17" i="18"/>
  <c r="W7" i="18"/>
  <c r="D34" i="18"/>
  <c r="W16" i="18"/>
  <c r="W24" i="18"/>
  <c r="W20" i="18"/>
  <c r="D2" i="18"/>
  <c r="O22" i="18"/>
  <c r="W20" i="17"/>
  <c r="N15" i="18"/>
  <c r="R41" i="17"/>
  <c r="R41" i="18"/>
  <c r="G27" i="18"/>
  <c r="R13" i="18"/>
  <c r="Z37" i="18"/>
  <c r="R33" i="18"/>
  <c r="V29" i="18"/>
  <c r="C32" i="18"/>
  <c r="N24" i="18"/>
  <c r="G6" i="18"/>
  <c r="W26" i="17"/>
  <c r="O18" i="17"/>
  <c r="D30" i="18"/>
  <c r="O18" i="18"/>
  <c r="C24" i="18"/>
  <c r="V24" i="18"/>
  <c r="N32" i="18"/>
  <c r="R32" i="18"/>
  <c r="G24" i="18"/>
  <c r="G19" i="18"/>
  <c r="Z22" i="18"/>
  <c r="N4" i="18"/>
  <c r="V21" i="18"/>
  <c r="C29" i="18"/>
  <c r="R4" i="18"/>
  <c r="V19" i="18"/>
  <c r="V17" i="18"/>
  <c r="N30" i="18"/>
  <c r="V16" i="18"/>
  <c r="N30" i="17"/>
  <c r="C22" i="18"/>
  <c r="Z16" i="18"/>
  <c r="Z14" i="18"/>
  <c r="V12" i="18"/>
  <c r="R7" i="18"/>
  <c r="G2" i="18"/>
  <c r="Z12" i="18"/>
  <c r="C3" i="18"/>
  <c r="V11" i="18"/>
  <c r="N16" i="18"/>
  <c r="G3" i="18"/>
  <c r="R16" i="18"/>
  <c r="N37" i="18"/>
  <c r="V9" i="18"/>
  <c r="C41" i="18"/>
  <c r="Z9" i="18"/>
  <c r="R37" i="18"/>
  <c r="R21" i="18"/>
  <c r="G15" i="18"/>
  <c r="C12" i="18"/>
  <c r="N39" i="17"/>
  <c r="V7" i="18"/>
  <c r="N39" i="18"/>
  <c r="Z7" i="17"/>
  <c r="G12" i="18"/>
  <c r="R39" i="18"/>
  <c r="Z7" i="18"/>
  <c r="X9" i="17"/>
  <c r="X20" i="17"/>
  <c r="P3" i="17"/>
  <c r="V2" i="17"/>
  <c r="W6" i="17"/>
  <c r="X41" i="17"/>
  <c r="P16" i="17"/>
  <c r="P14" i="17"/>
  <c r="N6" i="17"/>
  <c r="X21" i="17"/>
  <c r="V12" i="17"/>
  <c r="X31" i="17"/>
  <c r="P21" i="17"/>
  <c r="P38" i="17"/>
  <c r="X7" i="17"/>
  <c r="V7" i="17"/>
  <c r="X5" i="17"/>
  <c r="N2" i="17"/>
  <c r="P8" i="17"/>
  <c r="X4" i="17"/>
  <c r="P10" i="17"/>
  <c r="P9" i="17"/>
  <c r="V3" i="17"/>
  <c r="O2" i="17"/>
  <c r="W2" i="17"/>
  <c r="Z41" i="17"/>
  <c r="N14" i="17"/>
  <c r="R14" i="17"/>
  <c r="V38" i="17"/>
  <c r="N35" i="17"/>
  <c r="W37" i="17"/>
  <c r="O13" i="17"/>
  <c r="Z37" i="17"/>
  <c r="R13" i="17"/>
  <c r="Z36" i="17"/>
  <c r="R26" i="17"/>
  <c r="R6" i="17"/>
  <c r="P6" i="17"/>
  <c r="Z34" i="17"/>
  <c r="R33" i="17"/>
  <c r="Z33" i="17"/>
  <c r="Z32" i="17"/>
  <c r="R29" i="17"/>
  <c r="V31" i="17"/>
  <c r="R24" i="17"/>
  <c r="Z29" i="17"/>
  <c r="Z25" i="17"/>
  <c r="R36" i="17"/>
  <c r="N11" i="17"/>
  <c r="Z22" i="17"/>
  <c r="Z21" i="17"/>
  <c r="W21" i="17"/>
  <c r="O4" i="17"/>
  <c r="N3" i="17"/>
  <c r="V20" i="17"/>
  <c r="R15" i="17"/>
  <c r="P17" i="17"/>
  <c r="V17" i="17"/>
  <c r="Z17" i="17"/>
  <c r="R25" i="17"/>
  <c r="R19" i="17"/>
  <c r="Z13" i="17"/>
  <c r="R16" i="17"/>
  <c r="Z9" i="17"/>
  <c r="O21" i="17"/>
  <c r="W8" i="17"/>
  <c r="O5" i="17"/>
  <c r="E5" i="14"/>
  <c r="W3" i="17"/>
  <c r="O9" i="17"/>
  <c r="V29" i="17"/>
  <c r="N24" i="17"/>
  <c r="V16" i="17"/>
  <c r="N29" i="17"/>
  <c r="V37" i="17"/>
  <c r="N13" i="17"/>
  <c r="N19" i="17"/>
  <c r="V40" i="17"/>
  <c r="C3" i="14"/>
  <c r="AK3" i="14" s="1"/>
  <c r="AL3" i="14"/>
  <c r="A12" i="13"/>
  <c r="A11" i="13"/>
  <c r="A10" i="13"/>
  <c r="A6" i="13"/>
  <c r="A5" i="13"/>
  <c r="A4" i="13"/>
  <c r="C33" i="18" l="1"/>
  <c r="V28" i="17"/>
  <c r="C25" i="18"/>
  <c r="V15" i="17"/>
  <c r="N12" i="18"/>
  <c r="N12" i="17"/>
  <c r="N23" i="17"/>
  <c r="N34" i="18"/>
  <c r="C21" i="18"/>
  <c r="V10" i="17"/>
  <c r="N20" i="18"/>
  <c r="C9" i="18"/>
  <c r="V34" i="17"/>
  <c r="V18" i="18"/>
  <c r="V34" i="18"/>
  <c r="N33" i="17"/>
  <c r="N33" i="18"/>
  <c r="N17" i="17"/>
  <c r="V22" i="17"/>
  <c r="N26" i="17"/>
  <c r="N7" i="18"/>
  <c r="C2" i="18"/>
  <c r="V36" i="18"/>
  <c r="V36" i="17"/>
  <c r="N27" i="17"/>
  <c r="N7" i="17"/>
  <c r="N27" i="18"/>
  <c r="N26" i="18"/>
  <c r="V25" i="17"/>
  <c r="V32" i="17"/>
  <c r="V18" i="17"/>
  <c r="V32" i="18"/>
  <c r="V41" i="17"/>
  <c r="C38" i="18"/>
  <c r="N17" i="18"/>
  <c r="V41" i="18"/>
  <c r="N36" i="17"/>
  <c r="C7" i="18"/>
  <c r="N29" i="18"/>
  <c r="C23" i="18"/>
  <c r="V28" i="18"/>
  <c r="C35" i="18"/>
  <c r="N13" i="18"/>
  <c r="V33" i="18"/>
  <c r="C36" i="18"/>
  <c r="V10" i="18"/>
  <c r="N20" i="17"/>
  <c r="C39" i="18"/>
  <c r="V13" i="18"/>
  <c r="N34" i="17"/>
  <c r="N19" i="18"/>
  <c r="N2" i="18"/>
  <c r="V2" i="18"/>
  <c r="N36" i="18"/>
  <c r="V25" i="18"/>
  <c r="C4" i="18"/>
  <c r="N25" i="18"/>
  <c r="V15" i="18"/>
  <c r="V13" i="17"/>
  <c r="C8" i="18"/>
  <c r="V5" i="18"/>
  <c r="N5" i="18"/>
  <c r="N35" i="18"/>
  <c r="C18" i="18"/>
  <c r="V38" i="18"/>
  <c r="C11" i="18"/>
  <c r="V31" i="18"/>
  <c r="N22" i="18"/>
  <c r="V30" i="18"/>
  <c r="C13" i="18"/>
  <c r="C17" i="18"/>
  <c r="N38" i="18"/>
  <c r="V6" i="18"/>
  <c r="N8" i="18"/>
  <c r="C5" i="18"/>
  <c r="V4" i="18"/>
  <c r="C16" i="18"/>
  <c r="N41" i="17"/>
  <c r="V40" i="18"/>
  <c r="N41" i="18"/>
  <c r="C40" i="18"/>
  <c r="N23" i="18"/>
  <c r="V39" i="18"/>
  <c r="V39" i="17"/>
  <c r="N10" i="18"/>
  <c r="V27" i="18"/>
  <c r="C6" i="18"/>
  <c r="N10" i="17"/>
  <c r="V27" i="17"/>
  <c r="N28" i="18"/>
  <c r="N28" i="17"/>
  <c r="V23" i="18"/>
  <c r="C19" i="18"/>
  <c r="V23" i="17"/>
  <c r="C20" i="18"/>
  <c r="V22" i="18"/>
  <c r="N11" i="18"/>
  <c r="C31" i="18"/>
  <c r="V14" i="18"/>
  <c r="N31" i="18"/>
  <c r="N21" i="18"/>
  <c r="C15" i="18"/>
  <c r="V8" i="18"/>
  <c r="N21" i="17"/>
  <c r="V8" i="17"/>
  <c r="V21" i="17"/>
  <c r="N25" i="17"/>
  <c r="N4" i="17"/>
  <c r="V33" i="17"/>
  <c r="N40" i="17"/>
  <c r="V30" i="17"/>
  <c r="N22" i="17"/>
  <c r="N32" i="17"/>
  <c r="V24" i="17"/>
  <c r="V19" i="17"/>
  <c r="N15" i="17"/>
  <c r="N31" i="17"/>
  <c r="V14" i="17"/>
  <c r="N16" i="17"/>
  <c r="V11" i="17"/>
  <c r="N37" i="17"/>
  <c r="V9" i="17"/>
  <c r="V6" i="17"/>
  <c r="N38" i="17"/>
  <c r="D5" i="14"/>
  <c r="V5" i="17"/>
  <c r="N5" i="17"/>
  <c r="N8" i="17"/>
  <c r="V4" i="17"/>
  <c r="B9" i="6"/>
  <c r="D2" i="6"/>
  <c r="B9" i="13"/>
  <c r="O9" i="13"/>
  <c r="P9" i="13"/>
  <c r="N9" i="13"/>
  <c r="M9" i="13"/>
  <c r="D9" i="13"/>
  <c r="E9" i="13"/>
  <c r="F9" i="13"/>
  <c r="G9" i="13"/>
  <c r="H9" i="13"/>
  <c r="I9" i="13"/>
  <c r="J9" i="13"/>
  <c r="K9" i="13"/>
  <c r="L9" i="13"/>
  <c r="C9" i="13"/>
  <c r="K10" i="13" l="1"/>
  <c r="K11" i="13"/>
  <c r="K6" i="13"/>
  <c r="K5" i="13"/>
  <c r="K12" i="13"/>
  <c r="K4" i="13"/>
  <c r="C52" i="2" l="1"/>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C167" i="2" l="1"/>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C335" i="2" l="1"/>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C18" i="6"/>
  <c r="C17" i="6"/>
  <c r="C10" i="6"/>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Z328" i="2" s="1"/>
  <c r="Y329" i="2"/>
  <c r="Y330" i="2"/>
  <c r="Y331" i="2"/>
  <c r="Y332" i="2"/>
  <c r="Z332" i="2" s="1"/>
  <c r="Y333" i="2"/>
  <c r="Y334" i="2"/>
  <c r="Y335" i="2"/>
  <c r="Y336" i="2"/>
  <c r="Z336" i="2" s="1"/>
  <c r="Y337" i="2"/>
  <c r="Y338" i="2"/>
  <c r="Y339" i="2"/>
  <c r="Y340" i="2"/>
  <c r="Y341" i="2"/>
  <c r="Y342" i="2"/>
  <c r="Y343" i="2"/>
  <c r="Y344" i="2"/>
  <c r="Z344" i="2" s="1"/>
  <c r="Y345" i="2"/>
  <c r="Y346" i="2"/>
  <c r="Y347" i="2"/>
  <c r="Y348" i="2"/>
  <c r="Z348" i="2" s="1"/>
  <c r="Y349" i="2"/>
  <c r="Y350" i="2"/>
  <c r="Y351" i="2"/>
  <c r="Y352" i="2"/>
  <c r="Y353" i="2"/>
  <c r="Y354" i="2"/>
  <c r="Y355" i="2"/>
  <c r="Y356" i="2"/>
  <c r="Y357" i="2"/>
  <c r="Y358" i="2"/>
  <c r="Y359" i="2"/>
  <c r="Y360" i="2"/>
  <c r="Y361" i="2"/>
  <c r="Y362" i="2"/>
  <c r="Y363" i="2"/>
  <c r="Y364" i="2"/>
  <c r="Y365" i="2"/>
  <c r="Y366" i="2"/>
  <c r="Z366" i="2" s="1"/>
  <c r="Y367" i="2"/>
  <c r="Y368" i="2"/>
  <c r="Z368" i="2" s="1"/>
  <c r="Y369" i="2"/>
  <c r="Y370" i="2"/>
  <c r="Z370" i="2" s="1"/>
  <c r="Y371" i="2"/>
  <c r="Y372" i="2"/>
  <c r="Z372" i="2" s="1"/>
  <c r="Y373" i="2"/>
  <c r="Y374" i="2"/>
  <c r="Z374" i="2" s="1"/>
  <c r="Y375" i="2"/>
  <c r="Y376" i="2"/>
  <c r="Z376" i="2" s="1"/>
  <c r="Y377" i="2"/>
  <c r="Y378" i="2"/>
  <c r="Z378" i="2" s="1"/>
  <c r="Y379" i="2"/>
  <c r="Y380" i="2"/>
  <c r="Z380" i="2" s="1"/>
  <c r="Y381" i="2"/>
  <c r="Y382" i="2"/>
  <c r="Z382" i="2" s="1"/>
  <c r="Y383" i="2"/>
  <c r="Y384" i="2"/>
  <c r="Z384" i="2" s="1"/>
  <c r="Y385" i="2"/>
  <c r="Y386" i="2"/>
  <c r="Y387" i="2"/>
  <c r="Y388" i="2"/>
  <c r="Z388" i="2" s="1"/>
  <c r="Y389" i="2"/>
  <c r="Y390" i="2"/>
  <c r="Y391" i="2"/>
  <c r="Y392" i="2"/>
  <c r="Z392" i="2" s="1"/>
  <c r="Y393" i="2"/>
  <c r="Y394" i="2"/>
  <c r="Y395" i="2"/>
  <c r="Y396" i="2"/>
  <c r="Z396" i="2" s="1"/>
  <c r="Y397" i="2"/>
  <c r="Y398" i="2"/>
  <c r="Y399" i="2"/>
  <c r="Y400" i="2"/>
  <c r="Z400" i="2" s="1"/>
  <c r="Y401" i="2"/>
  <c r="Y402" i="2"/>
  <c r="Y403" i="2"/>
  <c r="Y404" i="2"/>
  <c r="Z404" i="2" s="1"/>
  <c r="Y405" i="2"/>
  <c r="Y406" i="2"/>
  <c r="Y407" i="2"/>
  <c r="Y408" i="2"/>
  <c r="Z408" i="2" s="1"/>
  <c r="Y409" i="2"/>
  <c r="Y410" i="2"/>
  <c r="Y411" i="2"/>
  <c r="Y412" i="2"/>
  <c r="Z412" i="2" s="1"/>
  <c r="Y413" i="2"/>
  <c r="Y414" i="2"/>
  <c r="Y415" i="2"/>
  <c r="Y416" i="2"/>
  <c r="Z416" i="2" s="1"/>
  <c r="Y417" i="2"/>
  <c r="Y418" i="2"/>
  <c r="Y419" i="2"/>
  <c r="Y420" i="2"/>
  <c r="Z420" i="2" s="1"/>
  <c r="Y421" i="2"/>
  <c r="Y422" i="2"/>
  <c r="Y423" i="2"/>
  <c r="Y424" i="2"/>
  <c r="Z424" i="2" s="1"/>
  <c r="Y425" i="2"/>
  <c r="Y426" i="2"/>
  <c r="Y427" i="2"/>
  <c r="Y428" i="2"/>
  <c r="Z428" i="2" s="1"/>
  <c r="Y429" i="2"/>
  <c r="Y430" i="2"/>
  <c r="Y431" i="2"/>
  <c r="Y432" i="2"/>
  <c r="Z432" i="2" s="1"/>
  <c r="Y433" i="2"/>
  <c r="Y434" i="2"/>
  <c r="Y435" i="2"/>
  <c r="Y436" i="2"/>
  <c r="Z436" i="2" s="1"/>
  <c r="Y437" i="2"/>
  <c r="Y438" i="2"/>
  <c r="Y439" i="2"/>
  <c r="Y440" i="2"/>
  <c r="Z440" i="2" s="1"/>
  <c r="Y441" i="2"/>
  <c r="Y442" i="2"/>
  <c r="Y443" i="2"/>
  <c r="Y444" i="2"/>
  <c r="Z444" i="2" s="1"/>
  <c r="Y445" i="2"/>
  <c r="Y446" i="2"/>
  <c r="Y447" i="2"/>
  <c r="Y448" i="2"/>
  <c r="Z448" i="2" s="1"/>
  <c r="Y449" i="2"/>
  <c r="Y450" i="2"/>
  <c r="Y451" i="2"/>
  <c r="Y452" i="2"/>
  <c r="Z452" i="2" s="1"/>
  <c r="Y453" i="2"/>
  <c r="Y454" i="2"/>
  <c r="Y455" i="2"/>
  <c r="Y456" i="2"/>
  <c r="Z456" i="2" s="1"/>
  <c r="Y457" i="2"/>
  <c r="Y458" i="2"/>
  <c r="Y459" i="2"/>
  <c r="Y460" i="2"/>
  <c r="Z460" i="2" s="1"/>
  <c r="Y461" i="2"/>
  <c r="Y462" i="2"/>
  <c r="Y463" i="2"/>
  <c r="Y464" i="2"/>
  <c r="Z464" i="2" s="1"/>
  <c r="Y465" i="2"/>
  <c r="Y466" i="2"/>
  <c r="Y467" i="2"/>
  <c r="Y468" i="2"/>
  <c r="Z468" i="2" s="1"/>
  <c r="Y469" i="2"/>
  <c r="Y470" i="2"/>
  <c r="Y471" i="2"/>
  <c r="Y472" i="2"/>
  <c r="Z472" i="2" s="1"/>
  <c r="Y473" i="2"/>
  <c r="Y474" i="2"/>
  <c r="Y475" i="2"/>
  <c r="Y476" i="2"/>
  <c r="Z476" i="2" s="1"/>
  <c r="Y477" i="2"/>
  <c r="Y478" i="2"/>
  <c r="Y479" i="2"/>
  <c r="Y480" i="2"/>
  <c r="Z480" i="2" s="1"/>
  <c r="Y481" i="2"/>
  <c r="Y482" i="2"/>
  <c r="Y483" i="2"/>
  <c r="Y484" i="2"/>
  <c r="Z484" i="2" s="1"/>
  <c r="Y485" i="2"/>
  <c r="Y486" i="2"/>
  <c r="Y487" i="2"/>
  <c r="Y488" i="2"/>
  <c r="Z488" i="2" s="1"/>
  <c r="Y489" i="2"/>
  <c r="Y490" i="2"/>
  <c r="Y491" i="2"/>
  <c r="Y492" i="2"/>
  <c r="Z492" i="2" s="1"/>
  <c r="Y493" i="2"/>
  <c r="Y494" i="2"/>
  <c r="Y495" i="2"/>
  <c r="Y496" i="2"/>
  <c r="Z496" i="2" s="1"/>
  <c r="Y497" i="2"/>
  <c r="Y498" i="2"/>
  <c r="Y499" i="2"/>
  <c r="Y500" i="2"/>
  <c r="Z500" i="2"/>
  <c r="Y501" i="2"/>
  <c r="Y502" i="2"/>
  <c r="Y503" i="2"/>
  <c r="Y504" i="2"/>
  <c r="Z504" i="2" s="1"/>
  <c r="Y505" i="2"/>
  <c r="Y506" i="2"/>
  <c r="Y507" i="2"/>
  <c r="Y508" i="2"/>
  <c r="Z508" i="2" s="1"/>
  <c r="Y509" i="2"/>
  <c r="Y510" i="2"/>
  <c r="Y511" i="2"/>
  <c r="Y512" i="2"/>
  <c r="Z512" i="2" s="1"/>
  <c r="Y513" i="2"/>
  <c r="Y514" i="2"/>
  <c r="Y515" i="2"/>
  <c r="Y516" i="2"/>
  <c r="Z516" i="2" s="1"/>
  <c r="Y517" i="2"/>
  <c r="Y518" i="2"/>
  <c r="Y519" i="2"/>
  <c r="Y520" i="2"/>
  <c r="Z520" i="2" s="1"/>
  <c r="Y521" i="2"/>
  <c r="Y522" i="2"/>
  <c r="Y523" i="2"/>
  <c r="Y524" i="2"/>
  <c r="Z524" i="2" s="1"/>
  <c r="Y525" i="2"/>
  <c r="Y526" i="2"/>
  <c r="Y527" i="2"/>
  <c r="Y528" i="2"/>
  <c r="Z528" i="2" s="1"/>
  <c r="Y529" i="2"/>
  <c r="Y530" i="2"/>
  <c r="Y531" i="2"/>
  <c r="Y532" i="2"/>
  <c r="Z532" i="2" s="1"/>
  <c r="Y533" i="2"/>
  <c r="Y534" i="2"/>
  <c r="Y535" i="2"/>
  <c r="Y536" i="2"/>
  <c r="Z536" i="2" s="1"/>
  <c r="Y537" i="2"/>
  <c r="Y538" i="2"/>
  <c r="Y539" i="2"/>
  <c r="Y540" i="2"/>
  <c r="Z540" i="2" s="1"/>
  <c r="Y541" i="2"/>
  <c r="Y542" i="2"/>
  <c r="Y543" i="2"/>
  <c r="Y544" i="2"/>
  <c r="Z544" i="2" s="1"/>
  <c r="Y545" i="2"/>
  <c r="Y546" i="2"/>
  <c r="Y547" i="2"/>
  <c r="Y548" i="2"/>
  <c r="Z548" i="2" s="1"/>
  <c r="Y549" i="2"/>
  <c r="Y550" i="2"/>
  <c r="Y551" i="2"/>
  <c r="Y552" i="2"/>
  <c r="Z552" i="2" s="1"/>
  <c r="Y553" i="2"/>
  <c r="Y554" i="2"/>
  <c r="Y555" i="2"/>
  <c r="Y556" i="2"/>
  <c r="Z556" i="2" s="1"/>
  <c r="Y557" i="2"/>
  <c r="Y558" i="2"/>
  <c r="Y559" i="2"/>
  <c r="Y560" i="2"/>
  <c r="Z560" i="2" s="1"/>
  <c r="Y561" i="2"/>
  <c r="Y562" i="2"/>
  <c r="Y563" i="2"/>
  <c r="Y564" i="2"/>
  <c r="Z564" i="2" s="1"/>
  <c r="Y565" i="2"/>
  <c r="Y566" i="2"/>
  <c r="Y567" i="2"/>
  <c r="Y568" i="2"/>
  <c r="Z568" i="2" s="1"/>
  <c r="Y569" i="2"/>
  <c r="Y570" i="2"/>
  <c r="Y571" i="2"/>
  <c r="Y572" i="2"/>
  <c r="Z572" i="2" s="1"/>
  <c r="Y573" i="2"/>
  <c r="Y574" i="2"/>
  <c r="Y575" i="2"/>
  <c r="Y576" i="2"/>
  <c r="Z576" i="2" s="1"/>
  <c r="Y577" i="2"/>
  <c r="Y578" i="2"/>
  <c r="Z578" i="2" s="1"/>
  <c r="Y579" i="2"/>
  <c r="Y580" i="2"/>
  <c r="Z580" i="2" s="1"/>
  <c r="Y581" i="2"/>
  <c r="Y582" i="2"/>
  <c r="Y583" i="2"/>
  <c r="Y584" i="2"/>
  <c r="Z584" i="2" s="1"/>
  <c r="Y585" i="2"/>
  <c r="Y586" i="2"/>
  <c r="Y587" i="2"/>
  <c r="Y588" i="2"/>
  <c r="Z588" i="2" s="1"/>
  <c r="Y589" i="2"/>
  <c r="Y590" i="2"/>
  <c r="Y591" i="2"/>
  <c r="Y592" i="2"/>
  <c r="Z592" i="2" s="1"/>
  <c r="Y593" i="2"/>
  <c r="Y594" i="2"/>
  <c r="Z594" i="2" s="1"/>
  <c r="Y595" i="2"/>
  <c r="Y596" i="2"/>
  <c r="Z596" i="2"/>
  <c r="Y597" i="2"/>
  <c r="Y598" i="2"/>
  <c r="Y599" i="2"/>
  <c r="Y600" i="2"/>
  <c r="Z600" i="2" s="1"/>
  <c r="Y601" i="2"/>
  <c r="Y602" i="2"/>
  <c r="Y603" i="2"/>
  <c r="Y604" i="2"/>
  <c r="Z604" i="2" s="1"/>
  <c r="Y605" i="2"/>
  <c r="Y606" i="2"/>
  <c r="Y607" i="2"/>
  <c r="Y608" i="2"/>
  <c r="Z608" i="2" s="1"/>
  <c r="Y609" i="2"/>
  <c r="Y610" i="2"/>
  <c r="Y611" i="2"/>
  <c r="Y612" i="2"/>
  <c r="Z612" i="2" s="1"/>
  <c r="Y613" i="2"/>
  <c r="Y614" i="2"/>
  <c r="Y615" i="2"/>
  <c r="Y616" i="2"/>
  <c r="Z616" i="2" s="1"/>
  <c r="Y617" i="2"/>
  <c r="Y618" i="2"/>
  <c r="Y619" i="2"/>
  <c r="Y620" i="2"/>
  <c r="Z620" i="2" s="1"/>
  <c r="Y621" i="2"/>
  <c r="Y622" i="2"/>
  <c r="Y623" i="2"/>
  <c r="Y624" i="2"/>
  <c r="Z624" i="2" s="1"/>
  <c r="Y625" i="2"/>
  <c r="Y626" i="2"/>
  <c r="Y627" i="2"/>
  <c r="Y628" i="2"/>
  <c r="Z628" i="2" s="1"/>
  <c r="Y629" i="2"/>
  <c r="Y630" i="2"/>
  <c r="Y631" i="2"/>
  <c r="Y632" i="2"/>
  <c r="Z632" i="2" s="1"/>
  <c r="Y633" i="2"/>
  <c r="Y634" i="2"/>
  <c r="Y635" i="2"/>
  <c r="Y636" i="2"/>
  <c r="Z636" i="2" s="1"/>
  <c r="Y637" i="2"/>
  <c r="Y638" i="2"/>
  <c r="Y639" i="2"/>
  <c r="Y640" i="2"/>
  <c r="Z640" i="2" s="1"/>
  <c r="Y641" i="2"/>
  <c r="Y642" i="2"/>
  <c r="Y643" i="2"/>
  <c r="Y644" i="2"/>
  <c r="Z644" i="2" s="1"/>
  <c r="Y645" i="2"/>
  <c r="Y646" i="2"/>
  <c r="Y647" i="2"/>
  <c r="Y648" i="2"/>
  <c r="Z648" i="2" s="1"/>
  <c r="Y649" i="2"/>
  <c r="Y650" i="2"/>
  <c r="Y651" i="2"/>
  <c r="Y652" i="2"/>
  <c r="Z652" i="2" s="1"/>
  <c r="Y653" i="2"/>
  <c r="Y654" i="2"/>
  <c r="Y655" i="2"/>
  <c r="Y656" i="2"/>
  <c r="Z656" i="2" s="1"/>
  <c r="Y657" i="2"/>
  <c r="Y658" i="2"/>
  <c r="Y659" i="2"/>
  <c r="Y660" i="2"/>
  <c r="Z660" i="2" s="1"/>
  <c r="Y661" i="2"/>
  <c r="Y662" i="2"/>
  <c r="Y663" i="2"/>
  <c r="Y664" i="2"/>
  <c r="Z664" i="2" s="1"/>
  <c r="Y665" i="2"/>
  <c r="Y666" i="2"/>
  <c r="Y667" i="2"/>
  <c r="Y668" i="2"/>
  <c r="Z668" i="2" s="1"/>
  <c r="Y669" i="2"/>
  <c r="Y670" i="2"/>
  <c r="Y671" i="2"/>
  <c r="Y672" i="2"/>
  <c r="Z672" i="2" s="1"/>
  <c r="Y673" i="2"/>
  <c r="Y674" i="2"/>
  <c r="Y675" i="2"/>
  <c r="Y676" i="2"/>
  <c r="Z676" i="2" s="1"/>
  <c r="Y677" i="2"/>
  <c r="Y678" i="2"/>
  <c r="Y679" i="2"/>
  <c r="Y680" i="2"/>
  <c r="Z680" i="2" s="1"/>
  <c r="Y681" i="2"/>
  <c r="Y682" i="2"/>
  <c r="Y683" i="2"/>
  <c r="Y684" i="2"/>
  <c r="Z684" i="2" s="1"/>
  <c r="Y685" i="2"/>
  <c r="Y686" i="2"/>
  <c r="Y687" i="2"/>
  <c r="Y688" i="2"/>
  <c r="Z688" i="2" s="1"/>
  <c r="Y689" i="2"/>
  <c r="Y690" i="2"/>
  <c r="Y691" i="2"/>
  <c r="Y692" i="2"/>
  <c r="Z692" i="2" s="1"/>
  <c r="Y693" i="2"/>
  <c r="Y694" i="2"/>
  <c r="Y695" i="2"/>
  <c r="Y696" i="2"/>
  <c r="Z696" i="2" s="1"/>
  <c r="Y697" i="2"/>
  <c r="Y698" i="2"/>
  <c r="Y699" i="2"/>
  <c r="Y700" i="2"/>
  <c r="Z700" i="2" s="1"/>
  <c r="Y701" i="2"/>
  <c r="Y702" i="2"/>
  <c r="Y703" i="2"/>
  <c r="Y704" i="2"/>
  <c r="Z704" i="2" s="1"/>
  <c r="Y705" i="2"/>
  <c r="Y706" i="2"/>
  <c r="Y707" i="2"/>
  <c r="Y708" i="2"/>
  <c r="Z708" i="2" s="1"/>
  <c r="Y709" i="2"/>
  <c r="Y710" i="2"/>
  <c r="Y711" i="2"/>
  <c r="Y712" i="2"/>
  <c r="Z712" i="2" s="1"/>
  <c r="Y713" i="2"/>
  <c r="Y714" i="2"/>
  <c r="Y715" i="2"/>
  <c r="Y716" i="2"/>
  <c r="Z716" i="2" s="1"/>
  <c r="Y717" i="2"/>
  <c r="Y718" i="2"/>
  <c r="Y719" i="2"/>
  <c r="Y720" i="2"/>
  <c r="Z720" i="2" s="1"/>
  <c r="Y721" i="2"/>
  <c r="Y722" i="2"/>
  <c r="Y723" i="2"/>
  <c r="Y724" i="2"/>
  <c r="Z724" i="2" s="1"/>
  <c r="Y725" i="2"/>
  <c r="Y726" i="2"/>
  <c r="Y727" i="2"/>
  <c r="Y728" i="2"/>
  <c r="Z728" i="2" s="1"/>
  <c r="Y729" i="2"/>
  <c r="Y730" i="2"/>
  <c r="Y731" i="2"/>
  <c r="Y732" i="2"/>
  <c r="Z732" i="2" s="1"/>
  <c r="Y733" i="2"/>
  <c r="Y734" i="2"/>
  <c r="Y735" i="2"/>
  <c r="Y736" i="2"/>
  <c r="Z736" i="2" s="1"/>
  <c r="Y737" i="2"/>
  <c r="Y738" i="2"/>
  <c r="Y739" i="2"/>
  <c r="Y740" i="2"/>
  <c r="Z740" i="2" s="1"/>
  <c r="Y741" i="2"/>
  <c r="Y742" i="2"/>
  <c r="Y743" i="2"/>
  <c r="Y744" i="2"/>
  <c r="Z744" i="2" s="1"/>
  <c r="Y745" i="2"/>
  <c r="Y746" i="2"/>
  <c r="Y747" i="2"/>
  <c r="Y748" i="2"/>
  <c r="Z748" i="2" s="1"/>
  <c r="Y749" i="2"/>
  <c r="Y750" i="2"/>
  <c r="Y751" i="2"/>
  <c r="Y752" i="2"/>
  <c r="Z752" i="2" s="1"/>
  <c r="Y753" i="2"/>
  <c r="Y754" i="2"/>
  <c r="Y755" i="2"/>
  <c r="Y756" i="2"/>
  <c r="Z756" i="2" s="1"/>
  <c r="Y757" i="2"/>
  <c r="Y758" i="2"/>
  <c r="Y759" i="2"/>
  <c r="Y760" i="2"/>
  <c r="Z760" i="2" s="1"/>
  <c r="Y761" i="2"/>
  <c r="Y762" i="2"/>
  <c r="Y763" i="2"/>
  <c r="Y764" i="2"/>
  <c r="Z764" i="2" s="1"/>
  <c r="Y765" i="2"/>
  <c r="Y766" i="2"/>
  <c r="Y767" i="2"/>
  <c r="Y768" i="2"/>
  <c r="Z768" i="2" s="1"/>
  <c r="Y769" i="2"/>
  <c r="Y770" i="2"/>
  <c r="Y771" i="2"/>
  <c r="Y772" i="2"/>
  <c r="Z772" i="2" s="1"/>
  <c r="Y773" i="2"/>
  <c r="Y774" i="2"/>
  <c r="Y775" i="2"/>
  <c r="Y776" i="2"/>
  <c r="Z776" i="2" s="1"/>
  <c r="Y777" i="2"/>
  <c r="Y778" i="2"/>
  <c r="Y779" i="2"/>
  <c r="Y780" i="2"/>
  <c r="Z780" i="2" s="1"/>
  <c r="Y781" i="2"/>
  <c r="Y782" i="2"/>
  <c r="Y783" i="2"/>
  <c r="Y784" i="2"/>
  <c r="Z784" i="2" s="1"/>
  <c r="Y785" i="2"/>
  <c r="Y786" i="2"/>
  <c r="Y787" i="2"/>
  <c r="Y788" i="2"/>
  <c r="Z788" i="2" s="1"/>
  <c r="Y789" i="2"/>
  <c r="Y790" i="2"/>
  <c r="Y791" i="2"/>
  <c r="Y792" i="2"/>
  <c r="Z792" i="2" s="1"/>
  <c r="Y793" i="2"/>
  <c r="Y794" i="2"/>
  <c r="Y795" i="2"/>
  <c r="Y796" i="2"/>
  <c r="Z796" i="2" s="1"/>
  <c r="Y797" i="2"/>
  <c r="Y798" i="2"/>
  <c r="Y799" i="2"/>
  <c r="Y800" i="2"/>
  <c r="Z800" i="2" s="1"/>
  <c r="Y801" i="2"/>
  <c r="Y802" i="2"/>
  <c r="Y803" i="2"/>
  <c r="Y804" i="2"/>
  <c r="Z804" i="2" s="1"/>
  <c r="Y805" i="2"/>
  <c r="Y806" i="2"/>
  <c r="Y807" i="2"/>
  <c r="Y808" i="2"/>
  <c r="Z808" i="2" s="1"/>
  <c r="Y809" i="2"/>
  <c r="Y810" i="2"/>
  <c r="Y811" i="2"/>
  <c r="Y812" i="2"/>
  <c r="Z812" i="2" s="1"/>
  <c r="Y813" i="2"/>
  <c r="Y814" i="2"/>
  <c r="Y815" i="2"/>
  <c r="Y816" i="2"/>
  <c r="Z816" i="2" s="1"/>
  <c r="Y817" i="2"/>
  <c r="Y818" i="2"/>
  <c r="Y819" i="2"/>
  <c r="Y820" i="2"/>
  <c r="Z820" i="2" s="1"/>
  <c r="Y821" i="2"/>
  <c r="Y822" i="2"/>
  <c r="Y823" i="2"/>
  <c r="Y824" i="2"/>
  <c r="Z824" i="2" s="1"/>
  <c r="Y825" i="2"/>
  <c r="Y826" i="2"/>
  <c r="Y827" i="2"/>
  <c r="Y828" i="2"/>
  <c r="Z828" i="2" s="1"/>
  <c r="Y829" i="2"/>
  <c r="Y830" i="2"/>
  <c r="Y831" i="2"/>
  <c r="Y832" i="2"/>
  <c r="Z832" i="2" s="1"/>
  <c r="Y833" i="2"/>
  <c r="Y834" i="2"/>
  <c r="Y835" i="2"/>
  <c r="Y836" i="2"/>
  <c r="Z836" i="2" s="1"/>
  <c r="Y837" i="2"/>
  <c r="Y838" i="2"/>
  <c r="Y839" i="2"/>
  <c r="Y840" i="2"/>
  <c r="Z840" i="2" s="1"/>
  <c r="Y841" i="2"/>
  <c r="Y842" i="2"/>
  <c r="Y843" i="2"/>
  <c r="Y844" i="2"/>
  <c r="Z844" i="2" s="1"/>
  <c r="Y845" i="2"/>
  <c r="Y846" i="2"/>
  <c r="Y847" i="2"/>
  <c r="Y848" i="2"/>
  <c r="Z848" i="2" s="1"/>
  <c r="Y849" i="2"/>
  <c r="Y850" i="2"/>
  <c r="Y851" i="2"/>
  <c r="Y852" i="2"/>
  <c r="Z852" i="2" s="1"/>
  <c r="Y853" i="2"/>
  <c r="Y854" i="2"/>
  <c r="Y855" i="2"/>
  <c r="Y856" i="2"/>
  <c r="Z856" i="2" s="1"/>
  <c r="Y857" i="2"/>
  <c r="Y858" i="2"/>
  <c r="Y859" i="2"/>
  <c r="Y860" i="2"/>
  <c r="Z860" i="2" s="1"/>
  <c r="Y861" i="2"/>
  <c r="Y862" i="2"/>
  <c r="Y863" i="2"/>
  <c r="Y864" i="2"/>
  <c r="Z864" i="2" s="1"/>
  <c r="Y865" i="2"/>
  <c r="Y866" i="2"/>
  <c r="Y867" i="2"/>
  <c r="Y868" i="2"/>
  <c r="Z868" i="2" s="1"/>
  <c r="Y869" i="2"/>
  <c r="Y870" i="2"/>
  <c r="Y871" i="2"/>
  <c r="Y872" i="2"/>
  <c r="Z872" i="2" s="1"/>
  <c r="Y873" i="2"/>
  <c r="Y874" i="2"/>
  <c r="Y875" i="2"/>
  <c r="Y876" i="2"/>
  <c r="Z876" i="2" s="1"/>
  <c r="Y877" i="2"/>
  <c r="Y878" i="2"/>
  <c r="Y879" i="2"/>
  <c r="Y880" i="2"/>
  <c r="Z880" i="2" s="1"/>
  <c r="Y881" i="2"/>
  <c r="Y882" i="2"/>
  <c r="Y883" i="2"/>
  <c r="Y884" i="2"/>
  <c r="Z884" i="2" s="1"/>
  <c r="Y885" i="2"/>
  <c r="Y886" i="2"/>
  <c r="Y887" i="2"/>
  <c r="Y888" i="2"/>
  <c r="Z888" i="2" s="1"/>
  <c r="Y889" i="2"/>
  <c r="Y890" i="2"/>
  <c r="Y891" i="2"/>
  <c r="Y892" i="2"/>
  <c r="Z892" i="2" s="1"/>
  <c r="Y893" i="2"/>
  <c r="Y894" i="2"/>
  <c r="Y895" i="2"/>
  <c r="Y896" i="2"/>
  <c r="Z896" i="2" s="1"/>
  <c r="Y897" i="2"/>
  <c r="Y898" i="2"/>
  <c r="Y899" i="2"/>
  <c r="Y900" i="2"/>
  <c r="Z900" i="2" s="1"/>
  <c r="Y901" i="2"/>
  <c r="Y902" i="2"/>
  <c r="Y903" i="2"/>
  <c r="Y904" i="2"/>
  <c r="Z904" i="2" s="1"/>
  <c r="Y905" i="2"/>
  <c r="Y906" i="2"/>
  <c r="Y907" i="2"/>
  <c r="Y908" i="2"/>
  <c r="Z908" i="2" s="1"/>
  <c r="Y909" i="2"/>
  <c r="Y910" i="2"/>
  <c r="Y911" i="2"/>
  <c r="Y912" i="2"/>
  <c r="Z912" i="2" s="1"/>
  <c r="Y913" i="2"/>
  <c r="Y914" i="2"/>
  <c r="Y915" i="2"/>
  <c r="Y916" i="2"/>
  <c r="Z916" i="2" s="1"/>
  <c r="Y917" i="2"/>
  <c r="Y918" i="2"/>
  <c r="Y919" i="2"/>
  <c r="Y920" i="2"/>
  <c r="Z920" i="2" s="1"/>
  <c r="Y921" i="2"/>
  <c r="Y922" i="2"/>
  <c r="Y923" i="2"/>
  <c r="Y924" i="2"/>
  <c r="Z924" i="2" s="1"/>
  <c r="Y925" i="2"/>
  <c r="Y926" i="2"/>
  <c r="Y927" i="2"/>
  <c r="Y928" i="2"/>
  <c r="Z928" i="2" s="1"/>
  <c r="Y237" i="2"/>
  <c r="Y238" i="2"/>
  <c r="Y239" i="2"/>
  <c r="Y240" i="2"/>
  <c r="Z240" i="2" s="1"/>
  <c r="Y241" i="2"/>
  <c r="Z241" i="2" s="1"/>
  <c r="Y242" i="2"/>
  <c r="Y243" i="2"/>
  <c r="Y244" i="2"/>
  <c r="Z244" i="2" s="1"/>
  <c r="Y245" i="2"/>
  <c r="Z245" i="2" s="1"/>
  <c r="Y246" i="2"/>
  <c r="Y247" i="2"/>
  <c r="Y248" i="2"/>
  <c r="Z248" i="2" s="1"/>
  <c r="Y249" i="2"/>
  <c r="Z249" i="2" s="1"/>
  <c r="Y250" i="2"/>
  <c r="Y251" i="2"/>
  <c r="Y252" i="2"/>
  <c r="Z252" i="2" s="1"/>
  <c r="Y253" i="2"/>
  <c r="Z253" i="2" s="1"/>
  <c r="Y254" i="2"/>
  <c r="Y255" i="2"/>
  <c r="Y256" i="2"/>
  <c r="Z256" i="2" s="1"/>
  <c r="Y257" i="2"/>
  <c r="Z257" i="2" s="1"/>
  <c r="Y258" i="2"/>
  <c r="Y259" i="2"/>
  <c r="Y260" i="2"/>
  <c r="Z260" i="2" s="1"/>
  <c r="Y261" i="2"/>
  <c r="Z261" i="2" s="1"/>
  <c r="Y262" i="2"/>
  <c r="Y263" i="2"/>
  <c r="Y264" i="2"/>
  <c r="Z264" i="2" s="1"/>
  <c r="Y265" i="2"/>
  <c r="Z265" i="2" s="1"/>
  <c r="Y266" i="2"/>
  <c r="Y267" i="2"/>
  <c r="Y268" i="2"/>
  <c r="Z268" i="2" s="1"/>
  <c r="Y269" i="2"/>
  <c r="Z269" i="2" s="1"/>
  <c r="Y270" i="2"/>
  <c r="Y271" i="2"/>
  <c r="Y272" i="2"/>
  <c r="Z272" i="2" s="1"/>
  <c r="Y273" i="2"/>
  <c r="Z273" i="2" s="1"/>
  <c r="Y274" i="2"/>
  <c r="Y275" i="2"/>
  <c r="Y276" i="2"/>
  <c r="Z276" i="2" s="1"/>
  <c r="Y277" i="2"/>
  <c r="Z277" i="2" s="1"/>
  <c r="Y278" i="2"/>
  <c r="Y279" i="2"/>
  <c r="Y280" i="2"/>
  <c r="Z280" i="2" s="1"/>
  <c r="Y281" i="2"/>
  <c r="Z281" i="2" s="1"/>
  <c r="Y282" i="2"/>
  <c r="Y283" i="2"/>
  <c r="Y284" i="2"/>
  <c r="Z284" i="2" s="1"/>
  <c r="Y285" i="2"/>
  <c r="Z285" i="2" s="1"/>
  <c r="Y286" i="2"/>
  <c r="Y287" i="2"/>
  <c r="Y288" i="2"/>
  <c r="Z288" i="2" s="1"/>
  <c r="Y289" i="2"/>
  <c r="Z289" i="2" s="1"/>
  <c r="Y290" i="2"/>
  <c r="Y291" i="2"/>
  <c r="Y292" i="2"/>
  <c r="Z292" i="2" s="1"/>
  <c r="Y293" i="2"/>
  <c r="Z293" i="2" s="1"/>
  <c r="Y294" i="2"/>
  <c r="Y295" i="2"/>
  <c r="Y296" i="2"/>
  <c r="Z296" i="2" s="1"/>
  <c r="Y297" i="2"/>
  <c r="Z297" i="2" s="1"/>
  <c r="Y298" i="2"/>
  <c r="Y299" i="2"/>
  <c r="Y300" i="2"/>
  <c r="Z300" i="2" s="1"/>
  <c r="Y301" i="2"/>
  <c r="Z301" i="2" s="1"/>
  <c r="Y302" i="2"/>
  <c r="Y303" i="2"/>
  <c r="Y304" i="2"/>
  <c r="Z304" i="2" s="1"/>
  <c r="Y305" i="2"/>
  <c r="Z305" i="2" s="1"/>
  <c r="Y306" i="2"/>
  <c r="Y307" i="2"/>
  <c r="Y308" i="2"/>
  <c r="Z308" i="2" s="1"/>
  <c r="Y309" i="2"/>
  <c r="Z309" i="2" s="1"/>
  <c r="Y310" i="2"/>
  <c r="Y311" i="2"/>
  <c r="Y312" i="2"/>
  <c r="Z312" i="2" s="1"/>
  <c r="Y313" i="2"/>
  <c r="Z313" i="2" s="1"/>
  <c r="Y314" i="2"/>
  <c r="Y315" i="2"/>
  <c r="Y316" i="2"/>
  <c r="Z316" i="2"/>
  <c r="Y317" i="2"/>
  <c r="Y318" i="2"/>
  <c r="Y319" i="2"/>
  <c r="Y320" i="2"/>
  <c r="Z320" i="2" s="1"/>
  <c r="Y321" i="2"/>
  <c r="Z321" i="2" s="1"/>
  <c r="Y322" i="2"/>
  <c r="Y323" i="2"/>
  <c r="Y324" i="2"/>
  <c r="Z324" i="2" s="1"/>
  <c r="Y325" i="2"/>
  <c r="Z325" i="2" s="1"/>
  <c r="Y326" i="2"/>
  <c r="Y3" i="2"/>
  <c r="Y4" i="2"/>
  <c r="Z4" i="2" s="1"/>
  <c r="Y5" i="2"/>
  <c r="Y6" i="2"/>
  <c r="Y7" i="2"/>
  <c r="Y8" i="2"/>
  <c r="Z8" i="2" s="1"/>
  <c r="Y9" i="2"/>
  <c r="Z9" i="2" s="1"/>
  <c r="Y10" i="2"/>
  <c r="Y11" i="2"/>
  <c r="Y12" i="2"/>
  <c r="Z12" i="2" s="1"/>
  <c r="Y13" i="2"/>
  <c r="Z13" i="2" s="1"/>
  <c r="Y14" i="2"/>
  <c r="Y15" i="2"/>
  <c r="Y16" i="2"/>
  <c r="Z16" i="2" s="1"/>
  <c r="Y17" i="2"/>
  <c r="Z17" i="2" s="1"/>
  <c r="Y18" i="2"/>
  <c r="Y19" i="2"/>
  <c r="Y20" i="2"/>
  <c r="Z20" i="2" s="1"/>
  <c r="Y21" i="2"/>
  <c r="Z21" i="2" s="1"/>
  <c r="Y22" i="2"/>
  <c r="Y23" i="2"/>
  <c r="Y24" i="2"/>
  <c r="Z24" i="2" s="1"/>
  <c r="Y25" i="2"/>
  <c r="Z25" i="2" s="1"/>
  <c r="Y26" i="2"/>
  <c r="Z26" i="2" s="1"/>
  <c r="Y27" i="2"/>
  <c r="Y28" i="2"/>
  <c r="Z28" i="2" s="1"/>
  <c r="Y29" i="2"/>
  <c r="Z29" i="2" s="1"/>
  <c r="Y30" i="2"/>
  <c r="Z30" i="2" s="1"/>
  <c r="Y31" i="2"/>
  <c r="Y32" i="2"/>
  <c r="Z32" i="2" s="1"/>
  <c r="Y33" i="2"/>
  <c r="Z33" i="2" s="1"/>
  <c r="Y34" i="2"/>
  <c r="Y35" i="2"/>
  <c r="Y36" i="2"/>
  <c r="Y37" i="2"/>
  <c r="Z37" i="2" s="1"/>
  <c r="Y38" i="2"/>
  <c r="Y39" i="2"/>
  <c r="Y40" i="2"/>
  <c r="Z40" i="2" s="1"/>
  <c r="Y41" i="2"/>
  <c r="Y42" i="2"/>
  <c r="Y43" i="2"/>
  <c r="Y44" i="2"/>
  <c r="Z44" i="2" s="1"/>
  <c r="Y45" i="2"/>
  <c r="Z45" i="2" s="1"/>
  <c r="Y46" i="2"/>
  <c r="Y47" i="2"/>
  <c r="Y48" i="2"/>
  <c r="Z48" i="2" s="1"/>
  <c r="Y49" i="2"/>
  <c r="Z49" i="2" s="1"/>
  <c r="Y50" i="2"/>
  <c r="Z50" i="2" s="1"/>
  <c r="Y51" i="2"/>
  <c r="Y52" i="2"/>
  <c r="Z52" i="2" s="1"/>
  <c r="Y53" i="2"/>
  <c r="Z53" i="2" s="1"/>
  <c r="Y54" i="2"/>
  <c r="Y55" i="2"/>
  <c r="Y56" i="2"/>
  <c r="Z56" i="2" s="1"/>
  <c r="Y57" i="2"/>
  <c r="Z57" i="2" s="1"/>
  <c r="Y58" i="2"/>
  <c r="Y59" i="2"/>
  <c r="Y60" i="2"/>
  <c r="Z60" i="2" s="1"/>
  <c r="Y61" i="2"/>
  <c r="Z61" i="2" s="1"/>
  <c r="Y62" i="2"/>
  <c r="Y63" i="2"/>
  <c r="Y64" i="2"/>
  <c r="Z64" i="2" s="1"/>
  <c r="Y65" i="2"/>
  <c r="Z65" i="2" s="1"/>
  <c r="Y66" i="2"/>
  <c r="Y67" i="2"/>
  <c r="Y68" i="2"/>
  <c r="Z68" i="2" s="1"/>
  <c r="Y69" i="2"/>
  <c r="Z69" i="2" s="1"/>
  <c r="Y70" i="2"/>
  <c r="Y71" i="2"/>
  <c r="Y72" i="2"/>
  <c r="Z72" i="2" s="1"/>
  <c r="Y73" i="2"/>
  <c r="Z73" i="2" s="1"/>
  <c r="Y74" i="2"/>
  <c r="Y75" i="2"/>
  <c r="Y76" i="2"/>
  <c r="Z76" i="2" s="1"/>
  <c r="Y77" i="2"/>
  <c r="Z77" i="2" s="1"/>
  <c r="Y78" i="2"/>
  <c r="Y79" i="2"/>
  <c r="Y80" i="2"/>
  <c r="Z80" i="2" s="1"/>
  <c r="Y81" i="2"/>
  <c r="Z81" i="2" s="1"/>
  <c r="Y82" i="2"/>
  <c r="Y83" i="2"/>
  <c r="Y84" i="2"/>
  <c r="Z84" i="2" s="1"/>
  <c r="Y85" i="2"/>
  <c r="Y86" i="2"/>
  <c r="Y87" i="2"/>
  <c r="Y88" i="2"/>
  <c r="Z88" i="2" s="1"/>
  <c r="Y89" i="2"/>
  <c r="Z89" i="2" s="1"/>
  <c r="Y90" i="2"/>
  <c r="Y91" i="2"/>
  <c r="Y92" i="2"/>
  <c r="Z92" i="2" s="1"/>
  <c r="Y93" i="2"/>
  <c r="Z93" i="2" s="1"/>
  <c r="Y94" i="2"/>
  <c r="Y95" i="2"/>
  <c r="Y96" i="2"/>
  <c r="Z96" i="2" s="1"/>
  <c r="Y97" i="2"/>
  <c r="Z97" i="2" s="1"/>
  <c r="Y98" i="2"/>
  <c r="Y99" i="2"/>
  <c r="Y100" i="2"/>
  <c r="Z100" i="2" s="1"/>
  <c r="Y101" i="2"/>
  <c r="Z101" i="2" s="1"/>
  <c r="Y102" i="2"/>
  <c r="Y103" i="2"/>
  <c r="Y104" i="2"/>
  <c r="Z104" i="2" s="1"/>
  <c r="Y105" i="2"/>
  <c r="Z105" i="2" s="1"/>
  <c r="Y106" i="2"/>
  <c r="Y107" i="2"/>
  <c r="Y108" i="2"/>
  <c r="Z108" i="2" s="1"/>
  <c r="Y109" i="2"/>
  <c r="Z109" i="2" s="1"/>
  <c r="Y110" i="2"/>
  <c r="Y111" i="2"/>
  <c r="Y112" i="2"/>
  <c r="Z112" i="2" s="1"/>
  <c r="Y113" i="2"/>
  <c r="Z113" i="2" s="1"/>
  <c r="Y114" i="2"/>
  <c r="Y115" i="2"/>
  <c r="Y116" i="2"/>
  <c r="Z116" i="2" s="1"/>
  <c r="Y117" i="2"/>
  <c r="Z117" i="2" s="1"/>
  <c r="Y118" i="2"/>
  <c r="Y119" i="2"/>
  <c r="Y120" i="2"/>
  <c r="Z120" i="2" s="1"/>
  <c r="Y121" i="2"/>
  <c r="Z121" i="2" s="1"/>
  <c r="Y122" i="2"/>
  <c r="Y123" i="2"/>
  <c r="Y124" i="2"/>
  <c r="Z124" i="2" s="1"/>
  <c r="Y125" i="2"/>
  <c r="Z125" i="2" s="1"/>
  <c r="Y126" i="2"/>
  <c r="Y127" i="2"/>
  <c r="Y128" i="2"/>
  <c r="Z128" i="2" s="1"/>
  <c r="Y129" i="2"/>
  <c r="Z129" i="2" s="1"/>
  <c r="Y130" i="2"/>
  <c r="Y131" i="2"/>
  <c r="Y132" i="2"/>
  <c r="Z132" i="2" s="1"/>
  <c r="Y133" i="2"/>
  <c r="Z133" i="2" s="1"/>
  <c r="Y134" i="2"/>
  <c r="Y135" i="2"/>
  <c r="Y136" i="2"/>
  <c r="Z136" i="2" s="1"/>
  <c r="Y137" i="2"/>
  <c r="Z137" i="2" s="1"/>
  <c r="Y138" i="2"/>
  <c r="Y139" i="2"/>
  <c r="Y140" i="2"/>
  <c r="Z140" i="2" s="1"/>
  <c r="Y141" i="2"/>
  <c r="Z141" i="2" s="1"/>
  <c r="Y142" i="2"/>
  <c r="Y143" i="2"/>
  <c r="Y144" i="2"/>
  <c r="Z144" i="2" s="1"/>
  <c r="Y145" i="2"/>
  <c r="Z145" i="2" s="1"/>
  <c r="Y146" i="2"/>
  <c r="Y147" i="2"/>
  <c r="Y148" i="2"/>
  <c r="Z148" i="2" s="1"/>
  <c r="Y149" i="2"/>
  <c r="Z149" i="2" s="1"/>
  <c r="Y150" i="2"/>
  <c r="Y151" i="2"/>
  <c r="Y152" i="2"/>
  <c r="Z152" i="2" s="1"/>
  <c r="Y153" i="2"/>
  <c r="Z153" i="2" s="1"/>
  <c r="Y154" i="2"/>
  <c r="Y155" i="2"/>
  <c r="Y156" i="2"/>
  <c r="Z156" i="2" s="1"/>
  <c r="Y157" i="2"/>
  <c r="Z157" i="2" s="1"/>
  <c r="Y158" i="2"/>
  <c r="Y159" i="2"/>
  <c r="Y160" i="2"/>
  <c r="Z160" i="2" s="1"/>
  <c r="Y161" i="2"/>
  <c r="Z161" i="2" s="1"/>
  <c r="Y162" i="2"/>
  <c r="Y163" i="2"/>
  <c r="Y164" i="2"/>
  <c r="Z164" i="2" s="1"/>
  <c r="Y165" i="2"/>
  <c r="Z165" i="2" s="1"/>
  <c r="Y166" i="2"/>
  <c r="Y167" i="2"/>
  <c r="Y168" i="2"/>
  <c r="Z168" i="2" s="1"/>
  <c r="Y169" i="2"/>
  <c r="Z169" i="2" s="1"/>
  <c r="Y170" i="2"/>
  <c r="Y171" i="2"/>
  <c r="Y172" i="2"/>
  <c r="Z172" i="2" s="1"/>
  <c r="Y173" i="2"/>
  <c r="Z173" i="2" s="1"/>
  <c r="Y174" i="2"/>
  <c r="Y175" i="2"/>
  <c r="Z175" i="2" s="1"/>
  <c r="Y176" i="2"/>
  <c r="Z176" i="2" s="1"/>
  <c r="Y177" i="2"/>
  <c r="Z177" i="2" s="1"/>
  <c r="Y178" i="2"/>
  <c r="Y179" i="2"/>
  <c r="Z179" i="2" s="1"/>
  <c r="Y180" i="2"/>
  <c r="Z180" i="2" s="1"/>
  <c r="Y181" i="2"/>
  <c r="Z181" i="2" s="1"/>
  <c r="Y182" i="2"/>
  <c r="Y183" i="2"/>
  <c r="Z183" i="2" s="1"/>
  <c r="Y184" i="2"/>
  <c r="Z184" i="2" s="1"/>
  <c r="Y185" i="2"/>
  <c r="Z185" i="2" s="1"/>
  <c r="Y186" i="2"/>
  <c r="Y187" i="2"/>
  <c r="Z187" i="2" s="1"/>
  <c r="Y188" i="2"/>
  <c r="Z188" i="2" s="1"/>
  <c r="Y189" i="2"/>
  <c r="Z189" i="2" s="1"/>
  <c r="Y190" i="2"/>
  <c r="Y191" i="2"/>
  <c r="Z191" i="2" s="1"/>
  <c r="Y192" i="2"/>
  <c r="Z192" i="2" s="1"/>
  <c r="Y193" i="2"/>
  <c r="Y194" i="2"/>
  <c r="Y195" i="2"/>
  <c r="Z195" i="2" s="1"/>
  <c r="Y196" i="2"/>
  <c r="Z196" i="2" s="1"/>
  <c r="Y197" i="2"/>
  <c r="Z197" i="2" s="1"/>
  <c r="Y198" i="2"/>
  <c r="Y199" i="2"/>
  <c r="Z199" i="2" s="1"/>
  <c r="Y200" i="2"/>
  <c r="Z200" i="2" s="1"/>
  <c r="Y201" i="2"/>
  <c r="Y202" i="2"/>
  <c r="Y203" i="2"/>
  <c r="Z203" i="2" s="1"/>
  <c r="Y204" i="2"/>
  <c r="Z204" i="2" s="1"/>
  <c r="Y205" i="2"/>
  <c r="Y206" i="2"/>
  <c r="Y207" i="2"/>
  <c r="Z207" i="2" s="1"/>
  <c r="Y208" i="2"/>
  <c r="Z208" i="2" s="1"/>
  <c r="Y209" i="2"/>
  <c r="Z209" i="2" s="1"/>
  <c r="Y210" i="2"/>
  <c r="Y211" i="2"/>
  <c r="Y212" i="2"/>
  <c r="Y213" i="2"/>
  <c r="Y214" i="2"/>
  <c r="Y215" i="2"/>
  <c r="Y216" i="2"/>
  <c r="Y217" i="2"/>
  <c r="Z217" i="2" s="1"/>
  <c r="Y218" i="2"/>
  <c r="Y219" i="2"/>
  <c r="Z219" i="2" s="1"/>
  <c r="Y220" i="2"/>
  <c r="Z220" i="2" s="1"/>
  <c r="Y221" i="2"/>
  <c r="Z221" i="2" s="1"/>
  <c r="Y222" i="2"/>
  <c r="Y223" i="2"/>
  <c r="Z223" i="2" s="1"/>
  <c r="Y224" i="2"/>
  <c r="Z224" i="2" s="1"/>
  <c r="Y225" i="2"/>
  <c r="Y226" i="2"/>
  <c r="Y227" i="2"/>
  <c r="Z227" i="2" s="1"/>
  <c r="Y228" i="2"/>
  <c r="Z228" i="2" s="1"/>
  <c r="Y229" i="2"/>
  <c r="Y230" i="2"/>
  <c r="Y231" i="2"/>
  <c r="Z231" i="2" s="1"/>
  <c r="Y232" i="2"/>
  <c r="Z232" i="2" s="1"/>
  <c r="Y233" i="2"/>
  <c r="Y234" i="2"/>
  <c r="Y235" i="2"/>
  <c r="Z235" i="2" s="1"/>
  <c r="Y236" i="2"/>
  <c r="Z236" i="2" s="1"/>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I116" i="2"/>
  <c r="O116" i="2" s="1"/>
  <c r="I117" i="2"/>
  <c r="O117" i="2" s="1"/>
  <c r="I118" i="2"/>
  <c r="I119" i="2"/>
  <c r="I120" i="2"/>
  <c r="O120" i="2" s="1"/>
  <c r="I121" i="2"/>
  <c r="O121" i="2" s="1"/>
  <c r="I122" i="2"/>
  <c r="I123" i="2"/>
  <c r="I124" i="2"/>
  <c r="O124" i="2" s="1"/>
  <c r="I125" i="2"/>
  <c r="O125" i="2" s="1"/>
  <c r="I126" i="2"/>
  <c r="I127" i="2"/>
  <c r="I128" i="2"/>
  <c r="O128" i="2" s="1"/>
  <c r="I129" i="2"/>
  <c r="O129" i="2" s="1"/>
  <c r="I130" i="2"/>
  <c r="I131" i="2"/>
  <c r="I132" i="2"/>
  <c r="O132" i="2" s="1"/>
  <c r="I133" i="2"/>
  <c r="O133" i="2" s="1"/>
  <c r="I134" i="2"/>
  <c r="I135" i="2"/>
  <c r="I136" i="2"/>
  <c r="O136" i="2" s="1"/>
  <c r="I137" i="2"/>
  <c r="O137" i="2" s="1"/>
  <c r="I138" i="2"/>
  <c r="I139" i="2"/>
  <c r="I140" i="2"/>
  <c r="O140" i="2" s="1"/>
  <c r="I141" i="2"/>
  <c r="O141" i="2" s="1"/>
  <c r="I142" i="2"/>
  <c r="I143" i="2"/>
  <c r="I144" i="2"/>
  <c r="O144" i="2" s="1"/>
  <c r="I145" i="2"/>
  <c r="O145" i="2" s="1"/>
  <c r="I146" i="2"/>
  <c r="I147" i="2"/>
  <c r="I148" i="2"/>
  <c r="O148" i="2" s="1"/>
  <c r="I149" i="2"/>
  <c r="O149" i="2" s="1"/>
  <c r="I150" i="2"/>
  <c r="I151" i="2"/>
  <c r="I152" i="2"/>
  <c r="O152" i="2" s="1"/>
  <c r="I153" i="2"/>
  <c r="O153" i="2" s="1"/>
  <c r="I154" i="2"/>
  <c r="I155" i="2"/>
  <c r="I156" i="2"/>
  <c r="O156" i="2" s="1"/>
  <c r="I157" i="2"/>
  <c r="O157" i="2" s="1"/>
  <c r="I158" i="2"/>
  <c r="I159" i="2"/>
  <c r="I160" i="2"/>
  <c r="O160" i="2" s="1"/>
  <c r="I161" i="2"/>
  <c r="O161" i="2" s="1"/>
  <c r="I162" i="2"/>
  <c r="I163" i="2"/>
  <c r="I164" i="2"/>
  <c r="O164" i="2" s="1"/>
  <c r="I165" i="2"/>
  <c r="O165" i="2" s="1"/>
  <c r="I166" i="2"/>
  <c r="I167" i="2"/>
  <c r="I168" i="2"/>
  <c r="O168" i="2" s="1"/>
  <c r="I169" i="2"/>
  <c r="O169" i="2" s="1"/>
  <c r="I170" i="2"/>
  <c r="I171" i="2"/>
  <c r="I172" i="2"/>
  <c r="O172" i="2" s="1"/>
  <c r="I173" i="2"/>
  <c r="O173" i="2" s="1"/>
  <c r="I174" i="2"/>
  <c r="I175" i="2"/>
  <c r="I176" i="2"/>
  <c r="O176" i="2" s="1"/>
  <c r="I177" i="2"/>
  <c r="O177" i="2" s="1"/>
  <c r="I178" i="2"/>
  <c r="I179" i="2"/>
  <c r="I180" i="2"/>
  <c r="O180" i="2" s="1"/>
  <c r="I181" i="2"/>
  <c r="O181" i="2" s="1"/>
  <c r="I182" i="2"/>
  <c r="I183" i="2"/>
  <c r="I184" i="2"/>
  <c r="O184" i="2" s="1"/>
  <c r="I185" i="2"/>
  <c r="O185" i="2" s="1"/>
  <c r="I186" i="2"/>
  <c r="I187" i="2"/>
  <c r="I188" i="2"/>
  <c r="O188" i="2" s="1"/>
  <c r="I189" i="2"/>
  <c r="O189" i="2" s="1"/>
  <c r="I190" i="2"/>
  <c r="I191" i="2"/>
  <c r="I192" i="2"/>
  <c r="O192" i="2" s="1"/>
  <c r="I193" i="2"/>
  <c r="O193" i="2" s="1"/>
  <c r="I194" i="2"/>
  <c r="I195" i="2"/>
  <c r="I196" i="2"/>
  <c r="O196" i="2" s="1"/>
  <c r="I197" i="2"/>
  <c r="O197" i="2" s="1"/>
  <c r="I198" i="2"/>
  <c r="I199" i="2"/>
  <c r="I200" i="2"/>
  <c r="O200" i="2" s="1"/>
  <c r="I201" i="2"/>
  <c r="O201" i="2" s="1"/>
  <c r="I202" i="2"/>
  <c r="I203" i="2"/>
  <c r="I204" i="2"/>
  <c r="O204" i="2" s="1"/>
  <c r="I205" i="2"/>
  <c r="O205" i="2" s="1"/>
  <c r="I206" i="2"/>
  <c r="I207" i="2"/>
  <c r="I208" i="2"/>
  <c r="O208" i="2" s="1"/>
  <c r="I209" i="2"/>
  <c r="O209" i="2" s="1"/>
  <c r="I210" i="2"/>
  <c r="I211" i="2"/>
  <c r="I212" i="2"/>
  <c r="O212" i="2" s="1"/>
  <c r="I213" i="2"/>
  <c r="O213" i="2" s="1"/>
  <c r="I214" i="2"/>
  <c r="I215" i="2"/>
  <c r="I216" i="2"/>
  <c r="O216" i="2" s="1"/>
  <c r="I217" i="2"/>
  <c r="O217" i="2" s="1"/>
  <c r="I218" i="2"/>
  <c r="I219" i="2"/>
  <c r="I220" i="2"/>
  <c r="O220" i="2" s="1"/>
  <c r="I221" i="2"/>
  <c r="O221" i="2" s="1"/>
  <c r="I222" i="2"/>
  <c r="I223" i="2"/>
  <c r="I224" i="2"/>
  <c r="O224" i="2" s="1"/>
  <c r="I225" i="2"/>
  <c r="O225" i="2" s="1"/>
  <c r="I226" i="2"/>
  <c r="I227" i="2"/>
  <c r="I228" i="2"/>
  <c r="O228" i="2" s="1"/>
  <c r="I229" i="2"/>
  <c r="I230" i="2"/>
  <c r="I231" i="2"/>
  <c r="I232" i="2"/>
  <c r="O232" i="2" s="1"/>
  <c r="I233" i="2"/>
  <c r="O233" i="2" s="1"/>
  <c r="I234" i="2"/>
  <c r="I235" i="2"/>
  <c r="I236" i="2"/>
  <c r="O236" i="2" s="1"/>
  <c r="I237" i="2"/>
  <c r="O237" i="2" s="1"/>
  <c r="I238" i="2"/>
  <c r="I239" i="2"/>
  <c r="I240" i="2"/>
  <c r="O240" i="2" s="1"/>
  <c r="I241" i="2"/>
  <c r="O241" i="2" s="1"/>
  <c r="I242" i="2"/>
  <c r="I243" i="2"/>
  <c r="I244" i="2"/>
  <c r="O244" i="2" s="1"/>
  <c r="I245" i="2"/>
  <c r="O245" i="2" s="1"/>
  <c r="I246" i="2"/>
  <c r="I247" i="2"/>
  <c r="O247" i="2" s="1"/>
  <c r="I248" i="2"/>
  <c r="O248" i="2" s="1"/>
  <c r="I249" i="2"/>
  <c r="O249" i="2" s="1"/>
  <c r="I250" i="2"/>
  <c r="I251" i="2"/>
  <c r="O251" i="2" s="1"/>
  <c r="I252" i="2"/>
  <c r="O252" i="2" s="1"/>
  <c r="I253" i="2"/>
  <c r="O253" i="2" s="1"/>
  <c r="I254" i="2"/>
  <c r="I255" i="2"/>
  <c r="O255" i="2" s="1"/>
  <c r="I256" i="2"/>
  <c r="O256" i="2" s="1"/>
  <c r="I257" i="2"/>
  <c r="O257" i="2" s="1"/>
  <c r="I258" i="2"/>
  <c r="I259" i="2"/>
  <c r="O259" i="2" s="1"/>
  <c r="I260" i="2"/>
  <c r="O260" i="2" s="1"/>
  <c r="I261" i="2"/>
  <c r="O261" i="2" s="1"/>
  <c r="I262" i="2"/>
  <c r="I263" i="2"/>
  <c r="O263" i="2" s="1"/>
  <c r="I264" i="2"/>
  <c r="O264" i="2" s="1"/>
  <c r="I265" i="2"/>
  <c r="O265" i="2" s="1"/>
  <c r="I266" i="2"/>
  <c r="I267" i="2"/>
  <c r="O267" i="2" s="1"/>
  <c r="I268" i="2"/>
  <c r="O268" i="2" s="1"/>
  <c r="I269" i="2"/>
  <c r="O269" i="2" s="1"/>
  <c r="I270" i="2"/>
  <c r="I271" i="2"/>
  <c r="O271" i="2" s="1"/>
  <c r="I272" i="2"/>
  <c r="O272" i="2" s="1"/>
  <c r="I273" i="2"/>
  <c r="O273" i="2" s="1"/>
  <c r="I274" i="2"/>
  <c r="I275" i="2"/>
  <c r="O275" i="2" s="1"/>
  <c r="I276" i="2"/>
  <c r="O276" i="2" s="1"/>
  <c r="I277" i="2"/>
  <c r="O277" i="2" s="1"/>
  <c r="I278" i="2"/>
  <c r="I279" i="2"/>
  <c r="O279" i="2" s="1"/>
  <c r="I280" i="2"/>
  <c r="O280" i="2" s="1"/>
  <c r="I281" i="2"/>
  <c r="O281" i="2" s="1"/>
  <c r="I282" i="2"/>
  <c r="I283" i="2"/>
  <c r="O283" i="2" s="1"/>
  <c r="I284" i="2"/>
  <c r="O284" i="2" s="1"/>
  <c r="I285" i="2"/>
  <c r="O285" i="2" s="1"/>
  <c r="I286" i="2"/>
  <c r="I287" i="2"/>
  <c r="O287" i="2" s="1"/>
  <c r="I288" i="2"/>
  <c r="O288" i="2" s="1"/>
  <c r="I289" i="2"/>
  <c r="O289" i="2" s="1"/>
  <c r="I290" i="2"/>
  <c r="I291" i="2"/>
  <c r="I292" i="2"/>
  <c r="O292" i="2" s="1"/>
  <c r="I293" i="2"/>
  <c r="O293" i="2" s="1"/>
  <c r="I294" i="2"/>
  <c r="I295" i="2"/>
  <c r="O295" i="2" s="1"/>
  <c r="I296" i="2"/>
  <c r="I297" i="2"/>
  <c r="O297" i="2" s="1"/>
  <c r="I298" i="2"/>
  <c r="O298" i="2" s="1"/>
  <c r="I299" i="2"/>
  <c r="I300" i="2"/>
  <c r="O300" i="2" s="1"/>
  <c r="I301" i="2"/>
  <c r="I302" i="2"/>
  <c r="O302" i="2" s="1"/>
  <c r="I303" i="2"/>
  <c r="O303" i="2" s="1"/>
  <c r="I304" i="2"/>
  <c r="O304" i="2" s="1"/>
  <c r="I305" i="2"/>
  <c r="O305" i="2" s="1"/>
  <c r="I306" i="2"/>
  <c r="O306" i="2" s="1"/>
  <c r="I307" i="2"/>
  <c r="I308" i="2"/>
  <c r="I309" i="2"/>
  <c r="O309" i="2" s="1"/>
  <c r="I310" i="2"/>
  <c r="O310" i="2" s="1"/>
  <c r="I311" i="2"/>
  <c r="O311" i="2" s="1"/>
  <c r="I312" i="2"/>
  <c r="I313" i="2"/>
  <c r="O313" i="2" s="1"/>
  <c r="I314" i="2"/>
  <c r="O314" i="2" s="1"/>
  <c r="I315" i="2"/>
  <c r="I316" i="2"/>
  <c r="O316" i="2" s="1"/>
  <c r="I317" i="2"/>
  <c r="I318" i="2"/>
  <c r="O318" i="2" s="1"/>
  <c r="I319" i="2"/>
  <c r="I320" i="2"/>
  <c r="O320" i="2" s="1"/>
  <c r="I321" i="2"/>
  <c r="I322" i="2"/>
  <c r="O322" i="2" s="1"/>
  <c r="I323" i="2"/>
  <c r="I324" i="2"/>
  <c r="O324" i="2" s="1"/>
  <c r="I325" i="2"/>
  <c r="I326" i="2"/>
  <c r="O326" i="2" s="1"/>
  <c r="I327" i="2"/>
  <c r="I328" i="2"/>
  <c r="O328" i="2" s="1"/>
  <c r="I329" i="2"/>
  <c r="I330" i="2"/>
  <c r="O330" i="2" s="1"/>
  <c r="I331" i="2"/>
  <c r="I332" i="2"/>
  <c r="O332" i="2" s="1"/>
  <c r="I333" i="2"/>
  <c r="I334" i="2"/>
  <c r="O334" i="2" s="1"/>
  <c r="I335" i="2"/>
  <c r="I336" i="2"/>
  <c r="O336" i="2" s="1"/>
  <c r="I337" i="2"/>
  <c r="I338" i="2"/>
  <c r="O338" i="2" s="1"/>
  <c r="I339" i="2"/>
  <c r="I340" i="2"/>
  <c r="O340" i="2" s="1"/>
  <c r="I341" i="2"/>
  <c r="I342" i="2"/>
  <c r="O342" i="2" s="1"/>
  <c r="I343" i="2"/>
  <c r="I344" i="2"/>
  <c r="O344" i="2" s="1"/>
  <c r="I345" i="2"/>
  <c r="I346" i="2"/>
  <c r="O346" i="2" s="1"/>
  <c r="I347" i="2"/>
  <c r="I348" i="2"/>
  <c r="O348" i="2" s="1"/>
  <c r="I349" i="2"/>
  <c r="I350" i="2"/>
  <c r="O350" i="2" s="1"/>
  <c r="I351" i="2"/>
  <c r="I352" i="2"/>
  <c r="O352" i="2" s="1"/>
  <c r="I353" i="2"/>
  <c r="I354" i="2"/>
  <c r="O354" i="2" s="1"/>
  <c r="I355" i="2"/>
  <c r="I356" i="2"/>
  <c r="O356" i="2" s="1"/>
  <c r="I357" i="2"/>
  <c r="I358" i="2"/>
  <c r="O358" i="2" s="1"/>
  <c r="I359" i="2"/>
  <c r="I360" i="2"/>
  <c r="O360" i="2" s="1"/>
  <c r="I361" i="2"/>
  <c r="I362" i="2"/>
  <c r="O362" i="2" s="1"/>
  <c r="I363" i="2"/>
  <c r="I364" i="2"/>
  <c r="O364" i="2" s="1"/>
  <c r="I365"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I399" i="2"/>
  <c r="I400" i="2"/>
  <c r="O400" i="2" s="1"/>
  <c r="I401" i="2"/>
  <c r="I402" i="2"/>
  <c r="O402" i="2" s="1"/>
  <c r="I403" i="2"/>
  <c r="I404" i="2"/>
  <c r="O404" i="2" s="1"/>
  <c r="I405" i="2"/>
  <c r="I406" i="2"/>
  <c r="O406" i="2" s="1"/>
  <c r="I407" i="2"/>
  <c r="I408" i="2"/>
  <c r="O408" i="2" s="1"/>
  <c r="I409" i="2"/>
  <c r="I410" i="2"/>
  <c r="O410" i="2" s="1"/>
  <c r="I411" i="2"/>
  <c r="I412" i="2"/>
  <c r="O412" i="2" s="1"/>
  <c r="I413" i="2"/>
  <c r="I414" i="2"/>
  <c r="O414" i="2" s="1"/>
  <c r="I415" i="2"/>
  <c r="I416" i="2"/>
  <c r="O416" i="2" s="1"/>
  <c r="I417" i="2"/>
  <c r="I418" i="2"/>
  <c r="O418" i="2" s="1"/>
  <c r="I419" i="2"/>
  <c r="I420" i="2"/>
  <c r="O420" i="2" s="1"/>
  <c r="I421" i="2"/>
  <c r="I422" i="2"/>
  <c r="O422" i="2" s="1"/>
  <c r="I423" i="2"/>
  <c r="I424" i="2"/>
  <c r="O424" i="2" s="1"/>
  <c r="I425" i="2"/>
  <c r="I426" i="2"/>
  <c r="O426" i="2" s="1"/>
  <c r="I427" i="2"/>
  <c r="O427" i="2" s="1"/>
  <c r="I428" i="2"/>
  <c r="O428" i="2" s="1"/>
  <c r="I429" i="2"/>
  <c r="O429" i="2" s="1"/>
  <c r="I430" i="2"/>
  <c r="O430" i="2" s="1"/>
  <c r="I431" i="2"/>
  <c r="O431" i="2" s="1"/>
  <c r="I432" i="2"/>
  <c r="O432" i="2" s="1"/>
  <c r="I433" i="2"/>
  <c r="O433" i="2" s="1"/>
  <c r="I434" i="2"/>
  <c r="O434" i="2" s="1"/>
  <c r="I435" i="2"/>
  <c r="O435" i="2" s="1"/>
  <c r="I436" i="2"/>
  <c r="O436" i="2" s="1"/>
  <c r="I437" i="2"/>
  <c r="O437" i="2" s="1"/>
  <c r="I438" i="2"/>
  <c r="O438" i="2" s="1"/>
  <c r="I439" i="2"/>
  <c r="O439" i="2" s="1"/>
  <c r="I440" i="2"/>
  <c r="O440" i="2" s="1"/>
  <c r="I441" i="2"/>
  <c r="O441" i="2" s="1"/>
  <c r="I442" i="2"/>
  <c r="O442" i="2" s="1"/>
  <c r="I443" i="2"/>
  <c r="O443" i="2" s="1"/>
  <c r="I444" i="2"/>
  <c r="O444" i="2" s="1"/>
  <c r="I445" i="2"/>
  <c r="O445" i="2" s="1"/>
  <c r="I446" i="2"/>
  <c r="O446" i="2" s="1"/>
  <c r="I447" i="2"/>
  <c r="O447" i="2" s="1"/>
  <c r="I448" i="2"/>
  <c r="O448" i="2" s="1"/>
  <c r="I449" i="2"/>
  <c r="O449" i="2" s="1"/>
  <c r="I450" i="2"/>
  <c r="O450" i="2" s="1"/>
  <c r="I451" i="2"/>
  <c r="O451" i="2" s="1"/>
  <c r="I452" i="2"/>
  <c r="O452" i="2" s="1"/>
  <c r="I453" i="2"/>
  <c r="O453" i="2" s="1"/>
  <c r="I454" i="2"/>
  <c r="O454" i="2" s="1"/>
  <c r="I455" i="2"/>
  <c r="O455" i="2" s="1"/>
  <c r="I456" i="2"/>
  <c r="I457" i="2"/>
  <c r="I458" i="2"/>
  <c r="O458" i="2" s="1"/>
  <c r="I459" i="2"/>
  <c r="O459" i="2" s="1"/>
  <c r="I460" i="2"/>
  <c r="I461" i="2"/>
  <c r="I462" i="2"/>
  <c r="O462" i="2" s="1"/>
  <c r="I463" i="2"/>
  <c r="O463" i="2" s="1"/>
  <c r="I464" i="2"/>
  <c r="I465" i="2"/>
  <c r="I466" i="2"/>
  <c r="O466" i="2" s="1"/>
  <c r="I467" i="2"/>
  <c r="O467" i="2" s="1"/>
  <c r="I468" i="2"/>
  <c r="I469" i="2"/>
  <c r="I470" i="2"/>
  <c r="O470" i="2" s="1"/>
  <c r="I471" i="2"/>
  <c r="O471" i="2" s="1"/>
  <c r="I472" i="2"/>
  <c r="I473" i="2"/>
  <c r="I474" i="2"/>
  <c r="O474" i="2" s="1"/>
  <c r="I475" i="2"/>
  <c r="O475" i="2" s="1"/>
  <c r="I476" i="2"/>
  <c r="I477" i="2"/>
  <c r="I478" i="2"/>
  <c r="O478" i="2" s="1"/>
  <c r="I479" i="2"/>
  <c r="O479" i="2" s="1"/>
  <c r="I480" i="2"/>
  <c r="I481" i="2"/>
  <c r="I482" i="2"/>
  <c r="O482" i="2" s="1"/>
  <c r="I483" i="2"/>
  <c r="O483" i="2" s="1"/>
  <c r="I484" i="2"/>
  <c r="I485" i="2"/>
  <c r="I486" i="2"/>
  <c r="O486" i="2" s="1"/>
  <c r="I487" i="2"/>
  <c r="O487" i="2" s="1"/>
  <c r="I488" i="2"/>
  <c r="I489" i="2"/>
  <c r="I490" i="2"/>
  <c r="O490" i="2" s="1"/>
  <c r="I491" i="2"/>
  <c r="O491" i="2" s="1"/>
  <c r="I492" i="2"/>
  <c r="I493" i="2"/>
  <c r="I494" i="2"/>
  <c r="O494" i="2" s="1"/>
  <c r="I495" i="2"/>
  <c r="O495" i="2" s="1"/>
  <c r="I496" i="2"/>
  <c r="I497" i="2"/>
  <c r="I498" i="2"/>
  <c r="O498" i="2" s="1"/>
  <c r="I499" i="2"/>
  <c r="O499" i="2" s="1"/>
  <c r="I500" i="2"/>
  <c r="I501" i="2"/>
  <c r="I502" i="2"/>
  <c r="O502" i="2" s="1"/>
  <c r="I503" i="2"/>
  <c r="O503" i="2" s="1"/>
  <c r="I504" i="2"/>
  <c r="I505" i="2"/>
  <c r="I506" i="2"/>
  <c r="O506" i="2" s="1"/>
  <c r="I507" i="2"/>
  <c r="O507" i="2" s="1"/>
  <c r="I508" i="2"/>
  <c r="I509" i="2"/>
  <c r="I510" i="2"/>
  <c r="O510" i="2" s="1"/>
  <c r="I511" i="2"/>
  <c r="O511" i="2" s="1"/>
  <c r="I512" i="2"/>
  <c r="I513" i="2"/>
  <c r="I514" i="2"/>
  <c r="O514" i="2" s="1"/>
  <c r="I515" i="2"/>
  <c r="O515" i="2" s="1"/>
  <c r="I516" i="2"/>
  <c r="I517" i="2"/>
  <c r="I518" i="2"/>
  <c r="O518" i="2" s="1"/>
  <c r="I519" i="2"/>
  <c r="O519" i="2" s="1"/>
  <c r="I520" i="2"/>
  <c r="I521" i="2"/>
  <c r="I522" i="2"/>
  <c r="O522" i="2" s="1"/>
  <c r="I523" i="2"/>
  <c r="O523" i="2" s="1"/>
  <c r="I524" i="2"/>
  <c r="I525" i="2"/>
  <c r="I526" i="2"/>
  <c r="O526" i="2" s="1"/>
  <c r="I527" i="2"/>
  <c r="O527" i="2" s="1"/>
  <c r="I528" i="2"/>
  <c r="I529" i="2"/>
  <c r="I530" i="2"/>
  <c r="O530" i="2" s="1"/>
  <c r="I531" i="2"/>
  <c r="O531" i="2" s="1"/>
  <c r="I532" i="2"/>
  <c r="I533" i="2"/>
  <c r="I534" i="2"/>
  <c r="O534" i="2" s="1"/>
  <c r="I535" i="2"/>
  <c r="O535" i="2" s="1"/>
  <c r="I536" i="2"/>
  <c r="I537" i="2"/>
  <c r="I538" i="2"/>
  <c r="O538" i="2" s="1"/>
  <c r="I539" i="2"/>
  <c r="O539" i="2" s="1"/>
  <c r="I540" i="2"/>
  <c r="I541" i="2"/>
  <c r="I542" i="2"/>
  <c r="O542" i="2" s="1"/>
  <c r="I543" i="2"/>
  <c r="O543" i="2" s="1"/>
  <c r="I544" i="2"/>
  <c r="I545" i="2"/>
  <c r="I546" i="2"/>
  <c r="O546" i="2" s="1"/>
  <c r="I547" i="2"/>
  <c r="O547" i="2" s="1"/>
  <c r="I548" i="2"/>
  <c r="I549" i="2"/>
  <c r="I550" i="2"/>
  <c r="O550" i="2" s="1"/>
  <c r="I551" i="2"/>
  <c r="O551" i="2" s="1"/>
  <c r="I552" i="2"/>
  <c r="I553" i="2"/>
  <c r="I554" i="2"/>
  <c r="O554" i="2" s="1"/>
  <c r="I555" i="2"/>
  <c r="O555" i="2" s="1"/>
  <c r="I556" i="2"/>
  <c r="I557" i="2"/>
  <c r="I558" i="2"/>
  <c r="O558" i="2" s="1"/>
  <c r="I559" i="2"/>
  <c r="O559" i="2" s="1"/>
  <c r="I560" i="2"/>
  <c r="I561" i="2"/>
  <c r="I562" i="2"/>
  <c r="O562" i="2" s="1"/>
  <c r="I563" i="2"/>
  <c r="O563" i="2" s="1"/>
  <c r="I564" i="2"/>
  <c r="I565" i="2"/>
  <c r="I566" i="2"/>
  <c r="O566" i="2" s="1"/>
  <c r="I567" i="2"/>
  <c r="O567" i="2" s="1"/>
  <c r="I568" i="2"/>
  <c r="I569" i="2"/>
  <c r="I570" i="2"/>
  <c r="O570" i="2" s="1"/>
  <c r="I571" i="2"/>
  <c r="O571" i="2" s="1"/>
  <c r="I572" i="2"/>
  <c r="I573" i="2"/>
  <c r="I574" i="2"/>
  <c r="O574" i="2" s="1"/>
  <c r="I575" i="2"/>
  <c r="O575" i="2" s="1"/>
  <c r="I576" i="2"/>
  <c r="I577" i="2"/>
  <c r="I578" i="2"/>
  <c r="O578" i="2" s="1"/>
  <c r="I579" i="2"/>
  <c r="O579" i="2" s="1"/>
  <c r="I580" i="2"/>
  <c r="I581" i="2"/>
  <c r="I582" i="2"/>
  <c r="O582" i="2" s="1"/>
  <c r="I583" i="2"/>
  <c r="O583" i="2" s="1"/>
  <c r="I584" i="2"/>
  <c r="I585" i="2"/>
  <c r="I586" i="2"/>
  <c r="O586" i="2" s="1"/>
  <c r="I587" i="2"/>
  <c r="O587" i="2" s="1"/>
  <c r="I588" i="2"/>
  <c r="I589" i="2"/>
  <c r="I590" i="2"/>
  <c r="O590" i="2" s="1"/>
  <c r="I591" i="2"/>
  <c r="O591" i="2" s="1"/>
  <c r="I592" i="2"/>
  <c r="I593" i="2"/>
  <c r="I594" i="2"/>
  <c r="O594" i="2" s="1"/>
  <c r="I595" i="2"/>
  <c r="O595" i="2" s="1"/>
  <c r="I596" i="2"/>
  <c r="I597" i="2"/>
  <c r="I598" i="2"/>
  <c r="O598" i="2" s="1"/>
  <c r="I599" i="2"/>
  <c r="O599" i="2" s="1"/>
  <c r="I600" i="2"/>
  <c r="I601" i="2"/>
  <c r="I602" i="2"/>
  <c r="O602" i="2" s="1"/>
  <c r="I603" i="2"/>
  <c r="O603" i="2" s="1"/>
  <c r="I604" i="2"/>
  <c r="I605" i="2"/>
  <c r="I606" i="2"/>
  <c r="O606" i="2" s="1"/>
  <c r="I607" i="2"/>
  <c r="O607" i="2" s="1"/>
  <c r="I608" i="2"/>
  <c r="I609" i="2"/>
  <c r="I610" i="2"/>
  <c r="O610" i="2" s="1"/>
  <c r="I611" i="2"/>
  <c r="O611" i="2" s="1"/>
  <c r="I612" i="2"/>
  <c r="I613" i="2"/>
  <c r="I614" i="2"/>
  <c r="O614" i="2" s="1"/>
  <c r="I615" i="2"/>
  <c r="O615" i="2" s="1"/>
  <c r="I616" i="2"/>
  <c r="I617" i="2"/>
  <c r="I618" i="2"/>
  <c r="O618" i="2" s="1"/>
  <c r="I619" i="2"/>
  <c r="O619" i="2" s="1"/>
  <c r="I620" i="2"/>
  <c r="I621" i="2"/>
  <c r="I622" i="2"/>
  <c r="O622" i="2" s="1"/>
  <c r="I623" i="2"/>
  <c r="O623" i="2" s="1"/>
  <c r="I624" i="2"/>
  <c r="I625" i="2"/>
  <c r="I626" i="2"/>
  <c r="O626" i="2" s="1"/>
  <c r="I627" i="2"/>
  <c r="O627" i="2" s="1"/>
  <c r="I628" i="2"/>
  <c r="I629" i="2"/>
  <c r="I630" i="2"/>
  <c r="O630" i="2" s="1"/>
  <c r="I631" i="2"/>
  <c r="O631" i="2" s="1"/>
  <c r="I632" i="2"/>
  <c r="I633" i="2"/>
  <c r="I634" i="2"/>
  <c r="O634" i="2" s="1"/>
  <c r="I635" i="2"/>
  <c r="O635" i="2" s="1"/>
  <c r="I636" i="2"/>
  <c r="I637" i="2"/>
  <c r="I638" i="2"/>
  <c r="O638" i="2" s="1"/>
  <c r="I639" i="2"/>
  <c r="O639" i="2" s="1"/>
  <c r="I640" i="2"/>
  <c r="I641" i="2"/>
  <c r="I642" i="2"/>
  <c r="O642" i="2" s="1"/>
  <c r="I643" i="2"/>
  <c r="O643" i="2" s="1"/>
  <c r="I644" i="2"/>
  <c r="I645" i="2"/>
  <c r="I646" i="2"/>
  <c r="O646" i="2" s="1"/>
  <c r="I647" i="2"/>
  <c r="O647" i="2" s="1"/>
  <c r="I648" i="2"/>
  <c r="I649" i="2"/>
  <c r="I650" i="2"/>
  <c r="O650" i="2" s="1"/>
  <c r="I651" i="2"/>
  <c r="O651" i="2" s="1"/>
  <c r="I652" i="2"/>
  <c r="I653" i="2"/>
  <c r="I654" i="2"/>
  <c r="O654" i="2" s="1"/>
  <c r="I655" i="2"/>
  <c r="O655" i="2" s="1"/>
  <c r="I656" i="2"/>
  <c r="I657" i="2"/>
  <c r="I658" i="2"/>
  <c r="O658" i="2" s="1"/>
  <c r="I659" i="2"/>
  <c r="O659" i="2" s="1"/>
  <c r="I660" i="2"/>
  <c r="I661" i="2"/>
  <c r="I662" i="2"/>
  <c r="O662" i="2" s="1"/>
  <c r="I663" i="2"/>
  <c r="O663" i="2" s="1"/>
  <c r="I664" i="2"/>
  <c r="I665" i="2"/>
  <c r="I666" i="2"/>
  <c r="O666" i="2" s="1"/>
  <c r="I667" i="2"/>
  <c r="O667" i="2" s="1"/>
  <c r="I668" i="2"/>
  <c r="I669" i="2"/>
  <c r="I670" i="2"/>
  <c r="O670" i="2" s="1"/>
  <c r="I671" i="2"/>
  <c r="O671" i="2" s="1"/>
  <c r="I672" i="2"/>
  <c r="I673" i="2"/>
  <c r="I674" i="2"/>
  <c r="O674" i="2" s="1"/>
  <c r="I675" i="2"/>
  <c r="O675" i="2" s="1"/>
  <c r="I676" i="2"/>
  <c r="I677" i="2"/>
  <c r="I678" i="2"/>
  <c r="O678" i="2" s="1"/>
  <c r="I679" i="2"/>
  <c r="O679" i="2" s="1"/>
  <c r="I680" i="2"/>
  <c r="I681" i="2"/>
  <c r="I682" i="2"/>
  <c r="O682" i="2" s="1"/>
  <c r="I683" i="2"/>
  <c r="O683" i="2" s="1"/>
  <c r="I684" i="2"/>
  <c r="I685" i="2"/>
  <c r="I686" i="2"/>
  <c r="I687" i="2"/>
  <c r="O687" i="2" s="1"/>
  <c r="I688" i="2"/>
  <c r="I689" i="2"/>
  <c r="I690" i="2"/>
  <c r="I691" i="2"/>
  <c r="O691" i="2" s="1"/>
  <c r="I692" i="2"/>
  <c r="I693" i="2"/>
  <c r="I694" i="2"/>
  <c r="I695" i="2"/>
  <c r="O695" i="2" s="1"/>
  <c r="I696" i="2"/>
  <c r="I697" i="2"/>
  <c r="I698" i="2"/>
  <c r="I699" i="2"/>
  <c r="O699" i="2" s="1"/>
  <c r="I700" i="2"/>
  <c r="I701" i="2"/>
  <c r="I702" i="2"/>
  <c r="I703" i="2"/>
  <c r="O703" i="2" s="1"/>
  <c r="I704" i="2"/>
  <c r="I705" i="2"/>
  <c r="I706" i="2"/>
  <c r="I707" i="2"/>
  <c r="O707" i="2" s="1"/>
  <c r="I708" i="2"/>
  <c r="I709" i="2"/>
  <c r="I710" i="2"/>
  <c r="I711" i="2"/>
  <c r="O711" i="2" s="1"/>
  <c r="I712" i="2"/>
  <c r="I713" i="2"/>
  <c r="I714" i="2"/>
  <c r="I715" i="2"/>
  <c r="O715" i="2" s="1"/>
  <c r="I716" i="2"/>
  <c r="I717" i="2"/>
  <c r="I718" i="2"/>
  <c r="I719" i="2"/>
  <c r="O719" i="2" s="1"/>
  <c r="I720" i="2"/>
  <c r="I721" i="2"/>
  <c r="I722" i="2"/>
  <c r="I723" i="2"/>
  <c r="O723" i="2" s="1"/>
  <c r="I724" i="2"/>
  <c r="I725" i="2"/>
  <c r="I726" i="2"/>
  <c r="I727" i="2"/>
  <c r="O727" i="2" s="1"/>
  <c r="I728" i="2"/>
  <c r="I729" i="2"/>
  <c r="I730" i="2"/>
  <c r="I731" i="2"/>
  <c r="O731" i="2" s="1"/>
  <c r="I732" i="2"/>
  <c r="I733" i="2"/>
  <c r="I734" i="2"/>
  <c r="I735" i="2"/>
  <c r="O735" i="2" s="1"/>
  <c r="I736" i="2"/>
  <c r="I737" i="2"/>
  <c r="I738" i="2"/>
  <c r="I739" i="2"/>
  <c r="O739" i="2" s="1"/>
  <c r="I740" i="2"/>
  <c r="I741" i="2"/>
  <c r="I742" i="2"/>
  <c r="I743" i="2"/>
  <c r="O743" i="2" s="1"/>
  <c r="I744" i="2"/>
  <c r="I745" i="2"/>
  <c r="I746" i="2"/>
  <c r="I747" i="2"/>
  <c r="O747" i="2" s="1"/>
  <c r="I748" i="2"/>
  <c r="I749" i="2"/>
  <c r="I750" i="2"/>
  <c r="I751" i="2"/>
  <c r="O751" i="2" s="1"/>
  <c r="I752" i="2"/>
  <c r="I753" i="2"/>
  <c r="O753" i="2" s="1"/>
  <c r="I754" i="2"/>
  <c r="I755" i="2"/>
  <c r="O755" i="2" s="1"/>
  <c r="I756" i="2"/>
  <c r="I757" i="2"/>
  <c r="O757" i="2" s="1"/>
  <c r="I758" i="2"/>
  <c r="I759" i="2"/>
  <c r="O759" i="2" s="1"/>
  <c r="I760" i="2"/>
  <c r="I761" i="2"/>
  <c r="O761" i="2" s="1"/>
  <c r="I762" i="2"/>
  <c r="O762" i="2" s="1"/>
  <c r="I763" i="2"/>
  <c r="O763" i="2" s="1"/>
  <c r="I764" i="2"/>
  <c r="I765" i="2"/>
  <c r="O765" i="2" s="1"/>
  <c r="I766" i="2"/>
  <c r="O766" i="2" s="1"/>
  <c r="I767" i="2"/>
  <c r="O767" i="2" s="1"/>
  <c r="I768" i="2"/>
  <c r="I769" i="2"/>
  <c r="O769" i="2" s="1"/>
  <c r="I770" i="2"/>
  <c r="O770" i="2" s="1"/>
  <c r="I771" i="2"/>
  <c r="O771" i="2" s="1"/>
  <c r="I772" i="2"/>
  <c r="I773" i="2"/>
  <c r="O773" i="2" s="1"/>
  <c r="I774" i="2"/>
  <c r="O774" i="2" s="1"/>
  <c r="I775" i="2"/>
  <c r="O775" i="2" s="1"/>
  <c r="I776" i="2"/>
  <c r="I777" i="2"/>
  <c r="O777" i="2" s="1"/>
  <c r="I778" i="2"/>
  <c r="O778" i="2" s="1"/>
  <c r="I779" i="2"/>
  <c r="O779" i="2" s="1"/>
  <c r="I780" i="2"/>
  <c r="I781" i="2"/>
  <c r="O781" i="2" s="1"/>
  <c r="I782" i="2"/>
  <c r="O782" i="2" s="1"/>
  <c r="I783" i="2"/>
  <c r="O783" i="2" s="1"/>
  <c r="I784" i="2"/>
  <c r="I785" i="2"/>
  <c r="O785" i="2" s="1"/>
  <c r="I786" i="2"/>
  <c r="O786" i="2" s="1"/>
  <c r="I787" i="2"/>
  <c r="O787" i="2" s="1"/>
  <c r="I788" i="2"/>
  <c r="I789" i="2"/>
  <c r="O789" i="2" s="1"/>
  <c r="I790" i="2"/>
  <c r="O790" i="2" s="1"/>
  <c r="I791" i="2"/>
  <c r="O791" i="2" s="1"/>
  <c r="I792" i="2"/>
  <c r="I793" i="2"/>
  <c r="O793" i="2" s="1"/>
  <c r="I794" i="2"/>
  <c r="O794" i="2" s="1"/>
  <c r="I795" i="2"/>
  <c r="O795" i="2" s="1"/>
  <c r="I796" i="2"/>
  <c r="I797" i="2"/>
  <c r="O797" i="2" s="1"/>
  <c r="I798" i="2"/>
  <c r="O798" i="2" s="1"/>
  <c r="I799" i="2"/>
  <c r="O799" i="2" s="1"/>
  <c r="I800" i="2"/>
  <c r="O800" i="2" s="1"/>
  <c r="I801" i="2"/>
  <c r="O801" i="2" s="1"/>
  <c r="I802" i="2"/>
  <c r="O802" i="2" s="1"/>
  <c r="I803" i="2"/>
  <c r="O803" i="2" s="1"/>
  <c r="I804" i="2"/>
  <c r="O804" i="2" s="1"/>
  <c r="I805" i="2"/>
  <c r="O805" i="2" s="1"/>
  <c r="I806" i="2"/>
  <c r="O806" i="2" s="1"/>
  <c r="I807" i="2"/>
  <c r="O807" i="2" s="1"/>
  <c r="I808" i="2"/>
  <c r="O808" i="2" s="1"/>
  <c r="I809" i="2"/>
  <c r="O809" i="2" s="1"/>
  <c r="I810" i="2"/>
  <c r="O810" i="2" s="1"/>
  <c r="I811" i="2"/>
  <c r="O811" i="2" s="1"/>
  <c r="I812" i="2"/>
  <c r="O812" i="2" s="1"/>
  <c r="I813" i="2"/>
  <c r="O813" i="2" s="1"/>
  <c r="I814" i="2"/>
  <c r="O814" i="2" s="1"/>
  <c r="I815" i="2"/>
  <c r="O815" i="2" s="1"/>
  <c r="I816" i="2"/>
  <c r="O816" i="2" s="1"/>
  <c r="I817" i="2"/>
  <c r="O817" i="2" s="1"/>
  <c r="I818" i="2"/>
  <c r="O818" i="2" s="1"/>
  <c r="I819" i="2"/>
  <c r="O819" i="2" s="1"/>
  <c r="I820" i="2"/>
  <c r="O820" i="2" s="1"/>
  <c r="I821" i="2"/>
  <c r="O821" i="2" s="1"/>
  <c r="I822" i="2"/>
  <c r="O822" i="2" s="1"/>
  <c r="I823" i="2"/>
  <c r="O823" i="2" s="1"/>
  <c r="I824" i="2"/>
  <c r="O824" i="2" s="1"/>
  <c r="I825" i="2"/>
  <c r="O825" i="2" s="1"/>
  <c r="I826" i="2"/>
  <c r="O826" i="2" s="1"/>
  <c r="I827" i="2"/>
  <c r="O827" i="2" s="1"/>
  <c r="I828" i="2"/>
  <c r="O828" i="2" s="1"/>
  <c r="I829" i="2"/>
  <c r="O829" i="2" s="1"/>
  <c r="I830" i="2"/>
  <c r="O830" i="2" s="1"/>
  <c r="I831" i="2"/>
  <c r="O831" i="2" s="1"/>
  <c r="I832" i="2"/>
  <c r="O832" i="2" s="1"/>
  <c r="I833" i="2"/>
  <c r="O833" i="2" s="1"/>
  <c r="I834" i="2"/>
  <c r="O834" i="2" s="1"/>
  <c r="I835" i="2"/>
  <c r="O835" i="2" s="1"/>
  <c r="I836" i="2"/>
  <c r="O836" i="2" s="1"/>
  <c r="I837" i="2"/>
  <c r="O837" i="2" s="1"/>
  <c r="I838" i="2"/>
  <c r="O838" i="2" s="1"/>
  <c r="I839" i="2"/>
  <c r="O839" i="2" s="1"/>
  <c r="I840" i="2"/>
  <c r="O840" i="2" s="1"/>
  <c r="I841" i="2"/>
  <c r="O841" i="2" s="1"/>
  <c r="I842" i="2"/>
  <c r="O842" i="2" s="1"/>
  <c r="I843" i="2"/>
  <c r="O843" i="2" s="1"/>
  <c r="I844" i="2"/>
  <c r="O844" i="2" s="1"/>
  <c r="I845" i="2"/>
  <c r="O845" i="2" s="1"/>
  <c r="I846" i="2"/>
  <c r="O846" i="2" s="1"/>
  <c r="I847" i="2"/>
  <c r="O847" i="2" s="1"/>
  <c r="I848" i="2"/>
  <c r="O848" i="2" s="1"/>
  <c r="I849" i="2"/>
  <c r="O849" i="2" s="1"/>
  <c r="I850" i="2"/>
  <c r="O850" i="2" s="1"/>
  <c r="I851" i="2"/>
  <c r="O851" i="2" s="1"/>
  <c r="I852" i="2"/>
  <c r="O852" i="2" s="1"/>
  <c r="I853" i="2"/>
  <c r="O853" i="2" s="1"/>
  <c r="I854" i="2"/>
  <c r="O854" i="2" s="1"/>
  <c r="I855" i="2"/>
  <c r="O855" i="2" s="1"/>
  <c r="I856" i="2"/>
  <c r="O856" i="2" s="1"/>
  <c r="I857" i="2"/>
  <c r="O857" i="2" s="1"/>
  <c r="I858" i="2"/>
  <c r="O858" i="2" s="1"/>
  <c r="I859" i="2"/>
  <c r="O859" i="2" s="1"/>
  <c r="I860" i="2"/>
  <c r="O860" i="2" s="1"/>
  <c r="I861" i="2"/>
  <c r="O861" i="2" s="1"/>
  <c r="I862" i="2"/>
  <c r="O862" i="2" s="1"/>
  <c r="I863" i="2"/>
  <c r="O863" i="2" s="1"/>
  <c r="I864" i="2"/>
  <c r="O864" i="2" s="1"/>
  <c r="I865" i="2"/>
  <c r="O865" i="2" s="1"/>
  <c r="I866" i="2"/>
  <c r="O866" i="2" s="1"/>
  <c r="I867" i="2"/>
  <c r="O867" i="2" s="1"/>
  <c r="I868" i="2"/>
  <c r="O868" i="2" s="1"/>
  <c r="I869" i="2"/>
  <c r="O869" i="2" s="1"/>
  <c r="I870" i="2"/>
  <c r="O870" i="2" s="1"/>
  <c r="I871" i="2"/>
  <c r="O871" i="2" s="1"/>
  <c r="I872" i="2"/>
  <c r="O872" i="2" s="1"/>
  <c r="I873" i="2"/>
  <c r="O873" i="2" s="1"/>
  <c r="I874" i="2"/>
  <c r="O874" i="2" s="1"/>
  <c r="I875" i="2"/>
  <c r="O875" i="2" s="1"/>
  <c r="I876" i="2"/>
  <c r="O876" i="2" s="1"/>
  <c r="I877" i="2"/>
  <c r="O877" i="2" s="1"/>
  <c r="I878" i="2"/>
  <c r="O878" i="2" s="1"/>
  <c r="I879" i="2"/>
  <c r="O879" i="2" s="1"/>
  <c r="I880" i="2"/>
  <c r="O880" i="2" s="1"/>
  <c r="I881" i="2"/>
  <c r="O881" i="2" s="1"/>
  <c r="I882" i="2"/>
  <c r="O882" i="2" s="1"/>
  <c r="I883" i="2"/>
  <c r="O883" i="2" s="1"/>
  <c r="I884" i="2"/>
  <c r="O884" i="2" s="1"/>
  <c r="I885" i="2"/>
  <c r="O885" i="2" s="1"/>
  <c r="I886" i="2"/>
  <c r="O886" i="2" s="1"/>
  <c r="I887" i="2"/>
  <c r="O887" i="2" s="1"/>
  <c r="I888" i="2"/>
  <c r="O888" i="2" s="1"/>
  <c r="I889" i="2"/>
  <c r="O889" i="2" s="1"/>
  <c r="I890" i="2"/>
  <c r="O890" i="2" s="1"/>
  <c r="I891" i="2"/>
  <c r="O891" i="2" s="1"/>
  <c r="I892" i="2"/>
  <c r="O892" i="2" s="1"/>
  <c r="I893" i="2"/>
  <c r="O893" i="2" s="1"/>
  <c r="I894" i="2"/>
  <c r="O894" i="2" s="1"/>
  <c r="I895" i="2"/>
  <c r="O895" i="2" s="1"/>
  <c r="I896" i="2"/>
  <c r="I897" i="2"/>
  <c r="O897" i="2" s="1"/>
  <c r="I898" i="2"/>
  <c r="O898" i="2" s="1"/>
  <c r="I899" i="2"/>
  <c r="O899" i="2" s="1"/>
  <c r="I900" i="2"/>
  <c r="I901" i="2"/>
  <c r="O901" i="2" s="1"/>
  <c r="I902" i="2"/>
  <c r="O902" i="2" s="1"/>
  <c r="I903" i="2"/>
  <c r="O903" i="2" s="1"/>
  <c r="I904" i="2"/>
  <c r="I905" i="2"/>
  <c r="O905" i="2" s="1"/>
  <c r="I906" i="2"/>
  <c r="O906" i="2" s="1"/>
  <c r="I907" i="2"/>
  <c r="O907" i="2" s="1"/>
  <c r="I908" i="2"/>
  <c r="I909" i="2"/>
  <c r="O909" i="2" s="1"/>
  <c r="I910" i="2"/>
  <c r="O910" i="2" s="1"/>
  <c r="I911" i="2"/>
  <c r="O911" i="2" s="1"/>
  <c r="I912" i="2"/>
  <c r="I913" i="2"/>
  <c r="O913" i="2" s="1"/>
  <c r="I914" i="2"/>
  <c r="O914" i="2" s="1"/>
  <c r="I915" i="2"/>
  <c r="O915" i="2" s="1"/>
  <c r="I916" i="2"/>
  <c r="I917" i="2"/>
  <c r="O917" i="2" s="1"/>
  <c r="I918" i="2"/>
  <c r="O918" i="2" s="1"/>
  <c r="I919" i="2"/>
  <c r="O919" i="2" s="1"/>
  <c r="I920" i="2"/>
  <c r="I921" i="2"/>
  <c r="O921" i="2" s="1"/>
  <c r="I922" i="2"/>
  <c r="O922" i="2" s="1"/>
  <c r="I923" i="2"/>
  <c r="O923" i="2" s="1"/>
  <c r="I924" i="2"/>
  <c r="I925" i="2"/>
  <c r="O925" i="2" s="1"/>
  <c r="I926" i="2"/>
  <c r="O926" i="2" s="1"/>
  <c r="I927" i="2"/>
  <c r="O927" i="2" s="1"/>
  <c r="I928" i="2"/>
  <c r="I2" i="2"/>
  <c r="I3" i="2"/>
  <c r="O3" i="2" s="1"/>
  <c r="I4" i="2"/>
  <c r="I5" i="2"/>
  <c r="I6" i="2"/>
  <c r="I7" i="2"/>
  <c r="I8" i="2"/>
  <c r="I9" i="2"/>
  <c r="I10" i="2"/>
  <c r="I11" i="2"/>
  <c r="O11" i="2" s="1"/>
  <c r="I12" i="2"/>
  <c r="O12" i="2" s="1"/>
  <c r="I13" i="2"/>
  <c r="O13" i="2" s="1"/>
  <c r="I14" i="2"/>
  <c r="I15" i="2"/>
  <c r="I16" i="2"/>
  <c r="O16" i="2" s="1"/>
  <c r="I17" i="2"/>
  <c r="O17" i="2" s="1"/>
  <c r="I18" i="2"/>
  <c r="I19" i="2"/>
  <c r="O19" i="2" s="1"/>
  <c r="I20" i="2"/>
  <c r="O20" i="2" s="1"/>
  <c r="I21" i="2"/>
  <c r="I22" i="2"/>
  <c r="I23" i="2"/>
  <c r="O23" i="2" s="1"/>
  <c r="I24" i="2"/>
  <c r="I25" i="2"/>
  <c r="O25" i="2" s="1"/>
  <c r="I26" i="2"/>
  <c r="I27" i="2"/>
  <c r="O27" i="2" s="1"/>
  <c r="I28" i="2"/>
  <c r="O28" i="2" s="1"/>
  <c r="I29" i="2"/>
  <c r="O29" i="2" s="1"/>
  <c r="I30" i="2"/>
  <c r="I31" i="2"/>
  <c r="O31" i="2" s="1"/>
  <c r="I32" i="2"/>
  <c r="O32" i="2" s="1"/>
  <c r="I33" i="2"/>
  <c r="I34" i="2"/>
  <c r="I35" i="2"/>
  <c r="O35" i="2" s="1"/>
  <c r="I36" i="2"/>
  <c r="O36" i="2" s="1"/>
  <c r="I37" i="2"/>
  <c r="O37" i="2" s="1"/>
  <c r="I38" i="2"/>
  <c r="I39" i="2"/>
  <c r="O39" i="2" s="1"/>
  <c r="I40" i="2"/>
  <c r="I41" i="2"/>
  <c r="I42" i="2"/>
  <c r="I43" i="2"/>
  <c r="I44" i="2"/>
  <c r="I45" i="2"/>
  <c r="O45" i="2" s="1"/>
  <c r="I46" i="2"/>
  <c r="I47" i="2"/>
  <c r="O47" i="2" s="1"/>
  <c r="I48" i="2"/>
  <c r="O48" i="2" s="1"/>
  <c r="I49" i="2"/>
  <c r="O49" i="2" s="1"/>
  <c r="I50" i="2"/>
  <c r="I51" i="2"/>
  <c r="I52" i="2"/>
  <c r="O52" i="2" s="1"/>
  <c r="I53" i="2"/>
  <c r="O53" i="2" s="1"/>
  <c r="I54" i="2"/>
  <c r="I55" i="2"/>
  <c r="I56" i="2"/>
  <c r="O56" i="2" s="1"/>
  <c r="I57" i="2"/>
  <c r="I58" i="2"/>
  <c r="I59" i="2"/>
  <c r="I60" i="2"/>
  <c r="O60" i="2" s="1"/>
  <c r="I61" i="2"/>
  <c r="O61" i="2" s="1"/>
  <c r="I62" i="2"/>
  <c r="I63" i="2"/>
  <c r="I64" i="2"/>
  <c r="I65" i="2"/>
  <c r="O65" i="2" s="1"/>
  <c r="I66" i="2"/>
  <c r="I67" i="2"/>
  <c r="I68" i="2"/>
  <c r="I69" i="2"/>
  <c r="O69" i="2" s="1"/>
  <c r="I70" i="2"/>
  <c r="I71" i="2"/>
  <c r="I72" i="2"/>
  <c r="I73" i="2"/>
  <c r="I74" i="2"/>
  <c r="I75" i="2"/>
  <c r="O75" i="2" s="1"/>
  <c r="I76" i="2"/>
  <c r="I77" i="2"/>
  <c r="O77" i="2" s="1"/>
  <c r="I78" i="2"/>
  <c r="I79" i="2"/>
  <c r="O79" i="2" s="1"/>
  <c r="I80" i="2"/>
  <c r="I81" i="2"/>
  <c r="O81" i="2" s="1"/>
  <c r="I82" i="2"/>
  <c r="I83" i="2"/>
  <c r="I84" i="2"/>
  <c r="I85" i="2"/>
  <c r="O85" i="2" s="1"/>
  <c r="I86" i="2"/>
  <c r="I87" i="2"/>
  <c r="O87" i="2" s="1"/>
  <c r="I88" i="2"/>
  <c r="O88" i="2" s="1"/>
  <c r="I89" i="2"/>
  <c r="I90" i="2"/>
  <c r="I91" i="2"/>
  <c r="O91" i="2" s="1"/>
  <c r="I92" i="2"/>
  <c r="I93" i="2"/>
  <c r="I94" i="2"/>
  <c r="I95" i="2"/>
  <c r="O95" i="2" s="1"/>
  <c r="I96" i="2"/>
  <c r="O96" i="2" s="1"/>
  <c r="I97" i="2"/>
  <c r="I98" i="2"/>
  <c r="I99" i="2"/>
  <c r="O99" i="2" s="1"/>
  <c r="I100" i="2"/>
  <c r="I101" i="2"/>
  <c r="O101" i="2" s="1"/>
  <c r="I102" i="2"/>
  <c r="I103" i="2"/>
  <c r="O103" i="2" s="1"/>
  <c r="I104" i="2"/>
  <c r="O104" i="2" s="1"/>
  <c r="I105" i="2"/>
  <c r="O105" i="2" s="1"/>
  <c r="I106" i="2"/>
  <c r="I107" i="2"/>
  <c r="O107" i="2" s="1"/>
  <c r="I108" i="2"/>
  <c r="O108" i="2" s="1"/>
  <c r="I109" i="2"/>
  <c r="I110" i="2"/>
  <c r="I111" i="2"/>
  <c r="O111" i="2" s="1"/>
  <c r="I112" i="2"/>
  <c r="O112" i="2" s="1"/>
  <c r="I113" i="2"/>
  <c r="O113" i="2" s="1"/>
  <c r="I114" i="2"/>
  <c r="I115" i="2"/>
  <c r="O115" i="2" s="1"/>
  <c r="Z927" i="2" l="1"/>
  <c r="Z923" i="2"/>
  <c r="Z919" i="2"/>
  <c r="Z915" i="2"/>
  <c r="Z907" i="2"/>
  <c r="Z903" i="2"/>
  <c r="Z715" i="2"/>
  <c r="Z711" i="2"/>
  <c r="Z707" i="2"/>
  <c r="Z703" i="2"/>
  <c r="Z699" i="2"/>
  <c r="Z691" i="2"/>
  <c r="Z687" i="2"/>
  <c r="Z683" i="2"/>
  <c r="Z611" i="2"/>
  <c r="Z607" i="2"/>
  <c r="Z603" i="2"/>
  <c r="Z599" i="2"/>
  <c r="Z539" i="2"/>
  <c r="Z535" i="2"/>
  <c r="Z531" i="2"/>
  <c r="Z527" i="2"/>
  <c r="Z507" i="2"/>
  <c r="Z503" i="2"/>
  <c r="Z459" i="2"/>
  <c r="Z882" i="2"/>
  <c r="Z738" i="2"/>
  <c r="Z722" i="2"/>
  <c r="Z682" i="2"/>
  <c r="Z450" i="2"/>
  <c r="Z426" i="2"/>
  <c r="Z386"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O476" i="2"/>
  <c r="O472" i="2"/>
  <c r="O468" i="2"/>
  <c r="O464" i="2"/>
  <c r="O460" i="2"/>
  <c r="Z718" i="2"/>
  <c r="Z714" i="2"/>
  <c r="Z710" i="2"/>
  <c r="Z706" i="2"/>
  <c r="Z702" i="2"/>
  <c r="Z698" i="2"/>
  <c r="Z678" i="2"/>
  <c r="Z674" i="2"/>
  <c r="Z670" i="2"/>
  <c r="Z666" i="2"/>
  <c r="Z662" i="2"/>
  <c r="Z658" i="2"/>
  <c r="Z654" i="2"/>
  <c r="Z490" i="2"/>
  <c r="Z486" i="2"/>
  <c r="Z482" i="2"/>
  <c r="Z478" i="2"/>
  <c r="Z474" i="2"/>
  <c r="Z470" i="2"/>
  <c r="O796" i="2"/>
  <c r="O788" i="2"/>
  <c r="O780" i="2"/>
  <c r="O772" i="2"/>
  <c r="O764" i="2"/>
  <c r="O760" i="2"/>
  <c r="O752" i="2"/>
  <c r="O744" i="2"/>
  <c r="O736" i="2"/>
  <c r="O728" i="2"/>
  <c r="O724" i="2"/>
  <c r="O716" i="2"/>
  <c r="O708" i="2"/>
  <c r="O700" i="2"/>
  <c r="O692" i="2"/>
  <c r="O684" i="2"/>
  <c r="O676" i="2"/>
  <c r="O668" i="2"/>
  <c r="O644" i="2"/>
  <c r="Z446" i="2"/>
  <c r="Z442" i="2"/>
  <c r="Z438" i="2"/>
  <c r="Z434" i="2"/>
  <c r="Z430"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466" i="2"/>
  <c r="Z462" i="2"/>
  <c r="Z422" i="2"/>
  <c r="Z418" i="2"/>
  <c r="Z414" i="2"/>
  <c r="Z410" i="2"/>
  <c r="Z406" i="2"/>
  <c r="Z358" i="2"/>
  <c r="Z354" i="2"/>
  <c r="Z350" i="2"/>
  <c r="Z346" i="2"/>
  <c r="Z342" i="2"/>
  <c r="Z694" i="2"/>
  <c r="Z690" i="2"/>
  <c r="Z686" i="2"/>
  <c r="Z610" i="2"/>
  <c r="Z606" i="2"/>
  <c r="Z602" i="2"/>
  <c r="Z598" i="2"/>
  <c r="Z538" i="2"/>
  <c r="Z534" i="2"/>
  <c r="Z530" i="2"/>
  <c r="Z526" i="2"/>
  <c r="Z522" i="2"/>
  <c r="Z518" i="2"/>
  <c r="Z514" i="2"/>
  <c r="Z510" i="2"/>
  <c r="Z506" i="2"/>
  <c r="Z502" i="2"/>
  <c r="Z458" i="2"/>
  <c r="Z454" i="2"/>
  <c r="Z402" i="2"/>
  <c r="Z398" i="2"/>
  <c r="Z338" i="2"/>
  <c r="Z334" i="2"/>
  <c r="Z590" i="2"/>
  <c r="Z586" i="2"/>
  <c r="Z582" i="2"/>
  <c r="Z498" i="2"/>
  <c r="Z494" i="2"/>
  <c r="Z394" i="2"/>
  <c r="Z390"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475" i="2"/>
  <c r="Z471" i="2"/>
  <c r="Z467" i="2"/>
  <c r="Z455" i="2"/>
  <c r="Z447" i="2"/>
  <c r="Z443" i="2"/>
  <c r="Z439" i="2"/>
  <c r="Z435" i="2"/>
  <c r="Z431" i="2"/>
  <c r="Z427" i="2"/>
  <c r="Z411" i="2"/>
  <c r="Z407" i="2"/>
  <c r="Z403" i="2"/>
  <c r="Z399" i="2"/>
  <c r="Z395" i="2"/>
  <c r="Z391" i="2"/>
  <c r="Z383" i="2"/>
  <c r="Z379" i="2"/>
  <c r="Z375" i="2"/>
  <c r="Z371"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451" i="2"/>
  <c r="Z419" i="2"/>
  <c r="Z415" i="2"/>
  <c r="Z387"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477" i="2"/>
  <c r="O473" i="2"/>
  <c r="O469" i="2"/>
  <c r="O465" i="2"/>
  <c r="O461" i="2"/>
  <c r="O457" i="2"/>
  <c r="O301" i="2"/>
  <c r="O308" i="2"/>
  <c r="Z911" i="2"/>
  <c r="Z863" i="2"/>
  <c r="Z851" i="2"/>
  <c r="Z767" i="2"/>
  <c r="Z667" i="2"/>
  <c r="Z619" i="2"/>
  <c r="Z575" i="2"/>
  <c r="Z423"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423" i="2"/>
  <c r="O419" i="2"/>
  <c r="O415" i="2"/>
  <c r="O411" i="2"/>
  <c r="O407" i="2"/>
  <c r="O403" i="2"/>
  <c r="O399" i="2"/>
  <c r="O395" i="2"/>
  <c r="O391" i="2"/>
  <c r="O387" i="2"/>
  <c r="O383" i="2"/>
  <c r="O379" i="2"/>
  <c r="O375" i="2"/>
  <c r="O371" i="2"/>
  <c r="O367" i="2"/>
  <c r="O363" i="2"/>
  <c r="O359" i="2"/>
  <c r="O355" i="2"/>
  <c r="O351" i="2"/>
  <c r="O347" i="2"/>
  <c r="O343" i="2"/>
  <c r="O339" i="2"/>
  <c r="O335" i="2"/>
  <c r="O331" i="2"/>
  <c r="O327" i="2"/>
  <c r="O323" i="2"/>
  <c r="O319" i="2"/>
  <c r="O315" i="2"/>
  <c r="O307" i="2"/>
  <c r="O299" i="2"/>
  <c r="O291" i="2"/>
  <c r="O425" i="2"/>
  <c r="O421" i="2"/>
  <c r="O417" i="2"/>
  <c r="O413" i="2"/>
  <c r="O409" i="2"/>
  <c r="O405" i="2"/>
  <c r="O401" i="2"/>
  <c r="O397" i="2"/>
  <c r="O393" i="2"/>
  <c r="O389" i="2"/>
  <c r="O385" i="2"/>
  <c r="O381" i="2"/>
  <c r="O377" i="2"/>
  <c r="O373" i="2"/>
  <c r="O369" i="2"/>
  <c r="O365" i="2"/>
  <c r="O361" i="2"/>
  <c r="O357" i="2"/>
  <c r="O353" i="2"/>
  <c r="O349" i="2"/>
  <c r="O345" i="2"/>
  <c r="O341" i="2"/>
  <c r="O337" i="2"/>
  <c r="O333" i="2"/>
  <c r="O329" i="2"/>
  <c r="O325" i="2"/>
  <c r="O321" i="2"/>
  <c r="O317" i="2"/>
  <c r="O312" i="2"/>
  <c r="O296" i="2"/>
  <c r="O456" i="2"/>
  <c r="O24" i="2"/>
  <c r="Z871" i="2"/>
  <c r="Z899" i="2"/>
  <c r="Z867" i="2"/>
  <c r="Z835" i="2"/>
  <c r="Z803" i="2"/>
  <c r="Z759" i="2"/>
  <c r="Z719" i="2"/>
  <c r="Z695" i="2"/>
  <c r="Z623" i="2"/>
  <c r="Z591" i="2"/>
  <c r="Z495" i="2"/>
  <c r="Z463"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67"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477" i="2"/>
  <c r="Z473" i="2"/>
  <c r="Z469" i="2"/>
  <c r="Z465" i="2"/>
  <c r="Z461" i="2"/>
  <c r="Z457" i="2"/>
  <c r="Z453" i="2"/>
  <c r="Z449" i="2"/>
  <c r="Z445" i="2"/>
  <c r="Z441" i="2"/>
  <c r="Z437" i="2"/>
  <c r="Z433" i="2"/>
  <c r="Z429" i="2"/>
  <c r="Z425" i="2"/>
  <c r="Z421" i="2"/>
  <c r="Z417" i="2"/>
  <c r="Z413" i="2"/>
  <c r="Z409" i="2"/>
  <c r="Z405" i="2"/>
  <c r="Z401" i="2"/>
  <c r="Z397" i="2"/>
  <c r="Z393" i="2"/>
  <c r="Z389" i="2"/>
  <c r="Z385" i="2"/>
  <c r="Z381" i="2"/>
  <c r="Z377" i="2"/>
  <c r="Z373" i="2"/>
  <c r="Z369"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B300" i="2" l="1"/>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G10" i="13"/>
  <c r="D10" i="13"/>
  <c r="O10" i="13"/>
  <c r="L10" i="13"/>
  <c r="M10" i="13"/>
  <c r="L6" i="13"/>
  <c r="L5" i="13"/>
  <c r="O12" i="13"/>
  <c r="M5" i="13"/>
  <c r="M12" i="13"/>
  <c r="M6" i="13"/>
  <c r="L12" i="13"/>
  <c r="G6" i="13"/>
  <c r="G5" i="13"/>
  <c r="D4" i="13"/>
  <c r="D12" i="13"/>
  <c r="D11" i="13"/>
  <c r="D6" i="13"/>
  <c r="D5" i="13"/>
  <c r="G12" i="13"/>
  <c r="O6" i="13"/>
  <c r="O5" i="13"/>
  <c r="G11" i="13"/>
  <c r="G4" i="13"/>
  <c r="M11" i="13"/>
  <c r="L11" i="13"/>
  <c r="M4" i="13"/>
  <c r="L4" i="13"/>
  <c r="O11" i="13"/>
  <c r="O4" i="13"/>
  <c r="H10" i="13"/>
  <c r="H12" i="13"/>
  <c r="F10" i="13"/>
  <c r="F12" i="13"/>
  <c r="N11" i="13"/>
  <c r="F11" i="13"/>
  <c r="P6" i="13"/>
  <c r="I6" i="13"/>
  <c r="N4" i="13"/>
  <c r="F4" i="13"/>
  <c r="P5" i="13"/>
  <c r="I5" i="13"/>
  <c r="J12" i="13"/>
  <c r="H11" i="13"/>
  <c r="J11" i="13"/>
  <c r="N6" i="13"/>
  <c r="F6" i="13"/>
  <c r="H4" i="13"/>
  <c r="J4" i="13"/>
  <c r="N5" i="13"/>
  <c r="F5" i="13"/>
  <c r="J10" i="13"/>
  <c r="N12" i="13"/>
  <c r="P10" i="13"/>
  <c r="I10" i="13"/>
  <c r="P12" i="13"/>
  <c r="I12" i="13"/>
  <c r="P11" i="13"/>
  <c r="I11" i="13"/>
  <c r="E6" i="13"/>
  <c r="P4" i="13"/>
  <c r="I4" i="13"/>
  <c r="E5" i="13"/>
  <c r="N10" i="13"/>
  <c r="E10" i="13"/>
  <c r="E12" i="13"/>
  <c r="E11" i="13"/>
  <c r="H6" i="13"/>
  <c r="J6" i="13"/>
  <c r="E4" i="13"/>
  <c r="H5" i="13"/>
  <c r="J5" i="13"/>
  <c r="AF4" i="8"/>
  <c r="AG4" i="8"/>
  <c r="AE4" i="8"/>
  <c r="AH4" i="8"/>
  <c r="AI4" i="8"/>
  <c r="AA8" i="8"/>
  <c r="C4" i="13" l="1"/>
  <c r="C11" i="13"/>
  <c r="C6" i="13"/>
  <c r="C12" i="13"/>
  <c r="C5" i="13"/>
  <c r="C10" i="13"/>
  <c r="B5" i="13"/>
  <c r="B12" i="13"/>
  <c r="B6" i="13"/>
  <c r="B11" i="13"/>
  <c r="B10" i="13"/>
  <c r="B4" i="13"/>
  <c r="AB4" i="8"/>
  <c r="Z8" i="8"/>
  <c r="Y8" i="8"/>
  <c r="X8" i="8"/>
  <c r="W8" i="8"/>
  <c r="V8" i="8"/>
  <c r="U8" i="8"/>
  <c r="T8" i="8"/>
  <c r="S8" i="8"/>
  <c r="B7" i="13" l="1"/>
  <c r="B13" i="13"/>
  <c r="P8" i="8"/>
  <c r="Q8" i="8"/>
  <c r="R8" i="8"/>
  <c r="O8" i="8"/>
  <c r="L8" i="8"/>
  <c r="M8" i="8"/>
  <c r="N8" i="8"/>
  <c r="K8" i="8"/>
  <c r="H8" i="8"/>
  <c r="I8" i="8"/>
  <c r="J8" i="8"/>
  <c r="G8" i="8"/>
  <c r="C8" i="8"/>
  <c r="D8" i="8"/>
  <c r="E8" i="8"/>
  <c r="F8" i="8"/>
  <c r="B8" i="8"/>
  <c r="B4" i="8" l="1"/>
  <c r="A4" i="8"/>
  <c r="O4" i="8" l="1"/>
  <c r="C4" i="8"/>
  <c r="D4" i="8" l="1"/>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AD8" i="8" l="1"/>
  <c r="AC8" i="8"/>
  <c r="P4" i="8"/>
  <c r="D9" i="8"/>
  <c r="AB9" i="8"/>
  <c r="AD9" i="8" l="1"/>
  <c r="AC9" i="8"/>
  <c r="U4" i="8"/>
  <c r="Q4" i="8"/>
  <c r="F4" i="8"/>
  <c r="K4" i="8"/>
  <c r="R4" i="8"/>
  <c r="W4" i="8"/>
  <c r="J4" i="8"/>
  <c r="V4" i="8"/>
  <c r="G4" i="8"/>
  <c r="L4" i="8"/>
  <c r="S4" i="8"/>
  <c r="T4" i="8"/>
  <c r="X4" i="8"/>
  <c r="H4" i="8"/>
  <c r="I4" i="8"/>
  <c r="M4" i="8"/>
  <c r="N4" i="8"/>
  <c r="Y4" i="8"/>
  <c r="Z4" i="8"/>
  <c r="AA4" i="8"/>
  <c r="F9" i="8"/>
  <c r="G9" i="8"/>
  <c r="J9" i="8"/>
  <c r="U9" i="8"/>
  <c r="K9" i="8"/>
  <c r="L9" i="8"/>
  <c r="T9" i="8"/>
  <c r="C9" i="8"/>
  <c r="V9" i="8"/>
  <c r="M9" i="8"/>
  <c r="E9" i="8"/>
  <c r="Q9" i="8"/>
  <c r="R9" i="8"/>
  <c r="I9" i="8"/>
  <c r="P9" i="8"/>
  <c r="S9" i="8"/>
  <c r="N9" i="8"/>
  <c r="Y9" i="8"/>
  <c r="Z9" i="8"/>
  <c r="X9" i="8"/>
  <c r="H9" i="8"/>
  <c r="AA9" i="8"/>
  <c r="W9" i="8"/>
  <c r="O9" i="8"/>
  <c r="B9" i="8"/>
  <c r="AB10" i="8"/>
  <c r="H10" i="8"/>
  <c r="E9" i="6" l="1"/>
  <c r="D9" i="6"/>
  <c r="AH10" i="6"/>
  <c r="D10" i="6"/>
  <c r="E10" i="6"/>
  <c r="F19" i="6"/>
  <c r="D19" i="6"/>
  <c r="E19" i="6"/>
  <c r="E18" i="6"/>
  <c r="D18" i="6"/>
  <c r="F18" i="6"/>
  <c r="E11" i="6"/>
  <c r="D11" i="6"/>
  <c r="F17" i="6"/>
  <c r="D17" i="6"/>
  <c r="E17" i="6"/>
  <c r="AD10" i="8"/>
  <c r="AC10" i="8"/>
  <c r="AJ11" i="6"/>
  <c r="AH11" i="6"/>
  <c r="AJ17" i="6"/>
  <c r="AH17" i="6"/>
  <c r="AJ9" i="6"/>
  <c r="AH9" i="6"/>
  <c r="AJ18" i="6"/>
  <c r="AH18" i="6"/>
  <c r="AG18" i="6"/>
  <c r="AG19" i="6"/>
  <c r="AJ19" i="6"/>
  <c r="AH19" i="6"/>
  <c r="AJ10" i="6"/>
  <c r="AI10" i="6"/>
  <c r="F9" i="6"/>
  <c r="F10" i="6"/>
  <c r="F11" i="6"/>
  <c r="J10" i="6"/>
  <c r="N10" i="6"/>
  <c r="R10" i="6"/>
  <c r="V10" i="6"/>
  <c r="Z10" i="6"/>
  <c r="AD10" i="6"/>
  <c r="AG10" i="6"/>
  <c r="G10" i="6"/>
  <c r="K10" i="6"/>
  <c r="O10" i="6"/>
  <c r="S10" i="6"/>
  <c r="W10" i="6"/>
  <c r="AA10" i="6"/>
  <c r="AE10" i="6"/>
  <c r="AK10" i="6"/>
  <c r="I10" i="6"/>
  <c r="Q10" i="6"/>
  <c r="Y10" i="6"/>
  <c r="H10" i="6"/>
  <c r="L10" i="6"/>
  <c r="P10" i="6"/>
  <c r="T10" i="6"/>
  <c r="X10" i="6"/>
  <c r="AB10" i="6"/>
  <c r="AF10" i="6"/>
  <c r="M10" i="6"/>
  <c r="U10" i="6"/>
  <c r="AC10" i="6"/>
  <c r="S9" i="6"/>
  <c r="W9" i="6"/>
  <c r="AA9" i="6"/>
  <c r="AE9" i="6"/>
  <c r="AK9" i="6"/>
  <c r="K9" i="6"/>
  <c r="O9" i="6"/>
  <c r="Q9" i="6"/>
  <c r="R9" i="6"/>
  <c r="Z9" i="6"/>
  <c r="J9" i="6"/>
  <c r="T9" i="6"/>
  <c r="X9" i="6"/>
  <c r="AB9" i="6"/>
  <c r="AF9" i="6"/>
  <c r="H9" i="6"/>
  <c r="L9" i="6"/>
  <c r="P9" i="6"/>
  <c r="I9" i="6"/>
  <c r="AD9" i="6"/>
  <c r="G9" i="6"/>
  <c r="U9" i="6"/>
  <c r="Y9" i="6"/>
  <c r="AC9" i="6"/>
  <c r="AG9" i="6"/>
  <c r="M9" i="6"/>
  <c r="V9" i="6"/>
  <c r="AI9" i="6"/>
  <c r="N9" i="6"/>
  <c r="I11" i="6"/>
  <c r="M11" i="6"/>
  <c r="Q11" i="6"/>
  <c r="U11" i="6"/>
  <c r="Y11" i="6"/>
  <c r="AC11" i="6"/>
  <c r="AG11" i="6"/>
  <c r="T11" i="6"/>
  <c r="J11" i="6"/>
  <c r="N11" i="6"/>
  <c r="R11" i="6"/>
  <c r="V11" i="6"/>
  <c r="Z11" i="6"/>
  <c r="AD11" i="6"/>
  <c r="AI11" i="6"/>
  <c r="H11" i="6"/>
  <c r="P11" i="6"/>
  <c r="AB11" i="6"/>
  <c r="G11" i="6"/>
  <c r="K11" i="6"/>
  <c r="O11" i="6"/>
  <c r="S11" i="6"/>
  <c r="W11" i="6"/>
  <c r="AA11" i="6"/>
  <c r="AE11" i="6"/>
  <c r="AK11" i="6"/>
  <c r="L11" i="6"/>
  <c r="X11" i="6"/>
  <c r="AF11" i="6"/>
  <c r="AD18" i="6"/>
  <c r="AI18" i="6"/>
  <c r="J18" i="6"/>
  <c r="N18" i="6"/>
  <c r="R18" i="6"/>
  <c r="V18" i="6"/>
  <c r="Z18" i="6"/>
  <c r="AE18" i="6"/>
  <c r="AK18" i="6"/>
  <c r="G18" i="6"/>
  <c r="K18" i="6"/>
  <c r="O18" i="6"/>
  <c r="S18" i="6"/>
  <c r="W18" i="6"/>
  <c r="AA18" i="6"/>
  <c r="AF18" i="6"/>
  <c r="H18" i="6"/>
  <c r="L18" i="6"/>
  <c r="P18" i="6"/>
  <c r="T18" i="6"/>
  <c r="X18" i="6"/>
  <c r="AB18" i="6"/>
  <c r="AC18" i="6"/>
  <c r="I18" i="6"/>
  <c r="M18" i="6"/>
  <c r="Q18" i="6"/>
  <c r="U18" i="6"/>
  <c r="Y18" i="6"/>
  <c r="AE19" i="6"/>
  <c r="AK19" i="6"/>
  <c r="H19" i="6"/>
  <c r="L19" i="6"/>
  <c r="P19" i="6"/>
  <c r="T19" i="6"/>
  <c r="X19" i="6"/>
  <c r="AB19" i="6"/>
  <c r="AF19" i="6"/>
  <c r="I19" i="6"/>
  <c r="M19" i="6"/>
  <c r="Q19" i="6"/>
  <c r="U19" i="6"/>
  <c r="Y19" i="6"/>
  <c r="AC19" i="6"/>
  <c r="J19" i="6"/>
  <c r="N19" i="6"/>
  <c r="R19" i="6"/>
  <c r="V19" i="6"/>
  <c r="Z19" i="6"/>
  <c r="AD19" i="6"/>
  <c r="AI19" i="6"/>
  <c r="G19" i="6"/>
  <c r="K19" i="6"/>
  <c r="O19" i="6"/>
  <c r="S19" i="6"/>
  <c r="W19" i="6"/>
  <c r="AA19" i="6"/>
  <c r="AC17" i="6"/>
  <c r="AG17" i="6"/>
  <c r="L17" i="6"/>
  <c r="P17" i="6"/>
  <c r="T17" i="6"/>
  <c r="X17" i="6"/>
  <c r="AB17" i="6"/>
  <c r="AD17" i="6"/>
  <c r="AI17" i="6"/>
  <c r="I17" i="6"/>
  <c r="M17" i="6"/>
  <c r="Q17" i="6"/>
  <c r="U17" i="6"/>
  <c r="Y17" i="6"/>
  <c r="H17" i="6"/>
  <c r="AE17" i="6"/>
  <c r="AK17" i="6"/>
  <c r="J17" i="6"/>
  <c r="N17" i="6"/>
  <c r="R17" i="6"/>
  <c r="V17" i="6"/>
  <c r="Z17" i="6"/>
  <c r="G17" i="6"/>
  <c r="AF17" i="6"/>
  <c r="K17" i="6"/>
  <c r="O17" i="6"/>
  <c r="S17" i="6"/>
  <c r="W17" i="6"/>
  <c r="AA17" i="6"/>
  <c r="C9" i="6"/>
  <c r="C11" i="6"/>
  <c r="C19" i="6"/>
  <c r="L10" i="8"/>
  <c r="I10" i="8"/>
  <c r="V10" i="8"/>
  <c r="F10" i="8"/>
  <c r="P10" i="8"/>
  <c r="S10" i="8"/>
  <c r="X10" i="8"/>
  <c r="C10" i="8"/>
  <c r="AB11" i="8"/>
  <c r="E10" i="8"/>
  <c r="N10" i="8"/>
  <c r="AA10" i="8"/>
  <c r="O10" i="8"/>
  <c r="Z10" i="8"/>
  <c r="B10" i="8"/>
  <c r="D10" i="8"/>
  <c r="J10" i="8"/>
  <c r="U10" i="8"/>
  <c r="M10" i="8"/>
  <c r="R10" i="8"/>
  <c r="T10" i="8"/>
  <c r="K10" i="8"/>
  <c r="G10" i="8"/>
  <c r="Y10" i="8"/>
  <c r="Q10" i="8"/>
  <c r="W10" i="8"/>
  <c r="M11" i="8"/>
  <c r="E20" i="6" l="1"/>
  <c r="D20" i="6"/>
  <c r="D12" i="6"/>
  <c r="E12" i="6"/>
  <c r="AD11" i="8"/>
  <c r="AC11" i="8"/>
  <c r="X11" i="8"/>
  <c r="AB12" i="8"/>
  <c r="P11" i="8"/>
  <c r="U11" i="8"/>
  <c r="K11" i="8"/>
  <c r="V11" i="8"/>
  <c r="R11" i="8"/>
  <c r="T11" i="8"/>
  <c r="H11" i="8"/>
  <c r="C11" i="8"/>
  <c r="J11" i="8"/>
  <c r="O11" i="8"/>
  <c r="G11" i="8"/>
  <c r="D11" i="8"/>
  <c r="Z11" i="8"/>
  <c r="I11" i="8"/>
  <c r="E11" i="8"/>
  <c r="S11" i="8"/>
  <c r="L11" i="8"/>
  <c r="Y11" i="8"/>
  <c r="B11" i="8"/>
  <c r="N11" i="8"/>
  <c r="F11" i="8"/>
  <c r="Q11" i="8"/>
  <c r="W11" i="8"/>
  <c r="AA11" i="8"/>
  <c r="F12" i="8"/>
  <c r="AD12" i="8" l="1"/>
  <c r="AC12" i="8"/>
  <c r="M12" i="8"/>
  <c r="O12" i="8"/>
  <c r="N12" i="8"/>
  <c r="X12" i="8"/>
  <c r="B12" i="8"/>
  <c r="G12" i="8"/>
  <c r="Z12" i="8"/>
  <c r="H12" i="8"/>
  <c r="V12" i="8"/>
  <c r="T12" i="8"/>
  <c r="Q12" i="8"/>
  <c r="E12" i="8"/>
  <c r="AB13" i="8"/>
  <c r="L12" i="8"/>
  <c r="C12" i="8"/>
  <c r="U12" i="8"/>
  <c r="I12" i="8"/>
  <c r="D12" i="8"/>
  <c r="S12" i="8"/>
  <c r="J12" i="8"/>
  <c r="P12" i="8"/>
  <c r="W12" i="8"/>
  <c r="AA12" i="8"/>
  <c r="Y12" i="8"/>
  <c r="R12" i="8"/>
  <c r="K12" i="8"/>
  <c r="G13" i="8"/>
  <c r="AD13" i="8" l="1"/>
  <c r="AC13" i="8"/>
  <c r="T13" i="8"/>
  <c r="O13" i="8"/>
  <c r="H13" i="8"/>
  <c r="AA13" i="8"/>
  <c r="B13" i="8"/>
  <c r="AB14" i="8"/>
  <c r="V13" i="8"/>
  <c r="W13" i="8"/>
  <c r="N13" i="8"/>
  <c r="Q13" i="8"/>
  <c r="R13" i="8"/>
  <c r="U13" i="8"/>
  <c r="S13" i="8"/>
  <c r="X13" i="8"/>
  <c r="K13" i="8"/>
  <c r="P13" i="8"/>
  <c r="Y13" i="8"/>
  <c r="M13" i="8"/>
  <c r="C13" i="8"/>
  <c r="E13" i="8"/>
  <c r="Z13" i="8"/>
  <c r="F13" i="8"/>
  <c r="J13" i="8"/>
  <c r="D13" i="8"/>
  <c r="L13" i="8"/>
  <c r="I13" i="8"/>
  <c r="B14" i="8"/>
  <c r="AD14" i="8" l="1"/>
  <c r="AC14" i="8"/>
  <c r="P14" i="8"/>
  <c r="AB15" i="8"/>
  <c r="H14" i="8"/>
  <c r="N14" i="8"/>
  <c r="J14" i="8"/>
  <c r="E14" i="8"/>
  <c r="N15" i="8"/>
  <c r="K14" i="8"/>
  <c r="L14" i="8"/>
  <c r="R14" i="8"/>
  <c r="Q14" i="8"/>
  <c r="G14" i="8"/>
  <c r="T14" i="8"/>
  <c r="D14" i="8"/>
  <c r="M14" i="8"/>
  <c r="C14" i="8"/>
  <c r="Z14" i="8"/>
  <c r="F14" i="8"/>
  <c r="U14" i="8"/>
  <c r="V14" i="8"/>
  <c r="S14" i="8"/>
  <c r="W14" i="8"/>
  <c r="O14" i="8"/>
  <c r="AA14" i="8"/>
  <c r="X14" i="8"/>
  <c r="I14" i="8"/>
  <c r="Y14" i="8"/>
  <c r="AD15" i="8" l="1"/>
  <c r="AC15" i="8"/>
  <c r="R15" i="8"/>
  <c r="X15" i="8"/>
  <c r="Y15" i="8"/>
  <c r="D15" i="8"/>
  <c r="W15" i="8"/>
  <c r="V15" i="8"/>
  <c r="AA16" i="8"/>
  <c r="Z15" i="8"/>
  <c r="J15" i="8"/>
  <c r="S15" i="8"/>
  <c r="K15" i="8"/>
  <c r="Q15" i="8"/>
  <c r="H15" i="8"/>
  <c r="AA15" i="8"/>
  <c r="L15" i="8"/>
  <c r="U15" i="8"/>
  <c r="B15" i="8"/>
  <c r="P15" i="8"/>
  <c r="T15" i="8"/>
  <c r="F15" i="8"/>
  <c r="E15" i="8"/>
  <c r="I15" i="8"/>
  <c r="C15" i="8"/>
  <c r="M15" i="8"/>
  <c r="AB16" i="8"/>
  <c r="G15" i="8"/>
  <c r="O15" i="8"/>
  <c r="AD16" i="8" l="1"/>
  <c r="AC16" i="8"/>
  <c r="Z16" i="8"/>
  <c r="G16" i="8"/>
  <c r="V16" i="8"/>
  <c r="B16" i="8"/>
  <c r="E16" i="8"/>
  <c r="AB17" i="8"/>
  <c r="U16" i="8"/>
  <c r="L16" i="8"/>
  <c r="Q16" i="8"/>
  <c r="W16" i="8"/>
  <c r="M16" i="8"/>
  <c r="C16" i="8"/>
  <c r="Y16" i="8"/>
  <c r="P16" i="8"/>
  <c r="K16" i="8"/>
  <c r="D16" i="8"/>
  <c r="H16" i="8"/>
  <c r="X16" i="8"/>
  <c r="F16" i="8"/>
  <c r="T16" i="8"/>
  <c r="J16" i="8"/>
  <c r="R16" i="8"/>
  <c r="N16" i="8"/>
  <c r="I16" i="8"/>
  <c r="O16" i="8"/>
  <c r="S16" i="8"/>
  <c r="N17" i="8"/>
  <c r="AD17" i="8" l="1"/>
  <c r="AC17" i="8"/>
  <c r="E17" i="8"/>
  <c r="O17" i="8"/>
  <c r="Y17" i="8"/>
  <c r="U17" i="8"/>
  <c r="L17" i="8"/>
  <c r="M17" i="8"/>
  <c r="Z17" i="8"/>
  <c r="Q17" i="8"/>
  <c r="C17" i="8"/>
  <c r="H17" i="8"/>
  <c r="G17" i="8"/>
  <c r="J17" i="8"/>
  <c r="AB18" i="8"/>
  <c r="I17" i="8"/>
  <c r="X17" i="8"/>
  <c r="B17" i="8"/>
  <c r="P17" i="8"/>
  <c r="W17" i="8"/>
  <c r="AA17" i="8"/>
  <c r="T17" i="8"/>
  <c r="S17" i="8"/>
  <c r="F17" i="8"/>
  <c r="V17" i="8"/>
  <c r="R17" i="8"/>
  <c r="K17" i="8"/>
  <c r="D17" i="8"/>
  <c r="G18" i="8"/>
  <c r="AD18" i="8" l="1"/>
  <c r="AC18" i="8"/>
  <c r="N18" i="8"/>
  <c r="E19" i="8"/>
  <c r="F18" i="8"/>
  <c r="Q18" i="8"/>
  <c r="U18" i="8"/>
  <c r="W18" i="8"/>
  <c r="R18" i="8"/>
  <c r="P18" i="8"/>
  <c r="T18" i="8"/>
  <c r="Y18" i="8"/>
  <c r="E18" i="8"/>
  <c r="AA18" i="8"/>
  <c r="AB19" i="8"/>
  <c r="Z18" i="8"/>
  <c r="H18" i="8"/>
  <c r="K18" i="8"/>
  <c r="I18" i="8"/>
  <c r="D18" i="8"/>
  <c r="B18" i="8"/>
  <c r="O18" i="8"/>
  <c r="S18" i="8"/>
  <c r="J18" i="8"/>
  <c r="M18" i="8"/>
  <c r="C18" i="8"/>
  <c r="V18" i="8"/>
  <c r="L18" i="8"/>
  <c r="X18" i="8"/>
  <c r="AD19" i="8" l="1"/>
  <c r="AC19" i="8"/>
  <c r="G19" i="8"/>
  <c r="O19" i="8"/>
  <c r="H19" i="8"/>
  <c r="P19" i="8"/>
  <c r="R19" i="8"/>
  <c r="X19" i="8"/>
  <c r="L19" i="8"/>
  <c r="AA19" i="8"/>
  <c r="J19" i="8"/>
  <c r="N19" i="8"/>
  <c r="K19" i="8"/>
  <c r="U19" i="8"/>
  <c r="S19" i="8"/>
  <c r="AB20" i="8"/>
  <c r="M19" i="8"/>
  <c r="D19" i="8"/>
  <c r="C19" i="8"/>
  <c r="T19" i="8"/>
  <c r="Z19" i="8"/>
  <c r="W19" i="8"/>
  <c r="B19" i="8"/>
  <c r="Y20" i="8"/>
  <c r="Y19" i="8"/>
  <c r="I19" i="8"/>
  <c r="V19" i="8"/>
  <c r="F19" i="8"/>
  <c r="Q19" i="8"/>
  <c r="AD20" i="8" l="1"/>
  <c r="AC20" i="8"/>
  <c r="T20" i="8"/>
  <c r="AB21" i="8"/>
  <c r="I20" i="8"/>
  <c r="G20" i="8"/>
  <c r="C20" i="8"/>
  <c r="B20" i="8"/>
  <c r="X20" i="8"/>
  <c r="AA20" i="8"/>
  <c r="Z20" i="8"/>
  <c r="M20" i="8"/>
  <c r="Q20" i="8"/>
  <c r="E20" i="8"/>
  <c r="N20" i="8"/>
  <c r="H20" i="8"/>
  <c r="U20" i="8"/>
  <c r="F20" i="8"/>
  <c r="K20" i="8"/>
  <c r="W20" i="8"/>
  <c r="V20" i="8"/>
  <c r="P20" i="8"/>
  <c r="S20" i="8"/>
  <c r="L20" i="8"/>
  <c r="AA21" i="8"/>
  <c r="O20" i="8"/>
  <c r="D20" i="8"/>
  <c r="R20" i="8"/>
  <c r="J20" i="8"/>
  <c r="AD21" i="8" l="1"/>
  <c r="AC21" i="8"/>
  <c r="X21" i="8"/>
  <c r="AB22" i="8"/>
  <c r="F21" i="8"/>
  <c r="L21" i="8"/>
  <c r="M21" i="8"/>
  <c r="U21" i="8"/>
  <c r="C21" i="8"/>
  <c r="S21" i="8"/>
  <c r="V21" i="8"/>
  <c r="I21" i="8"/>
  <c r="E21" i="8"/>
  <c r="G21" i="8"/>
  <c r="O21" i="8"/>
  <c r="R21" i="8"/>
  <c r="J21" i="8"/>
  <c r="H21" i="8"/>
  <c r="Y21" i="8"/>
  <c r="Q21" i="8"/>
  <c r="W21" i="8"/>
  <c r="B21" i="8"/>
  <c r="N22" i="8"/>
  <c r="P21" i="8"/>
  <c r="N21" i="8"/>
  <c r="K21" i="8"/>
  <c r="D21" i="8"/>
  <c r="T21" i="8"/>
  <c r="Z21" i="8"/>
  <c r="AD22" i="8" l="1"/>
  <c r="AC22" i="8"/>
  <c r="AB23" i="8"/>
  <c r="Q22" i="8"/>
  <c r="F22" i="8"/>
  <c r="D22" i="8"/>
  <c r="S22" i="8"/>
  <c r="U22" i="8"/>
  <c r="AA22" i="8"/>
  <c r="K22" i="8"/>
  <c r="J22" i="8"/>
  <c r="G22" i="8"/>
  <c r="Z22" i="8"/>
  <c r="W22" i="8"/>
  <c r="C22" i="8"/>
  <c r="T22" i="8"/>
  <c r="H22" i="8"/>
  <c r="R22" i="8"/>
  <c r="M22" i="8"/>
  <c r="X22" i="8"/>
  <c r="Y22" i="8"/>
  <c r="P22" i="8"/>
  <c r="L22" i="8"/>
  <c r="B22" i="8"/>
  <c r="I22" i="8"/>
  <c r="E22" i="8"/>
  <c r="O22" i="8"/>
  <c r="V22" i="8"/>
  <c r="Y23" i="8"/>
  <c r="AD23" i="8" l="1"/>
  <c r="AC23" i="8"/>
  <c r="N23" i="8"/>
  <c r="Z23" i="8"/>
  <c r="P23" i="8"/>
  <c r="X23" i="8"/>
  <c r="L23" i="8"/>
  <c r="E23" i="8"/>
  <c r="V23" i="8"/>
  <c r="M23" i="8"/>
  <c r="J23" i="8"/>
  <c r="C23" i="8"/>
  <c r="U23" i="8"/>
  <c r="I23" i="8"/>
  <c r="G23" i="8"/>
  <c r="R23" i="8"/>
  <c r="B23" i="8"/>
  <c r="S23" i="8"/>
  <c r="W23" i="8"/>
  <c r="O23" i="8"/>
  <c r="F23" i="8"/>
  <c r="D23" i="8"/>
  <c r="AA23" i="8"/>
  <c r="AB24" i="8"/>
  <c r="T23" i="8"/>
  <c r="K23" i="8"/>
  <c r="Q23" i="8"/>
  <c r="H23" i="8"/>
  <c r="F24" i="8"/>
  <c r="AD24" i="8" l="1"/>
  <c r="AC24" i="8"/>
  <c r="B24" i="8"/>
  <c r="T24" i="8"/>
  <c r="X24" i="8"/>
  <c r="H24" i="8"/>
  <c r="I24" i="8"/>
  <c r="D24" i="8"/>
  <c r="U24" i="8"/>
  <c r="Z24" i="8"/>
  <c r="W24" i="8"/>
  <c r="Y24" i="8"/>
  <c r="Q24" i="8"/>
  <c r="O24" i="8"/>
  <c r="G24" i="8"/>
  <c r="R24" i="8"/>
  <c r="AB25" i="8"/>
  <c r="L24" i="8"/>
  <c r="S24" i="8"/>
  <c r="K24" i="8"/>
  <c r="E24" i="8"/>
  <c r="AA24" i="8"/>
  <c r="P24" i="8"/>
  <c r="J24" i="8"/>
  <c r="V24" i="8"/>
  <c r="C24" i="8"/>
  <c r="M24" i="8"/>
  <c r="N24" i="8"/>
  <c r="H25" i="8"/>
  <c r="AD25" i="8" l="1"/>
  <c r="AC25" i="8"/>
  <c r="I25" i="8"/>
  <c r="S25" i="8"/>
  <c r="E25" i="8"/>
  <c r="J25" i="8"/>
  <c r="G25" i="8"/>
  <c r="P25" i="8"/>
  <c r="V25" i="8"/>
  <c r="D25" i="8"/>
  <c r="K25" i="8"/>
  <c r="Q25" i="8"/>
  <c r="Y25" i="8"/>
  <c r="B25" i="8"/>
  <c r="F25" i="8"/>
  <c r="L25" i="8"/>
  <c r="AA25" i="8"/>
  <c r="W25" i="8"/>
  <c r="Z25" i="8"/>
  <c r="X25" i="8"/>
  <c r="T25" i="8"/>
  <c r="M25" i="8"/>
  <c r="O25" i="8"/>
  <c r="N25" i="8"/>
  <c r="AB26" i="8"/>
  <c r="C25" i="8"/>
  <c r="X26" i="8"/>
  <c r="U25" i="8"/>
  <c r="R25" i="8"/>
  <c r="AD26" i="8" l="1"/>
  <c r="AC26" i="8"/>
  <c r="Y26" i="8"/>
  <c r="U26" i="8"/>
  <c r="R26" i="8"/>
  <c r="F26" i="8"/>
  <c r="I26" i="8"/>
  <c r="W26" i="8"/>
  <c r="B27" i="8"/>
  <c r="Q26" i="8"/>
  <c r="B26" i="8"/>
  <c r="P26" i="8"/>
  <c r="Z26" i="8"/>
  <c r="N26" i="8"/>
  <c r="H26" i="8"/>
  <c r="O26" i="8"/>
  <c r="T26" i="8"/>
  <c r="M26" i="8"/>
  <c r="K26" i="8"/>
  <c r="S26" i="8"/>
  <c r="L26" i="8"/>
  <c r="D26" i="8"/>
  <c r="AB27" i="8"/>
  <c r="E26" i="8"/>
  <c r="J26" i="8"/>
  <c r="V26" i="8"/>
  <c r="C26" i="8"/>
  <c r="G26" i="8"/>
  <c r="AA26" i="8"/>
  <c r="AD27" i="8" l="1"/>
  <c r="AC27" i="8"/>
  <c r="X27" i="8"/>
  <c r="Y27" i="8"/>
  <c r="AA27" i="8"/>
  <c r="H27" i="8"/>
  <c r="Y28" i="8"/>
  <c r="I27" i="8"/>
  <c r="AB28" i="8"/>
  <c r="N27" i="8"/>
  <c r="K27" i="8"/>
  <c r="P27" i="8"/>
  <c r="I28" i="8"/>
  <c r="D27" i="8"/>
  <c r="U27" i="8"/>
  <c r="L27" i="8"/>
  <c r="Z27" i="8"/>
  <c r="M27" i="8"/>
  <c r="C27" i="8"/>
  <c r="O27" i="8"/>
  <c r="U28" i="8"/>
  <c r="V27" i="8"/>
  <c r="Q27" i="8"/>
  <c r="G27" i="8"/>
  <c r="R27" i="8"/>
  <c r="W27" i="8"/>
  <c r="T27" i="8"/>
  <c r="J27" i="8"/>
  <c r="S27" i="8"/>
  <c r="F28" i="8"/>
  <c r="E27" i="8"/>
  <c r="F27" i="8"/>
  <c r="AD28" i="8" l="1"/>
  <c r="AC28" i="8"/>
  <c r="G28" i="8"/>
  <c r="R28" i="8"/>
  <c r="AA28" i="8"/>
  <c r="W28" i="8"/>
  <c r="G29" i="8"/>
  <c r="X28" i="8"/>
  <c r="O28" i="8"/>
  <c r="K28" i="8"/>
  <c r="D28" i="8"/>
  <c r="AB29" i="8"/>
  <c r="L28" i="8"/>
  <c r="Q28" i="8"/>
  <c r="Z28" i="8"/>
  <c r="T28" i="8"/>
  <c r="M28" i="8"/>
  <c r="B28" i="8"/>
  <c r="V28" i="8"/>
  <c r="S28" i="8"/>
  <c r="E28" i="8"/>
  <c r="N28" i="8"/>
  <c r="C28" i="8"/>
  <c r="H28" i="8"/>
  <c r="J28" i="8"/>
  <c r="P28" i="8"/>
  <c r="AD29" i="8" l="1"/>
  <c r="AC29" i="8"/>
  <c r="Q29" i="8"/>
  <c r="D29" i="8"/>
  <c r="U29" i="8"/>
  <c r="V29" i="8"/>
  <c r="B29" i="8"/>
  <c r="R29" i="8"/>
  <c r="L29" i="8"/>
  <c r="Y29" i="8"/>
  <c r="C29" i="8"/>
  <c r="AB30" i="8"/>
  <c r="M29" i="8"/>
  <c r="Z29" i="8"/>
  <c r="S29" i="8"/>
  <c r="N29" i="8"/>
  <c r="E29" i="8"/>
  <c r="X29" i="8"/>
  <c r="J29" i="8"/>
  <c r="K29" i="8"/>
  <c r="AA29" i="8"/>
  <c r="O29" i="8"/>
  <c r="H29" i="8"/>
  <c r="W29" i="8"/>
  <c r="P29" i="8"/>
  <c r="F29" i="8"/>
  <c r="I29" i="8"/>
  <c r="T29" i="8"/>
  <c r="H30" i="8"/>
  <c r="AD30" i="8" l="1"/>
  <c r="AC30" i="8"/>
  <c r="W30" i="8"/>
  <c r="AB31" i="8"/>
  <c r="T30" i="8"/>
  <c r="K30" i="8"/>
  <c r="C30" i="8"/>
  <c r="AA30" i="8"/>
  <c r="G30" i="8"/>
  <c r="J30" i="8"/>
  <c r="Z30" i="8"/>
  <c r="R30" i="8"/>
  <c r="D30" i="8"/>
  <c r="M30" i="8"/>
  <c r="S30" i="8"/>
  <c r="E30" i="8"/>
  <c r="L30" i="8"/>
  <c r="Q30" i="8"/>
  <c r="I30" i="8"/>
  <c r="B30" i="8"/>
  <c r="V30" i="8"/>
  <c r="N30" i="8"/>
  <c r="F30" i="8"/>
  <c r="P30" i="8"/>
  <c r="U30" i="8"/>
  <c r="Y30" i="8"/>
  <c r="X30" i="8"/>
  <c r="O30" i="8"/>
  <c r="M31" i="8"/>
  <c r="AD31" i="8" l="1"/>
  <c r="AC31" i="8"/>
  <c r="E31" i="8"/>
  <c r="S31" i="8"/>
  <c r="L31" i="8"/>
  <c r="Z31" i="8"/>
  <c r="AA31" i="8"/>
  <c r="AA32" i="8"/>
  <c r="G31" i="8"/>
  <c r="N31" i="8"/>
  <c r="V31" i="8"/>
  <c r="P31" i="8"/>
  <c r="Y31" i="8"/>
  <c r="B31" i="8"/>
  <c r="K31" i="8"/>
  <c r="AB32" i="8"/>
  <c r="D31" i="8"/>
  <c r="H31" i="8"/>
  <c r="U31" i="8"/>
  <c r="W31" i="8"/>
  <c r="O31" i="8"/>
  <c r="R31" i="8"/>
  <c r="F31" i="8"/>
  <c r="J31" i="8"/>
  <c r="T31" i="8"/>
  <c r="Q31" i="8"/>
  <c r="C31" i="8"/>
  <c r="I31" i="8"/>
  <c r="X31" i="8"/>
  <c r="AD32" i="8" l="1"/>
  <c r="AC32" i="8"/>
  <c r="I32" i="8"/>
  <c r="P32" i="8"/>
  <c r="F32" i="8"/>
  <c r="E32" i="8"/>
  <c r="S32" i="8"/>
  <c r="B32" i="8"/>
  <c r="AB33" i="8"/>
  <c r="Q32" i="8"/>
  <c r="U32" i="8"/>
  <c r="V32" i="8"/>
  <c r="D32" i="8"/>
  <c r="H32" i="8"/>
  <c r="M32" i="8"/>
  <c r="L32" i="8"/>
  <c r="N32" i="8"/>
  <c r="J32" i="8"/>
  <c r="Z32" i="8"/>
  <c r="C32" i="8"/>
  <c r="W32" i="8"/>
  <c r="Y32" i="8"/>
  <c r="K32" i="8"/>
  <c r="O32" i="8"/>
  <c r="AA33" i="8"/>
  <c r="X32" i="8"/>
  <c r="T32" i="8"/>
  <c r="R32" i="8"/>
  <c r="G32" i="8"/>
  <c r="AD33" i="8" l="1"/>
  <c r="AC33" i="8"/>
  <c r="F33" i="8"/>
  <c r="B33" i="8"/>
  <c r="M33" i="8"/>
  <c r="N33" i="8"/>
  <c r="W33" i="8"/>
  <c r="U33" i="8"/>
  <c r="Z33" i="8"/>
  <c r="P33" i="8"/>
  <c r="AB34" i="8"/>
  <c r="V33" i="8"/>
  <c r="Q33" i="8"/>
  <c r="O33" i="8"/>
  <c r="K33" i="8"/>
  <c r="R33" i="8"/>
  <c r="X33" i="8"/>
  <c r="C33" i="8"/>
  <c r="N34" i="8"/>
  <c r="E33" i="8"/>
  <c r="L33" i="8"/>
  <c r="O34" i="8"/>
  <c r="D33" i="8"/>
  <c r="G33" i="8"/>
  <c r="I33" i="8"/>
  <c r="S33" i="8"/>
  <c r="Y33" i="8"/>
  <c r="M34" i="8"/>
  <c r="T33" i="8"/>
  <c r="J33" i="8"/>
  <c r="H33" i="8"/>
  <c r="AD34" i="8" l="1"/>
  <c r="AC34" i="8"/>
  <c r="K34" i="8"/>
  <c r="G34" i="8"/>
  <c r="X34" i="8"/>
  <c r="T34" i="8"/>
  <c r="Q34" i="8"/>
  <c r="S34" i="8"/>
  <c r="P34" i="8"/>
  <c r="S35" i="8"/>
  <c r="V34" i="8"/>
  <c r="D34" i="8"/>
  <c r="AA34" i="8"/>
  <c r="F34" i="8"/>
  <c r="W34" i="8"/>
  <c r="U34" i="8"/>
  <c r="I34" i="8"/>
  <c r="Y34" i="8"/>
  <c r="R34" i="8"/>
  <c r="B34" i="8"/>
  <c r="J34" i="8"/>
  <c r="C34" i="8"/>
  <c r="H34" i="8"/>
  <c r="Z34" i="8"/>
  <c r="E34" i="8"/>
  <c r="AB35" i="8"/>
  <c r="L34" i="8"/>
  <c r="AC35" i="8" l="1"/>
  <c r="AD35" i="8"/>
  <c r="Z35" i="8"/>
  <c r="L35" i="8"/>
  <c r="K35" i="8"/>
  <c r="K36" i="8"/>
  <c r="V35" i="8"/>
  <c r="C35" i="8"/>
  <c r="G35" i="8"/>
  <c r="J35" i="8"/>
  <c r="Q36" i="8"/>
  <c r="B35" i="8"/>
  <c r="D35" i="8"/>
  <c r="AB36" i="8"/>
  <c r="AA35" i="8"/>
  <c r="I35" i="8"/>
  <c r="O35" i="8"/>
  <c r="X35" i="8"/>
  <c r="W35" i="8"/>
  <c r="F35" i="8"/>
  <c r="Y35" i="8"/>
  <c r="L36" i="8"/>
  <c r="M35" i="8"/>
  <c r="Q35" i="8"/>
  <c r="R35" i="8"/>
  <c r="P35" i="8"/>
  <c r="U35" i="8"/>
  <c r="H35" i="8"/>
  <c r="T35" i="8"/>
  <c r="N35" i="8"/>
  <c r="E35" i="8"/>
  <c r="AD36" i="8" l="1"/>
  <c r="AC36" i="8"/>
  <c r="E36" i="8"/>
  <c r="D36" i="8"/>
  <c r="P36" i="8"/>
  <c r="AB37" i="8"/>
  <c r="T36" i="8"/>
  <c r="G36" i="8"/>
  <c r="O36" i="8"/>
  <c r="AA37" i="8"/>
  <c r="N36" i="8"/>
  <c r="Z36" i="8"/>
  <c r="X36" i="8"/>
  <c r="J36" i="8"/>
  <c r="F36" i="8"/>
  <c r="W36" i="8"/>
  <c r="C36" i="8"/>
  <c r="M36" i="8"/>
  <c r="B36" i="8"/>
  <c r="H36" i="8"/>
  <c r="S36" i="8"/>
  <c r="Y36" i="8"/>
  <c r="AA36" i="8"/>
  <c r="I36" i="8"/>
  <c r="R36" i="8"/>
  <c r="U36" i="8"/>
  <c r="V36" i="8"/>
  <c r="AC37" i="8" l="1"/>
  <c r="AD37" i="8"/>
  <c r="M37" i="8"/>
  <c r="H37" i="8"/>
  <c r="J37" i="8"/>
  <c r="Y37" i="8"/>
  <c r="N37" i="8"/>
  <c r="L37" i="8"/>
  <c r="I37" i="8"/>
  <c r="X37" i="8"/>
  <c r="G37" i="8"/>
  <c r="R37" i="8"/>
  <c r="O37" i="8"/>
  <c r="W37" i="8"/>
  <c r="S37" i="8"/>
  <c r="Z37" i="8"/>
  <c r="Q37" i="8"/>
  <c r="G38" i="8"/>
  <c r="U37" i="8"/>
  <c r="P37" i="8"/>
  <c r="C37" i="8"/>
  <c r="K37" i="8"/>
  <c r="T37" i="8"/>
  <c r="B37" i="8"/>
  <c r="E37" i="8"/>
  <c r="D37" i="8"/>
  <c r="F37" i="8"/>
  <c r="V37" i="8"/>
  <c r="AB38" i="8"/>
  <c r="AD38" i="8" l="1"/>
  <c r="AC38" i="8"/>
  <c r="C38" i="8"/>
  <c r="Z38" i="8"/>
  <c r="R38" i="8"/>
  <c r="L38" i="8"/>
  <c r="U38" i="8"/>
  <c r="AB39" i="8"/>
  <c r="F38" i="8"/>
  <c r="I38" i="8"/>
  <c r="AA38" i="8"/>
  <c r="E38" i="8"/>
  <c r="Y38" i="8"/>
  <c r="V38" i="8"/>
  <c r="S38" i="8"/>
  <c r="J38" i="8"/>
  <c r="M38" i="8"/>
  <c r="Q38" i="8"/>
  <c r="P38" i="8"/>
  <c r="X38" i="8"/>
  <c r="H38" i="8"/>
  <c r="B38" i="8"/>
  <c r="D38" i="8"/>
  <c r="O38" i="8"/>
  <c r="K38" i="8"/>
  <c r="T38" i="8"/>
  <c r="N38" i="8"/>
  <c r="W38" i="8"/>
  <c r="L39" i="8"/>
  <c r="AD39" i="8" l="1"/>
  <c r="AC39" i="8"/>
  <c r="O39" i="8"/>
  <c r="H39" i="8"/>
  <c r="E39" i="8"/>
  <c r="Y39" i="8"/>
  <c r="G39" i="8"/>
  <c r="U39" i="8"/>
  <c r="F39" i="8"/>
  <c r="J39" i="8"/>
  <c r="AB40" i="8"/>
  <c r="Z39" i="8"/>
  <c r="AA39" i="8"/>
  <c r="M39" i="8"/>
  <c r="P39" i="8"/>
  <c r="B39" i="8"/>
  <c r="K39" i="8"/>
  <c r="I39" i="8"/>
  <c r="D40" i="8"/>
  <c r="V39" i="8"/>
  <c r="Q39" i="8"/>
  <c r="D39" i="8"/>
  <c r="S39" i="8"/>
  <c r="C39" i="8"/>
  <c r="X39" i="8"/>
  <c r="N39" i="8"/>
  <c r="R39" i="8"/>
  <c r="T39" i="8"/>
  <c r="W39" i="8"/>
  <c r="AD40" i="8" l="1"/>
  <c r="AC40" i="8"/>
  <c r="V40" i="8"/>
  <c r="T40" i="8"/>
  <c r="U40" i="8"/>
  <c r="L40" i="8"/>
  <c r="W40" i="8"/>
  <c r="S40" i="8"/>
  <c r="O40" i="8"/>
  <c r="Q40" i="8"/>
  <c r="H40" i="8"/>
  <c r="X40" i="8"/>
  <c r="E40" i="8"/>
  <c r="J40" i="8"/>
  <c r="P40" i="8"/>
  <c r="G40" i="8"/>
  <c r="Y40" i="8"/>
  <c r="Z40" i="8"/>
  <c r="B40" i="8"/>
  <c r="I40" i="8"/>
  <c r="N40" i="8"/>
  <c r="AA40" i="8"/>
  <c r="F40" i="8"/>
  <c r="R40" i="8"/>
  <c r="C40" i="8"/>
  <c r="K40" i="8"/>
  <c r="AB41" i="8"/>
  <c r="M40" i="8"/>
  <c r="S41" i="8"/>
  <c r="AD41" i="8" l="1"/>
  <c r="AC41" i="8"/>
  <c r="K41" i="8"/>
  <c r="W41" i="8"/>
  <c r="R41" i="8"/>
  <c r="N41" i="8"/>
  <c r="F41" i="8"/>
  <c r="U41" i="8"/>
  <c r="L41" i="8"/>
  <c r="K42" i="8"/>
  <c r="J41" i="8"/>
  <c r="I41" i="8"/>
  <c r="Z41" i="8"/>
  <c r="G41" i="8"/>
  <c r="C41" i="8"/>
  <c r="Q41" i="8"/>
  <c r="X41" i="8"/>
  <c r="AA41" i="8"/>
  <c r="M41" i="8"/>
  <c r="D41" i="8"/>
  <c r="B41" i="8"/>
  <c r="P41" i="8"/>
  <c r="T41" i="8"/>
  <c r="D42" i="8"/>
  <c r="C42" i="8"/>
  <c r="R42" i="8"/>
  <c r="I42" i="8"/>
  <c r="AB42" i="8"/>
  <c r="Y41" i="8"/>
  <c r="E41" i="8"/>
  <c r="H41" i="8"/>
  <c r="O41" i="8"/>
  <c r="V41" i="8"/>
  <c r="AD42" i="8" l="1"/>
  <c r="AC42" i="8"/>
  <c r="AA42" i="8"/>
  <c r="Y42" i="8"/>
  <c r="AB43" i="8"/>
  <c r="O42" i="8"/>
  <c r="E42" i="8"/>
  <c r="T42" i="8"/>
  <c r="S42" i="8"/>
  <c r="W42" i="8"/>
  <c r="Q42" i="8"/>
  <c r="L42" i="8"/>
  <c r="H42" i="8"/>
  <c r="F42" i="8"/>
  <c r="N42" i="8"/>
  <c r="G42" i="8"/>
  <c r="X42" i="8"/>
  <c r="U42" i="8"/>
  <c r="Z42" i="8"/>
  <c r="P42" i="8"/>
  <c r="J42" i="8"/>
  <c r="B42" i="8"/>
  <c r="S43" i="8"/>
  <c r="V42" i="8"/>
  <c r="M42" i="8"/>
  <c r="AC43" i="8" l="1"/>
  <c r="AD43" i="8"/>
  <c r="F43" i="8"/>
  <c r="N43" i="8"/>
  <c r="Z43" i="8"/>
  <c r="O43" i="8"/>
  <c r="T43" i="8"/>
  <c r="U43" i="8"/>
  <c r="D43" i="8"/>
  <c r="K43" i="8"/>
  <c r="C43" i="8"/>
  <c r="H43" i="8"/>
  <c r="G43" i="8"/>
  <c r="E43" i="8"/>
  <c r="Q43" i="8"/>
  <c r="AA43" i="8"/>
  <c r="X43" i="8"/>
  <c r="L43" i="8"/>
  <c r="R43" i="8"/>
  <c r="B43" i="8"/>
  <c r="M43" i="8"/>
  <c r="W43" i="8"/>
  <c r="J43" i="8"/>
  <c r="V43" i="8"/>
  <c r="Y43" i="8"/>
  <c r="I43" i="8"/>
  <c r="P43" i="8"/>
</calcChain>
</file>

<file path=xl/sharedStrings.xml><?xml version="1.0" encoding="utf-8"?>
<sst xmlns="http://schemas.openxmlformats.org/spreadsheetml/2006/main" count="1011" uniqueCount="379">
  <si>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</si>
  <si>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</si>
  <si>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</si>
  <si>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</si>
  <si>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</si>
  <si>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</si>
  <si>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</si>
  <si>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</si>
  <si>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</si>
  <si>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</si>
  <si>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</si>
  <si>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</si>
  <si>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</si>
  <si>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</si>
  <si>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</si>
  <si>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</si>
  <si>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</si>
  <si>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</si>
  <si>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</si>
  <si>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</si>
  <si>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</si>
  <si>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</si>
  <si>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</si>
  <si>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</si>
  <si>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</si>
  <si>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</si>
  <si>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</si>
  <si>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</si>
  <si>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</si>
  <si>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</si>
  <si>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</si>
  <si>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</si>
  <si>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</si>
  <si>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</si>
  <si>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</si>
  <si>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</si>
  <si>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</si>
  <si>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</si>
  <si>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</si>
  <si>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</si>
  <si>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</si>
  <si>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</si>
  <si>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</si>
  <si>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</si>
  <si>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</si>
  <si>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</si>
  <si>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</si>
  <si>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</si>
  <si>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</si>
  <si>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</si>
  <si>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</si>
  <si>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</si>
  <si>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</si>
  <si>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</si>
  <si>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</si>
  <si>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</si>
  <si>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</si>
  <si>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</si>
  <si>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</si>
  <si>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</si>
  <si>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</si>
  <si>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</si>
  <si>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</si>
  <si>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</si>
  <si>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</si>
  <si>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</si>
  <si>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</si>
  <si>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</si>
  <si>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</si>
  <si>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</si>
  <si>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</si>
  <si>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</si>
  <si>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</si>
  <si>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</si>
  <si>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</si>
  <si>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</si>
  <si>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</si>
  <si>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</si>
  <si>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</si>
  <si>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</si>
  <si>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</si>
  <si>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</si>
  <si>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</si>
  <si>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</si>
  <si>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</si>
  <si>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</si>
  <si>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</si>
  <si>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</si>
  <si>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</si>
  <si>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</si>
  <si>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</si>
  <si>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</si>
  <si>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</si>
  <si>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</si>
  <si>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</si>
  <si>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</si>
  <si>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</si>
  <si>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</si>
  <si>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</si>
  <si>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</si>
  <si>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</si>
  <si>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</si>
  <si>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</si>
  <si>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</si>
  <si>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</si>
  <si>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</si>
  <si>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</si>
  <si>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</si>
  <si>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</si>
  <si>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</si>
  <si>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</si>
  <si>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</si>
  <si>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</si>
  <si>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</si>
  <si>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</si>
  <si>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</si>
  <si>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</si>
  <si>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</si>
  <si>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</si>
  <si>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</si>
  <si>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</si>
  <si>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</si>
  <si>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</si>
  <si>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</si>
  <si>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</si>
  <si>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</si>
  <si>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</si>
  <si>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</si>
  <si>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</si>
  <si>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</si>
  <si>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</si>
  <si>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</si>
  <si>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</si>
  <si>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</si>
  <si>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</si>
  <si>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</si>
  <si>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</si>
  <si>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</si>
  <si>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</si>
  <si>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</si>
  <si>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</si>
  <si>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</si>
  <si>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</si>
  <si>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</si>
  <si>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</si>
  <si>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</si>
  <si>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</si>
  <si>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</si>
  <si>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</si>
  <si>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</si>
  <si>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</si>
  <si>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</si>
  <si>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</si>
  <si>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</si>
  <si>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</si>
  <si>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</si>
  <si>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</si>
  <si>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</si>
  <si>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</si>
  <si>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</si>
  <si>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</si>
  <si>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</si>
  <si>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</si>
  <si>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</si>
  <si>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</si>
  <si>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</si>
  <si>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</si>
  <si>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</si>
  <si>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</si>
  <si>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</si>
  <si>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</si>
  <si>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</si>
  <si>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</si>
  <si>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</si>
  <si>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</si>
  <si>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</si>
  <si>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</si>
  <si>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</si>
  <si>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</si>
  <si>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</si>
  <si>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</si>
  <si>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</si>
  <si>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</si>
  <si>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</si>
  <si>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</si>
  <si>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</si>
  <si>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</si>
  <si>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</si>
  <si>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</si>
  <si>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</si>
  <si>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</si>
  <si>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</si>
  <si>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</si>
  <si>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</si>
  <si>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</si>
  <si>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</si>
  <si>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</si>
  <si>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</si>
  <si>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</si>
  <si>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</si>
  <si>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</si>
  <si>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</si>
  <si>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</si>
  <si>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</si>
  <si>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</si>
  <si>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</si>
  <si>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</si>
  <si>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</si>
  <si>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</si>
  <si>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</si>
  <si>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</si>
  <si>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</si>
  <si>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</si>
  <si>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</si>
  <si>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</si>
  <si>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</si>
  <si>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</si>
  <si>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</si>
  <si>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</si>
  <si>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</si>
  <si>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</si>
  <si>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</si>
  <si>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</si>
  <si>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</si>
  <si>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</si>
  <si>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</si>
  <si>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</si>
  <si>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</si>
  <si>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</si>
  <si>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</si>
  <si>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</si>
  <si>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</si>
  <si>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</si>
  <si>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</si>
  <si>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</si>
  <si>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</si>
  <si>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</si>
  <si>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</si>
  <si>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</si>
  <si>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</si>
  <si>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</si>
  <si>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</si>
  <si>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</si>
  <si>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</si>
  <si>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</si>
  <si>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</si>
  <si>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</si>
  <si>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</si>
  <si>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</si>
  <si>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</si>
  <si>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</si>
  <si>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</si>
  <si>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OVERALL</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</si>
  <si>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</si>
  <si>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</si>
  <si>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</si>
  <si>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</si>
  <si>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</si>
  <si>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</si>
  <si>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</si>
  <si>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</si>
  <si>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</si>
  <si>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</si>
  <si>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</si>
  <si>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</si>
  <si>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</si>
  <si>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</si>
  <si>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</si>
  <si>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</si>
  <si>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</si>
  <si>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</si>
  <si>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</si>
  <si>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</si>
  <si>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</si>
  <si>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</si>
  <si>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</si>
  <si>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</si>
  <si>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</si>
  <si>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</si>
  <si>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</si>
  <si>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</si>
  <si>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</si>
  <si>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</si>
  <si>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</si>
  <si>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</si>
  <si>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</si>
  <si>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</si>
  <si>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</si>
  <si>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</si>
  <si>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</si>
  <si>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</si>
  <si>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</si>
  <si>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</si>
  <si>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</si>
  <si>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</si>
  <si>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</si>
  <si>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</si>
  <si>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</si>
  <si>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</si>
  <si>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</si>
  <si>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</si>
  <si>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</si>
  <si>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</si>
  <si>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</si>
  <si>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</si>
  <si>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</si>
  <si>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</si>
  <si>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Desireability</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</si>
  <si>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</si>
  <si>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</si>
  <si>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</si>
  <si>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</si>
  <si>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</si>
  <si>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</si>
  <si>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</si>
  <si>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</si>
  <si>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</si>
  <si>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</si>
  <si>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</si>
  <si>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</si>
  <si>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</si>
  <si>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</si>
  <si>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</si>
  <si>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Pick List as of day 1</t>
  </si>
  <si>
    <t>currently in 11th place, but that climb!</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</si>
  <si>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</si>
  <si>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</si>
  <si>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</si>
  <si>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</si>
  <si>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</si>
  <si>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</si>
  <si>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</si>
  <si>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</si>
  <si>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</si>
  <si>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</si>
  <si>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</si>
  <si>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</si>
  <si>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</si>
  <si>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</si>
  <si>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</si>
  <si>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</si>
  <si>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</si>
  <si>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</si>
  <si>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</si>
  <si>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</si>
  <si>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</si>
  <si>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</si>
  <si>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</si>
  <si>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</si>
  <si>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</si>
  <si>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</si>
  <si>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</si>
  <si>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</si>
  <si>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Level 2?</t>
  </si>
  <si>
    <t xml:space="preserve">_x000D_
</t>
  </si>
  <si>
    <t>Tiger Techs</t>
  </si>
  <si>
    <t>The Big Bang</t>
  </si>
  <si>
    <t>Merge Robotics</t>
  </si>
  <si>
    <t>ABSOLUTE ROBOTICS</t>
  </si>
  <si>
    <t>Allspark9</t>
  </si>
  <si>
    <t xml:space="preserve"> Full Metal Mustangs</t>
  </si>
  <si>
    <t>Irish Iron</t>
  </si>
  <si>
    <t>Celt-X</t>
  </si>
  <si>
    <t>BT Robotics</t>
  </si>
  <si>
    <t>Thistletown Scot Bots</t>
  </si>
  <si>
    <t>Aurobots</t>
  </si>
  <si>
    <t>Team MineKee</t>
  </si>
  <si>
    <t>Gearheads</t>
  </si>
  <si>
    <t>Agincourt Skunkworks</t>
  </si>
  <si>
    <t>Red Devils</t>
  </si>
  <si>
    <t>Cardinal Robotics</t>
  </si>
  <si>
    <t>Raider Robotics</t>
  </si>
  <si>
    <t>Richardson Stormbots</t>
  </si>
  <si>
    <t>Pink Titans</t>
  </si>
  <si>
    <t>PARAGON</t>
  </si>
  <si>
    <t>Cap Alpaca</t>
  </si>
  <si>
    <t>Romero Robotics</t>
  </si>
  <si>
    <t xml:space="preserve">SJB Odyssey </t>
  </si>
  <si>
    <t>EOM Lions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</si>
</sst>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s>
  <fills count="11">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92D050"/>
        <bgColor indexed="64"/>
      </patternFill>
    </fill>
  </fills>
  <borders count="99">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s>
  <cellStyleXfs count="3">
    <xf numFmtId="0" fontId="0" fillId="0" borderId="0"/>
    <xf numFmtId="0" fontId="5" fillId="0" borderId="0"/>
    <xf numFmtId="0" fontId="10" fillId="0" borderId="0" applyNumberFormat="0" applyFill="0" applyBorder="0" applyAlignment="0" applyProtection="0"/>
  </cellStyleXfs>
  <cellXfs count="174">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38" xfId="1" applyFont="1" applyFill="1" applyBorder="1" applyAlignment="1">
      <alignment horizontal="center" vertical="center"/>
    </xf>
    <xf numFmtId="0" fontId="6" fillId="5" borderId="39" xfId="1" applyFont="1" applyFill="1" applyBorder="1" applyAlignment="1">
      <alignment horizontal="center" vertical="center"/>
    </xf>
    <xf numFmtId="0" fontId="7" fillId="0" borderId="0" xfId="1" applyFont="1" applyAlignment="1">
      <alignment horizontal="center" vertical="center"/>
    </xf>
    <xf numFmtId="0" fontId="6" fillId="0" borderId="44" xfId="1" applyFont="1" applyBorder="1" applyAlignment="1">
      <alignment horizontal="center" vertical="center"/>
    </xf>
    <xf numFmtId="0" fontId="6" fillId="0" borderId="45" xfId="1" applyFont="1" applyBorder="1" applyAlignment="1">
      <alignment horizontal="center" vertical="center"/>
    </xf>
    <xf numFmtId="0" fontId="6" fillId="0" borderId="46" xfId="1" applyFont="1" applyBorder="1" applyAlignment="1">
      <alignment horizontal="center" vertical="center"/>
    </xf>
    <xf numFmtId="0" fontId="6" fillId="5" borderId="47" xfId="1" applyFont="1" applyFill="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0" borderId="50" xfId="1" applyFont="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5" borderId="54" xfId="1" applyFont="1" applyFill="1" applyBorder="1" applyAlignment="1">
      <alignment horizontal="center" vertical="center"/>
    </xf>
    <xf numFmtId="0" fontId="6" fillId="5" borderId="55" xfId="1" applyFont="1" applyFill="1" applyBorder="1" applyAlignment="1">
      <alignment horizontal="center" vertical="center"/>
    </xf>
    <xf numFmtId="0" fontId="6" fillId="0" borderId="56" xfId="1" applyFont="1" applyBorder="1" applyAlignment="1">
      <alignment horizontal="center" vertical="center"/>
    </xf>
    <xf numFmtId="0" fontId="7" fillId="5" borderId="0" xfId="1" applyFont="1" applyFill="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0" fillId="0" borderId="61" xfId="0" applyBorder="1"/>
    <xf numFmtId="0" fontId="0" fillId="0" borderId="0" xfId="0" applyAlignment="1">
      <alignment horizontal="center"/>
    </xf>
    <xf numFmtId="0" fontId="6" fillId="0" borderId="62" xfId="1" applyFont="1" applyBorder="1" applyAlignment="1">
      <alignment horizontal="center" vertical="center"/>
    </xf>
    <xf numFmtId="0" fontId="6" fillId="0" borderId="63" xfId="1" applyFont="1" applyBorder="1" applyAlignment="1">
      <alignment horizontal="center" vertical="center"/>
    </xf>
    <xf numFmtId="0" fontId="6" fillId="0" borderId="64" xfId="1" applyFont="1" applyBorder="1" applyAlignment="1">
      <alignment horizontal="center" vertical="center"/>
    </xf>
    <xf numFmtId="0" fontId="6" fillId="0" borderId="44" xfId="1" applyFont="1" applyBorder="1" applyAlignment="1">
      <alignment horizontal="center" vertical="center" wrapText="1"/>
    </xf>
    <xf numFmtId="0" fontId="6" fillId="0" borderId="45" xfId="1" applyFont="1" applyBorder="1" applyAlignment="1">
      <alignment horizontal="center" vertical="center" wrapText="1"/>
    </xf>
    <xf numFmtId="0" fontId="6" fillId="0" borderId="62" xfId="1" applyFont="1" applyBorder="1" applyAlignment="1">
      <alignment horizontal="center" vertical="center" wrapText="1"/>
    </xf>
    <xf numFmtId="0" fontId="6" fillId="0" borderId="63" xfId="1" applyFont="1" applyBorder="1" applyAlignment="1">
      <alignment horizontal="center" vertical="center" wrapText="1"/>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57" xfId="0" applyBorder="1"/>
    <xf numFmtId="0" fontId="1" fillId="0" borderId="74" xfId="0" applyFont="1" applyBorder="1" applyAlignment="1">
      <alignment horizontal="center"/>
    </xf>
    <xf numFmtId="0" fontId="0" fillId="0" borderId="21" xfId="0" applyBorder="1"/>
    <xf numFmtId="0" fontId="0" fillId="0" borderId="76" xfId="0" applyBorder="1"/>
    <xf numFmtId="0" fontId="0" fillId="0" borderId="77" xfId="0" applyBorder="1"/>
    <xf numFmtId="0" fontId="0" fillId="0" borderId="23" xfId="0" applyBorder="1"/>
    <xf numFmtId="0" fontId="0" fillId="0" borderId="24" xfId="0" applyBorder="1"/>
    <xf numFmtId="0" fontId="1" fillId="0" borderId="78" xfId="0" applyFont="1" applyBorder="1" applyAlignment="1">
      <alignment horizontal="center"/>
    </xf>
    <xf numFmtId="0" fontId="0" fillId="0" borderId="30" xfId="0" applyBorder="1"/>
    <xf numFmtId="0" fontId="0" fillId="0" borderId="82" xfId="0" applyBorder="1"/>
    <xf numFmtId="0" fontId="0" fillId="0" borderId="80" xfId="0" applyBorder="1"/>
    <xf numFmtId="0" fontId="0" fillId="0" borderId="81" xfId="0" applyBorder="1"/>
    <xf numFmtId="0" fontId="1" fillId="0" borderId="35" xfId="0" applyFont="1" applyBorder="1" applyAlignment="1">
      <alignment horizontal="center"/>
    </xf>
    <xf numFmtId="0" fontId="0" fillId="0" borderId="79" xfId="0" applyBorder="1"/>
    <xf numFmtId="0" fontId="0" fillId="0" borderId="75" xfId="0" applyBorder="1"/>
    <xf numFmtId="0" fontId="1" fillId="0" borderId="36" xfId="0" applyFont="1" applyBorder="1" applyAlignment="1">
      <alignment horizontal="center"/>
    </xf>
    <xf numFmtId="0" fontId="1" fillId="0" borderId="82" xfId="0" applyFont="1" applyBorder="1"/>
    <xf numFmtId="0" fontId="6" fillId="5" borderId="83" xfId="1" applyFont="1" applyFill="1" applyBorder="1" applyAlignment="1">
      <alignment horizontal="center" vertical="center"/>
    </xf>
    <xf numFmtId="0" fontId="6" fillId="0" borderId="84" xfId="1" applyFont="1" applyBorder="1" applyAlignment="1">
      <alignment horizontal="center" vertical="center"/>
    </xf>
    <xf numFmtId="0" fontId="6" fillId="0" borderId="85" xfId="1" applyFont="1" applyBorder="1" applyAlignment="1">
      <alignment horizontal="center" vertical="center"/>
    </xf>
    <xf numFmtId="0" fontId="6" fillId="0" borderId="86" xfId="1" applyFont="1" applyBorder="1" applyAlignment="1">
      <alignment horizontal="center" vertical="center"/>
    </xf>
    <xf numFmtId="0" fontId="6" fillId="0" borderId="74" xfId="1" applyFont="1" applyBorder="1" applyAlignment="1">
      <alignment horizontal="center" vertical="center"/>
    </xf>
    <xf numFmtId="0" fontId="8"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90" xfId="1" applyFont="1" applyBorder="1" applyAlignment="1">
      <alignment horizontal="center" vertical="center"/>
    </xf>
    <xf numFmtId="0" fontId="6" fillId="0" borderId="91" xfId="1" applyFont="1" applyBorder="1" applyAlignment="1">
      <alignment horizontal="center" vertical="center"/>
    </xf>
    <xf numFmtId="0" fontId="6" fillId="0" borderId="60" xfId="1" applyFont="1" applyBorder="1" applyAlignment="1">
      <alignment horizontal="center" vertical="center"/>
    </xf>
    <xf numFmtId="0" fontId="1" fillId="0" borderId="58" xfId="0" applyFont="1" applyBorder="1"/>
    <xf numFmtId="0" fontId="1" fillId="0" borderId="29" xfId="0" applyFont="1" applyBorder="1"/>
    <xf numFmtId="0" fontId="6" fillId="0" borderId="94" xfId="1" applyFont="1" applyBorder="1" applyAlignment="1">
      <alignment horizontal="center" vertical="center"/>
    </xf>
    <xf numFmtId="0" fontId="6" fillId="0" borderId="95"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59" xfId="0" applyBorder="1"/>
    <xf numFmtId="0" fontId="0" fillId="0" borderId="60" xfId="0" applyBorder="1"/>
    <xf numFmtId="0" fontId="0" fillId="0" borderId="73" xfId="0" applyBorder="1"/>
    <xf numFmtId="0" fontId="1" fillId="0" borderId="22" xfId="0" applyFont="1" applyBorder="1" applyAlignment="1">
      <alignment horizontal="center"/>
    </xf>
    <xf numFmtId="0" fontId="0" fillId="0" borderId="96"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10" borderId="0" xfId="0" applyFill="1"/>
    <xf numFmtId="0" fontId="0" fillId="0" borderId="97" xfId="0" applyBorder="1"/>
    <xf numFmtId="0" fontId="0" fillId="0" borderId="0" xfId="0" applyProtection="1">
      <protection locked="0"/>
    </xf>
    <xf numFmtId="0" fontId="0" fillId="0" borderId="98" xfId="0" applyBorder="1"/>
    <xf numFmtId="0" fontId="0" fillId="0" borderId="31" xfId="0" applyBorder="1"/>
    <xf numFmtId="0" fontId="0" fillId="0" borderId="29" xfId="0" applyBorder="1"/>
    <xf numFmtId="164" fontId="0" fillId="0" borderId="80" xfId="0" applyNumberFormat="1" applyBorder="1"/>
    <xf numFmtId="164" fontId="0" fillId="0" borderId="0" xfId="0" applyNumberFormat="1"/>
    <xf numFmtId="0" fontId="0" fillId="0" borderId="0" xfId="0" applyAlignment="1">
      <alignment horizontal="left" vertical="center"/>
    </xf>
    <xf numFmtId="0" fontId="0" fillId="0" borderId="11" xfId="0" applyBorder="1" applyAlignment="1">
      <alignment vertical="center" wrapText="1"/>
    </xf>
    <xf numFmtId="0" fontId="0" fillId="0" borderId="0" xfId="0" applyAlignment="1">
      <alignment vertical="center" wrapText="1"/>
    </xf>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41" xfId="1" applyFont="1" applyBorder="1" applyAlignment="1">
      <alignment horizontal="left" vertical="center"/>
    </xf>
    <xf numFmtId="0" fontId="6" fillId="0" borderId="42" xfId="1" applyFont="1" applyBorder="1" applyAlignment="1">
      <alignment horizontal="left" vertical="center"/>
    </xf>
    <xf numFmtId="0" fontId="6" fillId="0" borderId="43" xfId="1" applyFont="1" applyBorder="1" applyAlignment="1">
      <alignment horizontal="left" vertical="center"/>
    </xf>
    <xf numFmtId="0" fontId="8" fillId="0" borderId="72" xfId="1" applyFont="1" applyBorder="1" applyAlignment="1">
      <alignment horizontal="center" vertical="center"/>
    </xf>
    <xf numFmtId="0" fontId="8" fillId="0" borderId="37" xfId="1" applyFont="1" applyBorder="1" applyAlignment="1">
      <alignment horizontal="center" vertical="center"/>
    </xf>
    <xf numFmtId="0" fontId="8" fillId="0" borderId="40" xfId="1" applyFont="1" applyBorder="1" applyAlignment="1">
      <alignment horizontal="center" vertical="center"/>
    </xf>
    <xf numFmtId="0" fontId="8" fillId="0" borderId="93" xfId="1" applyFont="1" applyBorder="1" applyAlignment="1">
      <alignment horizontal="center" vertical="center"/>
    </xf>
    <xf numFmtId="0" fontId="7" fillId="5" borderId="93" xfId="1" applyFont="1" applyFill="1" applyBorder="1" applyAlignment="1">
      <alignment horizontal="center" vertical="center"/>
    </xf>
    <xf numFmtId="0" fontId="6" fillId="0" borderId="88" xfId="1" applyFont="1" applyBorder="1" applyAlignment="1">
      <alignment horizontal="center" vertical="center" wrapText="1"/>
    </xf>
    <xf numFmtId="0" fontId="6" fillId="0" borderId="92" xfId="1" applyFont="1" applyBorder="1" applyAlignment="1">
      <alignment horizontal="center" vertical="center" wrapText="1"/>
    </xf>
    <xf numFmtId="0" fontId="6" fillId="0" borderId="66" xfId="1" applyFont="1" applyBorder="1" applyAlignment="1">
      <alignment horizontal="center" vertical="center"/>
    </xf>
  </cellXfs>
  <cellStyles count="3">
    <cellStyle name="Hyperlink" xfId="2" builtinId="8"/>
    <cellStyle name="Normal" xfId="0" builtinId="0"/>
    <cellStyle name="Normal 2" xfId="1" xr:uid="{C620A46E-9391-479E-A6E7-7B8F899801C0}"/>
  </cellStyles>
  <dxfs count="64">
    <dxf>
      <font>
        <color rgb="FF006100"/>
      </font>
      <fill>
        <patternFill>
          <bgColor rgb="FFC6EFCE"/>
        </patternFill>
      </fill>
    </dxf>
    <dxf>
      <font>
        <color rgb="FF9C5700"/>
      </font>
      <fill>
        <patternFill>
          <bgColor rgb="FFFFEB9C"/>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auto="1"/>
      </font>
      <fill>
        <patternFill>
          <bgColor rgb="FF92D050"/>
        </patternFill>
      </fill>
    </dxf>
    <dxf>
      <font>
        <color rgb="FF00B0F0"/>
      </font>
      <fill>
        <patternFill>
          <bgColor rgb="FF0070C0"/>
        </patternFill>
      </fill>
    </dxf>
    <dxf>
      <font>
        <color rgb="FF9C0006"/>
      </font>
      <fill>
        <patternFill>
          <bgColor rgb="FFFFC7CE"/>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92D05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9C0006"/>
      </font>
      <fill>
        <patternFill>
          <bgColor rgb="FFFFC7CE"/>
        </patternFill>
      </fill>
    </dxf>
    <dxf>
      <font>
        <color rgb="FF9C5700"/>
      </font>
      <fill>
        <patternFill>
          <bgColor rgb="FFFFEB9C"/>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92D05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9C0006"/>
      </font>
      <fill>
        <patternFill>
          <bgColor rgb="FFFFC7CE"/>
        </patternFill>
      </fill>
    </dxf>
    <dxf>
      <font>
        <color rgb="FF9C5700"/>
      </font>
      <fill>
        <patternFill>
          <bgColor rgb="FFFFEB9C"/>
        </patternFill>
      </fill>
    </dxf>
    <dxf>
      <fill>
        <patternFill>
          <bgColor rgb="FF92D050"/>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rgb="FF95BDDA"/>
        </patternFill>
      </fill>
    </dxf>
    <dxf>
      <fill>
        <patternFill>
          <bgColor rgb="FFFFBCBE"/>
        </patternFill>
      </fill>
    </dxf>
    <dxf>
      <font>
        <color rgb="FF9C0006"/>
      </font>
      <fill>
        <patternFill>
          <bgColor rgb="FFFFC7CE"/>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nwa/Dropbox/Ben/Grade%2011/2018%20scouting%20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zoomScale="85" zoomScaleNormal="85" workbookViewId="0">
      <pane ySplit="2" topLeftCell="A11" activePane="bottomLeft" state="frozen"/>
      <selection pane="bottomLeft" activeCell="A33" sqref="A33"/>
    </sheetView>
  </sheetViews>
  <sheetFormatPr defaultColWidth="8.85546875" defaultRowHeight="15"/>
  <cols>
    <col min="6" max="6" width="12.140625" customWidth="1"/>
    <col min="9" max="9" width="12" hidden="1" customWidth="1"/>
    <col min="14" max="14" width="7.140625" hidden="1" customWidth="1"/>
    <col min="15" max="15" width="5.28515625" hidden="1" customWidth="1"/>
    <col min="16" max="16" width="9.7109375" style="77" customWidth="1"/>
    <col min="17" max="17" width="9.85546875" customWidth="1"/>
    <col min="20" max="20" width="4.28515625" hidden="1" customWidth="1"/>
    <col min="25" max="25" width="1.85546875" hidden="1" customWidth="1"/>
    <col min="26" max="26" width="7.28515625" hidden="1" customWidth="1"/>
  </cols>
  <sheetData>
    <row r="1" spans="1:35">
      <c r="A1" s="136" t="s">
        <v>0</v>
      </c>
      <c r="B1" s="136"/>
      <c r="C1" s="136"/>
      <c r="D1" s="136" t="s">
        <v>9</v>
      </c>
      <c r="E1" s="136"/>
      <c r="F1" s="136"/>
      <c r="G1" s="136"/>
      <c r="H1" s="136"/>
      <c r="I1" s="136"/>
      <c r="J1" s="136"/>
      <c r="K1" s="136"/>
      <c r="L1" s="136"/>
      <c r="M1" s="136"/>
      <c r="N1" s="59"/>
      <c r="O1" s="59"/>
      <c r="P1" s="136" t="s">
        <v>1</v>
      </c>
      <c r="Q1" s="136"/>
      <c r="R1" s="136"/>
      <c r="S1" s="136"/>
      <c r="T1" s="136"/>
      <c r="U1" s="136"/>
      <c r="V1" s="136"/>
      <c r="W1" s="136"/>
      <c r="X1" s="136"/>
      <c r="Y1" s="136"/>
      <c r="Z1" s="136"/>
      <c r="AA1" s="136"/>
      <c r="AB1" s="136"/>
      <c r="AC1" s="136"/>
      <c r="AD1" s="136" t="s">
        <v>2</v>
      </c>
      <c r="AE1" s="136"/>
      <c r="AF1" s="136"/>
      <c r="AG1" s="136"/>
    </row>
    <row r="2" spans="1:35">
      <c r="A2" t="s">
        <v>3</v>
      </c>
      <c r="B2" t="s">
        <v>18</v>
      </c>
      <c r="C2" s="6" t="s">
        <v>22</v>
      </c>
      <c r="D2" t="s">
        <v>113</v>
      </c>
      <c r="E2" t="s">
        <v>130</v>
      </c>
      <c r="F2" t="s">
        <v>129</v>
      </c>
      <c r="G2" t="s">
        <v>11</v>
      </c>
      <c r="H2" t="s">
        <v>12</v>
      </c>
      <c r="I2" t="str">
        <f>IFERROR(SUM(_xlfn.CONCAT("$D",ROW()),_xlfn.CONCAT("$E",ROW()),_xlfn.CONCAT("$F",ROW()),_xlfn.CONCAT("$G",ROW())),"SUM")</f>
        <v>SUM</v>
      </c>
      <c r="J2" t="s">
        <v>13</v>
      </c>
      <c r="K2" t="s">
        <v>14</v>
      </c>
      <c r="L2" t="s">
        <v>15</v>
      </c>
      <c r="M2" t="s">
        <v>16</v>
      </c>
      <c r="N2" s="59" t="s">
        <v>291</v>
      </c>
      <c r="O2" s="59" t="s">
        <v>291</v>
      </c>
      <c r="P2" s="77" t="s">
        <v>130</v>
      </c>
      <c r="Q2" t="s">
        <v>129</v>
      </c>
      <c r="R2" t="s">
        <v>11</v>
      </c>
      <c r="S2" t="s">
        <v>12</v>
      </c>
      <c r="T2">
        <v>0</v>
      </c>
      <c r="U2" t="s">
        <v>13</v>
      </c>
      <c r="V2" t="s">
        <v>14</v>
      </c>
      <c r="W2" t="s">
        <v>15</v>
      </c>
      <c r="X2" t="s">
        <v>16</v>
      </c>
      <c r="AA2" t="s">
        <v>17</v>
      </c>
      <c r="AB2" t="s">
        <v>128</v>
      </c>
      <c r="AC2" t="s">
        <v>23</v>
      </c>
      <c r="AD2" t="s">
        <v>5</v>
      </c>
      <c r="AE2" t="s">
        <v>6</v>
      </c>
      <c r="AF2" t="s">
        <v>118</v>
      </c>
      <c r="AG2" t="s">
        <v>7</v>
      </c>
      <c r="AH2" t="s">
        <v>141</v>
      </c>
      <c r="AI2" t="s">
        <v>143</v>
      </c>
    </row>
    <row r="3" spans="1:35">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77">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row>
    <row r="4" spans="1:35">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77">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row>
    <row r="5" spans="1:35">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77">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row>
    <row r="6" spans="1:35">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77">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row>
    <row r="7" spans="1:35">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77">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row>
    <row r="8" spans="1:35">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77">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row>
    <row r="9" spans="1:35">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77">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row>
    <row r="10" spans="1:35">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77">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row>
    <row r="11" spans="1:35">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77">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row>
    <row r="12" spans="1:35">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77">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row>
    <row r="13" spans="1:35">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77">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row>
    <row r="14" spans="1:35">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77">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row>
    <row r="15" spans="1:35">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77">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row>
    <row r="16" spans="1:35">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77">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row>
    <row r="17" spans="1:34">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77">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row>
    <row r="18" spans="1:34">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77">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row>
    <row r="19" spans="1:34">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77">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row>
    <row r="20" spans="1:34">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77">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row>
    <row r="21" spans="1:34">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77">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row>
    <row r="22" spans="1:34">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77">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row>
    <row r="23" spans="1:34">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77">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row>
    <row r="24" spans="1:34">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77">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row>
    <row r="25" spans="1:34">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77">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row>
    <row r="26" spans="1:34">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77">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row>
    <row r="27" spans="1:34">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77">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row>
    <row r="28" spans="1:34">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77">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row>
    <row r="29" spans="1:34">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77">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row>
    <row r="30" spans="1:34">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77">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row>
    <row r="31" spans="1:34">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77">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row>
    <row r="32" spans="1:34">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77">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row>
    <row r="33" spans="1:34">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77">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row>
    <row r="34" spans="1:34">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77">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row>
    <row r="35" spans="1:34">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77">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row>
    <row r="36" spans="1:34">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77">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row>
    <row r="37" spans="1:34">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77">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row>
    <row r="38" spans="1:34">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77">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row>
    <row r="39" spans="1:34">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77">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row>
    <row r="40" spans="1:34">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77">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row>
    <row r="41" spans="1:34">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77">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row>
    <row r="42" spans="1:34">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77">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row>
    <row r="43" spans="1:34">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77">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row>
    <row r="44" spans="1:34">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77">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row>
    <row r="45" spans="1:34">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77">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row>
    <row r="46" spans="1:34">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77">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row>
    <row r="47" spans="1:34">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77">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row>
    <row r="48" spans="1:34">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77">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row>
    <row r="49" spans="1:35">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77">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row>
    <row r="50" spans="1:35">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77">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row>
    <row r="51" spans="1:35">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77">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row>
    <row r="52" spans="1:35">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77">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row>
    <row r="53" spans="1:35">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77">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row>
    <row r="54" spans="1:35">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77">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row>
    <row r="55" spans="1:35">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77">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row>
    <row r="56" spans="1:35">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77">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row>
    <row r="57" spans="1:35">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77">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row>
    <row r="58" spans="1:35">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77">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row>
    <row r="59" spans="1:35">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77">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row>
    <row r="60" spans="1:35">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77">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row>
    <row r="61" spans="1:35">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77">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row>
    <row r="62" spans="1:35">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77">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row>
    <row r="63" spans="1:35">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77">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row>
    <row r="64" spans="1:35">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77">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row>
    <row r="65" spans="1:35">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77">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row>
    <row r="66" spans="1:35">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77">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row>
    <row r="67" spans="1:35">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77">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row>
    <row r="68" spans="1:35">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77">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row>
    <row r="69" spans="1:35">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77">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row>
    <row r="70" spans="1:35">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77">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row>
    <row r="71" spans="1:35">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77">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row>
    <row r="72" spans="1:35">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77">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row>
    <row r="73" spans="1:35">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77">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row>
    <row r="74" spans="1:35">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77">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row>
    <row r="75" spans="1:35">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77">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row>
    <row r="76" spans="1:35">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77">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row>
    <row r="77" spans="1:35">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77">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row>
    <row r="78" spans="1:35">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77">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row>
    <row r="79" spans="1:35">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77">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row>
    <row r="80" spans="1:35">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77">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row>
    <row r="81" spans="1:35">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77">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row>
    <row r="82" spans="1:35">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77">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row>
    <row r="83" spans="1:35">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77">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row>
    <row r="84" spans="1:35">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77">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row>
    <row r="85" spans="1:35">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77">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row>
    <row r="86" spans="1:35">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77">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row>
    <row r="87" spans="1:35">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77">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row>
    <row r="88" spans="1:35">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77">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row>
    <row r="89" spans="1:35">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77">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row>
    <row r="90" spans="1:35">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77">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row>
    <row r="91" spans="1:35">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77">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row>
    <row r="92" spans="1:35">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77">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row>
    <row r="93" spans="1:35">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77">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row>
    <row r="94" spans="1:35">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77">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row>
    <row r="95" spans="1:35">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77">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row>
    <row r="96" spans="1:35">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77">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row>
    <row r="97" spans="1:35">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77">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row>
    <row r="98" spans="1:35">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77">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row>
    <row r="99" spans="1:35">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77">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308</v>
      </c>
    </row>
    <row r="100" spans="1:35">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77">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row>
    <row r="101" spans="1:35">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77">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row>
    <row r="102" spans="1:35">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77">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row>
    <row r="103" spans="1:35">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77">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row>
    <row r="104" spans="1:35">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77">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row>
    <row r="105" spans="1:35">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77">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309</v>
      </c>
    </row>
    <row r="106" spans="1:35">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77">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row>
    <row r="107" spans="1:35">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77">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row>
    <row r="108" spans="1:35">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77">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row>
    <row r="109" spans="1:35">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77">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row>
    <row r="110" spans="1:35">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77">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row>
    <row r="111" spans="1:35">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77">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row>
    <row r="112" spans="1:35">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77">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row>
    <row r="113" spans="1:35">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77">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row>
    <row r="114" spans="1:35">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77">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row>
    <row r="115" spans="1:35">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77">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row>
    <row r="116" spans="1:35">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77">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row>
    <row r="117" spans="1:35">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77">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row>
    <row r="118" spans="1:35">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77">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row>
    <row r="119" spans="1:35">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77">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row>
    <row r="120" spans="1:35">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77">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row>
    <row r="121" spans="1:35">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77">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row>
    <row r="122" spans="1:35">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77">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row>
    <row r="123" spans="1:35">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77">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row>
    <row r="124" spans="1:35">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77">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row>
    <row r="125" spans="1:35">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77">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row>
    <row r="126" spans="1:35">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77">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row>
    <row r="127" spans="1:35">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77">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row>
    <row r="128" spans="1:35">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77">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row>
    <row r="129" spans="1:35">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77">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row>
    <row r="130" spans="1:35">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77">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row>
    <row r="131" spans="1:35">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77">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row>
    <row r="132" spans="1:35">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77">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row>
    <row r="133" spans="1:35">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77">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row>
    <row r="134" spans="1:35">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77">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row>
    <row r="135" spans="1:35">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77">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row>
    <row r="136" spans="1:35">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77">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row>
    <row r="137" spans="1:35">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77">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row>
    <row r="138" spans="1:35">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77">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row>
    <row r="139" spans="1:35">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77">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row>
    <row r="140" spans="1:35">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77">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row>
    <row r="141" spans="1:35">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77">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row>
    <row r="142" spans="1:35">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77">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310</v>
      </c>
    </row>
    <row r="143" spans="1:35">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77">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311</v>
      </c>
    </row>
    <row r="144" spans="1:35">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77">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row>
    <row r="145" spans="1:35">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77">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row>
    <row r="146" spans="1:35">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77">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row>
    <row r="147" spans="1:35">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77">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row>
    <row r="148" spans="1:35">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77">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row>
    <row r="149" spans="1:35">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77">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row>
    <row r="150" spans="1:35">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77">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row>
    <row r="151" spans="1:35">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77">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row>
    <row r="152" spans="1:35">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77">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row>
    <row r="153" spans="1:35">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77">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row>
    <row r="154" spans="1:35">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77">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row>
    <row r="155" spans="1:35">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77">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row>
    <row r="156" spans="1:35">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77">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row>
    <row r="157" spans="1:35">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77">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313</v>
      </c>
    </row>
    <row r="158" spans="1:35">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77">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row>
    <row r="159" spans="1:35">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77">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row>
    <row r="160" spans="1:35">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77">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row>
    <row r="161" spans="1:35">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77">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row>
    <row r="162" spans="1:35">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77">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row>
    <row r="163" spans="1:35">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77">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row>
    <row r="164" spans="1:35">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77">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row>
    <row r="165" spans="1:35">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77">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314</v>
      </c>
    </row>
    <row r="166" spans="1:35">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77">
        <v>1</v>
      </c>
      <c r="Q166" s="124">
        <v>0</v>
      </c>
      <c r="R166" s="124">
        <v>0</v>
      </c>
      <c r="S166" s="124">
        <v>0</v>
      </c>
      <c r="T166">
        <f t="shared" si="20"/>
        <v>1</v>
      </c>
      <c r="U166" s="124">
        <v>0</v>
      </c>
      <c r="V166" s="124">
        <v>0</v>
      </c>
      <c r="W166" s="124">
        <v>0</v>
      </c>
      <c r="X166" s="124">
        <v>0</v>
      </c>
      <c r="Y166">
        <f t="shared" si="21"/>
        <v>0</v>
      </c>
      <c r="Z166">
        <f t="shared" si="22"/>
        <v>1</v>
      </c>
    </row>
    <row r="167" spans="1:35">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77">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row>
    <row r="168" spans="1:35">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77">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row>
    <row r="169" spans="1:35">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77">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row>
    <row r="170" spans="1:35">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77">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row>
    <row r="171" spans="1:35">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77">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row>
    <row r="172" spans="1:35">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77">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row>
    <row r="173" spans="1:35">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77">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row>
    <row r="174" spans="1:35">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77">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row>
    <row r="175" spans="1:35">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77">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row>
    <row r="176" spans="1:35">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77">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row>
    <row r="177" spans="1:35">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77">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row>
    <row r="178" spans="1:35">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77">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row>
    <row r="179" spans="1:35">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77">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row>
    <row r="180" spans="1:35">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77">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row>
    <row r="181" spans="1:35">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77">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315</v>
      </c>
    </row>
    <row r="182" spans="1:35">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77">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row>
    <row r="183" spans="1:35">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77">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row>
    <row r="184" spans="1:35">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77">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row>
    <row r="185" spans="1:35">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77">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row>
    <row r="186" spans="1:35">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77">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row>
    <row r="187" spans="1:35">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77">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row>
    <row r="188" spans="1:35">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77">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row>
    <row r="189" spans="1:35">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77">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row>
    <row r="190" spans="1:35">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77">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316</v>
      </c>
    </row>
    <row r="191" spans="1:35">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77">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row>
    <row r="192" spans="1:35">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77">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row>
    <row r="193" spans="1:35">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77">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row>
    <row r="194" spans="1:35">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77">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row>
    <row r="195" spans="1:35">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77">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row>
    <row r="196" spans="1:35">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77">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row>
    <row r="197" spans="1:35">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77">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317</v>
      </c>
    </row>
    <row r="198" spans="1:35">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77">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row>
    <row r="199" spans="1:35">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77">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row>
    <row r="200" spans="1:35">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77">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row>
    <row r="201" spans="1:35">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77">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row>
    <row r="202" spans="1:35">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77">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row>
    <row r="203" spans="1:35">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77">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row>
    <row r="204" spans="1:35">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77">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row>
    <row r="205" spans="1:35">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77">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row>
    <row r="206" spans="1:35">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77">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318</v>
      </c>
    </row>
    <row r="207" spans="1:35">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77">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row>
    <row r="208" spans="1:35">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77">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row>
    <row r="209" spans="1:34">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77">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row>
    <row r="210" spans="1:34">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77">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row>
    <row r="211" spans="1:34">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77">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row>
    <row r="212" spans="1:34">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77">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row>
    <row r="213" spans="1:34">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77">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row>
    <row r="214" spans="1:34">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77">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row>
    <row r="215" spans="1:34">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77">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row>
    <row r="216" spans="1:34">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77">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row>
    <row r="217" spans="1:34">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77">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row>
    <row r="218" spans="1:34">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77">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row>
    <row r="219" spans="1:34">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77">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row>
    <row r="220" spans="1:34">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77">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row>
    <row r="221" spans="1:34">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77">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row>
    <row r="222" spans="1:34">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77">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row>
    <row r="223" spans="1:34">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77">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row>
    <row r="224" spans="1:34">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77">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row>
    <row r="225" spans="1:35">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77">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319</v>
      </c>
    </row>
    <row r="226" spans="1:35">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77">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row>
    <row r="227" spans="1:35">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77">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row>
    <row r="228" spans="1:35">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77">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row>
    <row r="229" spans="1:35">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77">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row>
    <row r="230" spans="1:35">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77">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row>
    <row r="231" spans="1:35">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77">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row>
    <row r="232" spans="1:35">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77">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row>
    <row r="233" spans="1:35">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77">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row>
    <row r="234" spans="1:35">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77">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row>
    <row r="235" spans="1:35">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77">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row>
    <row r="236" spans="1:35">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77">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row>
    <row r="237" spans="1:35">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77">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row>
    <row r="238" spans="1:35">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77">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row>
    <row r="239" spans="1:35">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77">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row>
    <row r="240" spans="1:35">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77">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77">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77">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320</v>
      </c>
      <c r="AJ242" s="124"/>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77">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77">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321</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77">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77">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77">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77">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77">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77">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77">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77">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77">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77">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77">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77">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340</v>
      </c>
    </row>
    <row r="257" spans="1:35">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77">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row>
    <row r="258" spans="1:35">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77">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row>
    <row r="259" spans="1:35">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77">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row>
    <row r="260" spans="1:35">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77">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row>
    <row r="261" spans="1:35">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77">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row>
    <row r="262" spans="1:35">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77">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row>
    <row r="263" spans="1:35">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77">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row>
    <row r="264" spans="1:35">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77">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row>
    <row r="265" spans="1:35">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77">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row>
    <row r="266" spans="1:35">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77">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341</v>
      </c>
    </row>
    <row r="267" spans="1:35">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77">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342</v>
      </c>
    </row>
    <row r="268" spans="1:35">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77">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row>
    <row r="269" spans="1:35">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77">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row>
    <row r="270" spans="1:35">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77">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row>
    <row r="271" spans="1:35">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77">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row>
    <row r="272" spans="1:35">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77">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row>
    <row r="273" spans="1:35">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77">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row>
    <row r="274" spans="1:35">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77">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row>
    <row r="275" spans="1:35">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77">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row>
    <row r="276" spans="1:35">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77">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row>
    <row r="277" spans="1:35">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77">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row>
    <row r="278" spans="1:35">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77">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row>
    <row r="279" spans="1:35">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77">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343</v>
      </c>
    </row>
    <row r="280" spans="1:35">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77">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344</v>
      </c>
    </row>
    <row r="281" spans="1:35">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77">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row>
    <row r="282" spans="1:35">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77">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row>
    <row r="283" spans="1:35">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77">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row>
    <row r="284" spans="1:35">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77">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345</v>
      </c>
    </row>
    <row r="285" spans="1:35">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77">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346</v>
      </c>
    </row>
    <row r="286" spans="1:35">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77">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row>
    <row r="287" spans="1:35">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77">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row>
    <row r="288" spans="1:35">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77">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row>
    <row r="289" spans="1:35">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77">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347</v>
      </c>
    </row>
    <row r="290" spans="1:35">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77">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row>
    <row r="291" spans="1:35">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77">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row>
    <row r="292" spans="1:35">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77">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row>
    <row r="293" spans="1:35">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77">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row>
    <row r="294" spans="1:35">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77">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row>
    <row r="295" spans="1:35">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77">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row>
    <row r="296" spans="1:35">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77">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row>
    <row r="297" spans="1:35">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77">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row>
    <row r="298" spans="1:35">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77">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348</v>
      </c>
    </row>
    <row r="299" spans="1:35">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77">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row>
    <row r="300" spans="1:35">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77">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row>
    <row r="301" spans="1:35">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77">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row>
    <row r="302" spans="1:35">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77">
        <v>1</v>
      </c>
      <c r="Q302" s="124">
        <v>1</v>
      </c>
      <c r="R302" s="124">
        <v>0</v>
      </c>
      <c r="S302" s="124">
        <v>0</v>
      </c>
      <c r="T302">
        <f t="shared" si="38"/>
        <v>2</v>
      </c>
      <c r="U302" s="124">
        <v>4</v>
      </c>
      <c r="V302" s="124">
        <v>1</v>
      </c>
      <c r="W302" s="124">
        <v>0</v>
      </c>
      <c r="X302" s="124">
        <v>0</v>
      </c>
      <c r="Y302">
        <f t="shared" ref="Y302:Y365" si="40">SUM($U302:$X302)</f>
        <v>5</v>
      </c>
      <c r="Z302">
        <f t="shared" ref="Z302:Z365" si="41">SUM($T302,$Y302)</f>
        <v>7</v>
      </c>
      <c r="AA302" s="124">
        <v>0</v>
      </c>
      <c r="AB302" s="124">
        <v>0</v>
      </c>
      <c r="AC302" s="124">
        <v>1</v>
      </c>
      <c r="AD302" s="124">
        <v>0</v>
      </c>
      <c r="AE302" s="124">
        <v>0</v>
      </c>
      <c r="AF302" s="124">
        <v>0</v>
      </c>
      <c r="AG302" s="124">
        <v>0</v>
      </c>
      <c r="AH302" s="124">
        <v>2</v>
      </c>
    </row>
    <row r="303" spans="1:35">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77">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row>
    <row r="304" spans="1:35">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77">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349</v>
      </c>
    </row>
    <row r="305" spans="1:35">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77">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row>
    <row r="306" spans="1:35">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77">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row>
    <row r="307" spans="1:35">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77">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row>
    <row r="308" spans="1:35">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77">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row>
    <row r="309" spans="1:35">
      <c r="A309" s="124">
        <v>4907</v>
      </c>
      <c r="B309" t="str">
        <f t="shared" si="39"/>
        <v>BLUE</v>
      </c>
      <c r="C309" s="6">
        <f t="shared" ref="C309:C372"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77">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row>
    <row r="310" spans="1:35">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77">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row>
    <row r="311" spans="1:35">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77">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350</v>
      </c>
    </row>
    <row r="312" spans="1:35">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77">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351</v>
      </c>
    </row>
    <row r="313" spans="1:35">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77">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row>
    <row r="314" spans="1:35">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77">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row>
    <row r="315" spans="1:35">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77">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row>
    <row r="316" spans="1:35">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77">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row>
    <row r="317" spans="1:35">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77">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row>
    <row r="318" spans="1:35">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77">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row>
    <row r="319" spans="1:35">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77">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row>
    <row r="320" spans="1:35">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77">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row>
    <row r="321" spans="1:35">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77">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row>
    <row r="322" spans="1:35">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77">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row>
    <row r="323" spans="1:35">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77">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row>
    <row r="324" spans="1:35">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77">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row>
    <row r="325" spans="1:35">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77">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row>
    <row r="326" spans="1:35">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77">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row>
    <row r="327" spans="1:35">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77">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row>
    <row r="328" spans="1:35">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77">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row>
    <row r="329" spans="1:35">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77">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row>
    <row r="330" spans="1:35">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77">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row>
    <row r="331" spans="1:35">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77">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row>
    <row r="332" spans="1:35">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77">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row>
    <row r="333" spans="1:35">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77">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row>
    <row r="334" spans="1:35">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77">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row>
    <row r="335" spans="1:35">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77">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row>
    <row r="336" spans="1:35">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77">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77">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77">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row>
    <row r="339" spans="1:36">
      <c r="A339" s="124">
        <v>7735</v>
      </c>
      <c r="B339" t="str">
        <f t="shared" ref="B339:B402"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77">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77">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77">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77">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77">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352</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77">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77">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77">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77">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77">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77">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77">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s="124"/>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77">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77">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row>
    <row r="353" spans="1:34">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77">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row>
    <row r="354" spans="1:34">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77">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row>
    <row r="355" spans="1:34">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77">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row>
    <row r="356" spans="1:34">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77">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row>
    <row r="357" spans="1:34">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77">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row>
    <row r="358" spans="1:34">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77">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row>
    <row r="359" spans="1:34">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77">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row>
    <row r="360" spans="1:34">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77">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row>
    <row r="361" spans="1:34">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77">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row>
    <row r="362" spans="1:34">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77">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row>
    <row r="363" spans="1:34">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77">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row>
    <row r="364" spans="1:34">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77">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row>
    <row r="365" spans="1:34">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77">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row>
    <row r="366" spans="1:34">
      <c r="B366" t="str">
        <f t="shared" si="47"/>
        <v>BLUE</v>
      </c>
      <c r="C366" s="6">
        <f t="shared" si="42"/>
        <v>70</v>
      </c>
      <c r="I366">
        <f t="shared" si="43"/>
        <v>0</v>
      </c>
      <c r="N366" s="59">
        <f t="shared" si="44"/>
        <v>0</v>
      </c>
      <c r="O366" s="59">
        <f t="shared" si="45"/>
        <v>0</v>
      </c>
      <c r="T366">
        <f t="shared" si="46"/>
        <v>0</v>
      </c>
      <c r="Y366">
        <f t="shared" ref="Y366:Y429" si="48">SUM($U366:$X366)</f>
        <v>0</v>
      </c>
      <c r="Z366">
        <f t="shared" ref="Z366:Z429" si="49">SUM($T366,$Y366)</f>
        <v>0</v>
      </c>
    </row>
    <row r="367" spans="1:34">
      <c r="B367" t="str">
        <f t="shared" si="47"/>
        <v>BLUE</v>
      </c>
      <c r="C367" s="6">
        <f t="shared" si="42"/>
        <v>71</v>
      </c>
      <c r="I367">
        <f t="shared" si="43"/>
        <v>0</v>
      </c>
      <c r="N367" s="59">
        <f t="shared" si="44"/>
        <v>0</v>
      </c>
      <c r="O367" s="59">
        <f t="shared" si="45"/>
        <v>0</v>
      </c>
      <c r="T367">
        <f t="shared" si="46"/>
        <v>0</v>
      </c>
      <c r="Y367">
        <f t="shared" si="48"/>
        <v>0</v>
      </c>
      <c r="Z367">
        <f t="shared" si="49"/>
        <v>0</v>
      </c>
    </row>
    <row r="368" spans="1:34">
      <c r="B368" t="str">
        <f t="shared" si="47"/>
        <v>BLUE</v>
      </c>
      <c r="C368" s="6">
        <f t="shared" si="42"/>
        <v>72</v>
      </c>
      <c r="I368">
        <f t="shared" si="43"/>
        <v>0</v>
      </c>
      <c r="N368" s="59">
        <f t="shared" si="44"/>
        <v>0</v>
      </c>
      <c r="O368" s="59">
        <f t="shared" si="45"/>
        <v>0</v>
      </c>
      <c r="T368">
        <f t="shared" si="46"/>
        <v>0</v>
      </c>
      <c r="Y368">
        <f t="shared" si="48"/>
        <v>0</v>
      </c>
      <c r="Z368">
        <f t="shared" si="49"/>
        <v>0</v>
      </c>
    </row>
    <row r="369" spans="2:26">
      <c r="B369" t="str">
        <f t="shared" si="47"/>
        <v>BLUE</v>
      </c>
      <c r="C369" s="6">
        <f t="shared" si="42"/>
        <v>73</v>
      </c>
      <c r="I369">
        <f t="shared" si="43"/>
        <v>0</v>
      </c>
      <c r="N369" s="59">
        <f t="shared" si="44"/>
        <v>0</v>
      </c>
      <c r="O369" s="59">
        <f t="shared" si="45"/>
        <v>0</v>
      </c>
      <c r="T369">
        <f t="shared" si="46"/>
        <v>0</v>
      </c>
      <c r="Y369">
        <f t="shared" si="48"/>
        <v>0</v>
      </c>
      <c r="Z369">
        <f t="shared" si="49"/>
        <v>0</v>
      </c>
    </row>
    <row r="370" spans="2:26">
      <c r="B370" t="str">
        <f t="shared" si="47"/>
        <v>BLUE</v>
      </c>
      <c r="C370" s="6">
        <f t="shared" si="42"/>
        <v>74</v>
      </c>
      <c r="I370">
        <f t="shared" si="43"/>
        <v>0</v>
      </c>
      <c r="N370" s="59">
        <f t="shared" si="44"/>
        <v>0</v>
      </c>
      <c r="O370" s="59">
        <f t="shared" si="45"/>
        <v>0</v>
      </c>
      <c r="T370">
        <f t="shared" si="46"/>
        <v>0</v>
      </c>
      <c r="Y370">
        <f t="shared" si="48"/>
        <v>0</v>
      </c>
      <c r="Z370">
        <f t="shared" si="49"/>
        <v>0</v>
      </c>
    </row>
    <row r="371" spans="2:26">
      <c r="B371" t="str">
        <f t="shared" si="47"/>
        <v>BLUE</v>
      </c>
      <c r="C371" s="6">
        <f t="shared" si="42"/>
        <v>75</v>
      </c>
      <c r="I371">
        <f t="shared" si="43"/>
        <v>0</v>
      </c>
      <c r="N371" s="59">
        <f t="shared" si="44"/>
        <v>0</v>
      </c>
      <c r="O371" s="59">
        <f t="shared" si="45"/>
        <v>0</v>
      </c>
      <c r="T371">
        <f t="shared" si="46"/>
        <v>0</v>
      </c>
      <c r="Y371">
        <f t="shared" si="48"/>
        <v>0</v>
      </c>
      <c r="Z371">
        <f t="shared" si="49"/>
        <v>0</v>
      </c>
    </row>
    <row r="372" spans="2:26">
      <c r="B372" t="str">
        <f t="shared" si="47"/>
        <v>BLUE</v>
      </c>
      <c r="C372" s="6">
        <f t="shared" si="42"/>
        <v>76</v>
      </c>
      <c r="I372">
        <f t="shared" si="43"/>
        <v>0</v>
      </c>
      <c r="N372" s="59">
        <f t="shared" si="44"/>
        <v>0</v>
      </c>
      <c r="O372" s="59">
        <f t="shared" si="45"/>
        <v>0</v>
      </c>
      <c r="T372">
        <f t="shared" si="46"/>
        <v>0</v>
      </c>
      <c r="Y372">
        <f t="shared" si="48"/>
        <v>0</v>
      </c>
      <c r="Z372">
        <f t="shared" si="49"/>
        <v>0</v>
      </c>
    </row>
    <row r="373" spans="2:26">
      <c r="B373" t="str">
        <f t="shared" si="47"/>
        <v>BLUE</v>
      </c>
      <c r="C373" s="6">
        <f t="shared" ref="C373:C436" si="50">C372+1</f>
        <v>77</v>
      </c>
      <c r="I373">
        <f t="shared" si="43"/>
        <v>0</v>
      </c>
      <c r="N373" s="59">
        <f t="shared" si="44"/>
        <v>0</v>
      </c>
      <c r="O373" s="59">
        <f t="shared" si="45"/>
        <v>0</v>
      </c>
      <c r="T373">
        <f t="shared" si="46"/>
        <v>0</v>
      </c>
      <c r="Y373">
        <f t="shared" si="48"/>
        <v>0</v>
      </c>
      <c r="Z373">
        <f t="shared" si="49"/>
        <v>0</v>
      </c>
    </row>
    <row r="374" spans="2:26">
      <c r="B374" t="str">
        <f t="shared" si="47"/>
        <v>BLUE</v>
      </c>
      <c r="C374" s="6">
        <f t="shared" si="50"/>
        <v>78</v>
      </c>
      <c r="I374">
        <f t="shared" si="43"/>
        <v>0</v>
      </c>
      <c r="N374" s="59">
        <f t="shared" si="44"/>
        <v>0</v>
      </c>
      <c r="O374" s="59">
        <f t="shared" si="45"/>
        <v>0</v>
      </c>
      <c r="T374">
        <f t="shared" si="46"/>
        <v>0</v>
      </c>
      <c r="Y374">
        <f t="shared" si="48"/>
        <v>0</v>
      </c>
      <c r="Z374">
        <f t="shared" si="49"/>
        <v>0</v>
      </c>
    </row>
    <row r="375" spans="2:26">
      <c r="B375" t="str">
        <f t="shared" si="47"/>
        <v>BLUE</v>
      </c>
      <c r="C375" s="6">
        <f t="shared" si="50"/>
        <v>79</v>
      </c>
      <c r="I375">
        <f t="shared" si="43"/>
        <v>0</v>
      </c>
      <c r="N375" s="59">
        <f t="shared" si="44"/>
        <v>0</v>
      </c>
      <c r="O375" s="59">
        <f t="shared" si="45"/>
        <v>0</v>
      </c>
      <c r="T375">
        <f t="shared" si="46"/>
        <v>0</v>
      </c>
      <c r="Y375">
        <f t="shared" si="48"/>
        <v>0</v>
      </c>
      <c r="Z375">
        <f t="shared" si="49"/>
        <v>0</v>
      </c>
    </row>
    <row r="376" spans="2:26">
      <c r="B376" t="str">
        <f t="shared" si="47"/>
        <v>BLUE</v>
      </c>
      <c r="C376" s="6">
        <f t="shared" si="50"/>
        <v>80</v>
      </c>
      <c r="I376">
        <f t="shared" si="43"/>
        <v>0</v>
      </c>
      <c r="N376" s="59">
        <f t="shared" si="44"/>
        <v>0</v>
      </c>
      <c r="O376" s="59">
        <f t="shared" si="45"/>
        <v>0</v>
      </c>
      <c r="T376">
        <f t="shared" si="46"/>
        <v>0</v>
      </c>
      <c r="Y376">
        <f t="shared" si="48"/>
        <v>0</v>
      </c>
      <c r="Z376">
        <f t="shared" si="49"/>
        <v>0</v>
      </c>
    </row>
    <row r="377" spans="2:26">
      <c r="B377" t="str">
        <f t="shared" si="47"/>
        <v>BLUE</v>
      </c>
      <c r="C377" s="6">
        <f t="shared" si="50"/>
        <v>81</v>
      </c>
      <c r="I377">
        <f t="shared" si="43"/>
        <v>0</v>
      </c>
      <c r="N377" s="59">
        <f t="shared" si="44"/>
        <v>0</v>
      </c>
      <c r="O377" s="59">
        <f t="shared" si="45"/>
        <v>0</v>
      </c>
      <c r="T377">
        <f t="shared" si="46"/>
        <v>0</v>
      </c>
      <c r="Y377">
        <f t="shared" si="48"/>
        <v>0</v>
      </c>
      <c r="Z377">
        <f t="shared" si="49"/>
        <v>0</v>
      </c>
    </row>
    <row r="378" spans="2:26">
      <c r="B378" t="str">
        <f t="shared" si="47"/>
        <v>BLUE</v>
      </c>
      <c r="C378" s="6">
        <f t="shared" si="50"/>
        <v>82</v>
      </c>
      <c r="I378">
        <f t="shared" si="43"/>
        <v>0</v>
      </c>
      <c r="N378" s="59">
        <f t="shared" si="44"/>
        <v>0</v>
      </c>
      <c r="O378" s="59">
        <f t="shared" si="45"/>
        <v>0</v>
      </c>
      <c r="T378">
        <f t="shared" si="46"/>
        <v>0</v>
      </c>
      <c r="Y378">
        <f t="shared" si="48"/>
        <v>0</v>
      </c>
      <c r="Z378">
        <f t="shared" si="49"/>
        <v>0</v>
      </c>
    </row>
    <row r="379" spans="2:26">
      <c r="B379" t="str">
        <f t="shared" si="47"/>
        <v>BLUE</v>
      </c>
      <c r="C379" s="6">
        <f t="shared" si="50"/>
        <v>83</v>
      </c>
      <c r="I379">
        <f t="shared" si="43"/>
        <v>0</v>
      </c>
      <c r="N379" s="59">
        <f t="shared" si="44"/>
        <v>0</v>
      </c>
      <c r="O379" s="59">
        <f t="shared" si="45"/>
        <v>0</v>
      </c>
      <c r="T379">
        <f t="shared" si="46"/>
        <v>0</v>
      </c>
      <c r="Y379">
        <f t="shared" si="48"/>
        <v>0</v>
      </c>
      <c r="Z379">
        <f t="shared" si="49"/>
        <v>0</v>
      </c>
    </row>
    <row r="380" spans="2:26">
      <c r="B380" t="str">
        <f t="shared" si="47"/>
        <v>BLUE</v>
      </c>
      <c r="C380" s="6">
        <f t="shared" si="50"/>
        <v>84</v>
      </c>
      <c r="I380">
        <f t="shared" si="43"/>
        <v>0</v>
      </c>
      <c r="N380" s="59">
        <f t="shared" si="44"/>
        <v>0</v>
      </c>
      <c r="O380" s="59">
        <f t="shared" si="45"/>
        <v>0</v>
      </c>
      <c r="T380">
        <f t="shared" si="46"/>
        <v>0</v>
      </c>
      <c r="Y380">
        <f t="shared" si="48"/>
        <v>0</v>
      </c>
      <c r="Z380">
        <f t="shared" si="49"/>
        <v>0</v>
      </c>
    </row>
    <row r="381" spans="2:26">
      <c r="B381" t="str">
        <f t="shared" si="47"/>
        <v>BLUE</v>
      </c>
      <c r="C381" s="6">
        <f t="shared" si="50"/>
        <v>85</v>
      </c>
      <c r="I381">
        <f t="shared" si="43"/>
        <v>0</v>
      </c>
      <c r="N381" s="59">
        <f t="shared" si="44"/>
        <v>0</v>
      </c>
      <c r="O381" s="59">
        <f t="shared" si="45"/>
        <v>0</v>
      </c>
      <c r="T381">
        <f t="shared" si="46"/>
        <v>0</v>
      </c>
      <c r="Y381">
        <f t="shared" si="48"/>
        <v>0</v>
      </c>
      <c r="Z381">
        <f t="shared" si="49"/>
        <v>0</v>
      </c>
    </row>
    <row r="382" spans="2:26">
      <c r="B382" t="str">
        <f t="shared" si="47"/>
        <v>BLUE</v>
      </c>
      <c r="C382" s="6">
        <f t="shared" si="50"/>
        <v>86</v>
      </c>
      <c r="I382">
        <f t="shared" ref="I382:I445" si="51">SUM($E382:$H382)</f>
        <v>0</v>
      </c>
      <c r="N382" s="59">
        <f t="shared" ref="N382:N445" si="52">SUM($J382:$M382)</f>
        <v>0</v>
      </c>
      <c r="O382" s="59">
        <f t="shared" ref="O382:O445" si="53">SUM($I382, $N382)</f>
        <v>0</v>
      </c>
      <c r="T382">
        <f t="shared" ref="T382:T445" si="54">SUM($P382:$S382)</f>
        <v>0</v>
      </c>
      <c r="Y382">
        <f t="shared" si="48"/>
        <v>0</v>
      </c>
      <c r="Z382">
        <f t="shared" si="49"/>
        <v>0</v>
      </c>
    </row>
    <row r="383" spans="2:26">
      <c r="B383" t="str">
        <f t="shared" si="47"/>
        <v>BLUE</v>
      </c>
      <c r="C383" s="6">
        <f t="shared" si="50"/>
        <v>87</v>
      </c>
      <c r="I383">
        <f t="shared" si="51"/>
        <v>0</v>
      </c>
      <c r="N383" s="59">
        <f t="shared" si="52"/>
        <v>0</v>
      </c>
      <c r="O383" s="59">
        <f t="shared" si="53"/>
        <v>0</v>
      </c>
      <c r="T383">
        <f t="shared" si="54"/>
        <v>0</v>
      </c>
      <c r="Y383">
        <f t="shared" si="48"/>
        <v>0</v>
      </c>
      <c r="Z383">
        <f t="shared" si="49"/>
        <v>0</v>
      </c>
    </row>
    <row r="384" spans="2:26">
      <c r="B384" t="str">
        <f t="shared" si="47"/>
        <v>BLUE</v>
      </c>
      <c r="C384" s="6">
        <f t="shared" si="50"/>
        <v>88</v>
      </c>
      <c r="I384">
        <f t="shared" si="51"/>
        <v>0</v>
      </c>
      <c r="N384" s="59">
        <f t="shared" si="52"/>
        <v>0</v>
      </c>
      <c r="O384" s="59">
        <f t="shared" si="53"/>
        <v>0</v>
      </c>
      <c r="T384">
        <f t="shared" si="54"/>
        <v>0</v>
      </c>
      <c r="Y384">
        <f t="shared" si="48"/>
        <v>0</v>
      </c>
      <c r="Z384">
        <f t="shared" si="49"/>
        <v>0</v>
      </c>
    </row>
    <row r="385" spans="2:26">
      <c r="B385" t="str">
        <f t="shared" si="47"/>
        <v>BLUE</v>
      </c>
      <c r="C385" s="6">
        <f t="shared" si="50"/>
        <v>89</v>
      </c>
      <c r="I385">
        <f t="shared" si="51"/>
        <v>0</v>
      </c>
      <c r="N385" s="59">
        <f t="shared" si="52"/>
        <v>0</v>
      </c>
      <c r="O385" s="59">
        <f t="shared" si="53"/>
        <v>0</v>
      </c>
      <c r="T385">
        <f t="shared" si="54"/>
        <v>0</v>
      </c>
      <c r="Y385">
        <f t="shared" si="48"/>
        <v>0</v>
      </c>
      <c r="Z385">
        <f t="shared" si="49"/>
        <v>0</v>
      </c>
    </row>
    <row r="386" spans="2:26">
      <c r="B386" t="str">
        <f t="shared" si="47"/>
        <v>BLUE</v>
      </c>
      <c r="C386" s="6">
        <f t="shared" si="50"/>
        <v>90</v>
      </c>
      <c r="I386">
        <f t="shared" si="51"/>
        <v>0</v>
      </c>
      <c r="N386" s="59">
        <f t="shared" si="52"/>
        <v>0</v>
      </c>
      <c r="O386" s="59">
        <f t="shared" si="53"/>
        <v>0</v>
      </c>
      <c r="T386">
        <f t="shared" si="54"/>
        <v>0</v>
      </c>
      <c r="Y386">
        <f t="shared" si="48"/>
        <v>0</v>
      </c>
      <c r="Z386">
        <f t="shared" si="49"/>
        <v>0</v>
      </c>
    </row>
    <row r="387" spans="2:26">
      <c r="B387" t="str">
        <f t="shared" si="47"/>
        <v>BLUE</v>
      </c>
      <c r="C387" s="6">
        <f t="shared" si="50"/>
        <v>91</v>
      </c>
      <c r="I387">
        <f t="shared" si="51"/>
        <v>0</v>
      </c>
      <c r="N387" s="59">
        <f t="shared" si="52"/>
        <v>0</v>
      </c>
      <c r="O387" s="59">
        <f t="shared" si="53"/>
        <v>0</v>
      </c>
      <c r="T387">
        <f t="shared" si="54"/>
        <v>0</v>
      </c>
      <c r="Y387">
        <f t="shared" si="48"/>
        <v>0</v>
      </c>
      <c r="Z387">
        <f t="shared" si="49"/>
        <v>0</v>
      </c>
    </row>
    <row r="388" spans="2:26">
      <c r="B388" t="str">
        <f t="shared" si="47"/>
        <v>BLUE</v>
      </c>
      <c r="C388" s="6">
        <f t="shared" si="50"/>
        <v>92</v>
      </c>
      <c r="I388">
        <f t="shared" si="51"/>
        <v>0</v>
      </c>
      <c r="N388" s="59">
        <f t="shared" si="52"/>
        <v>0</v>
      </c>
      <c r="O388" s="59">
        <f t="shared" si="53"/>
        <v>0</v>
      </c>
      <c r="T388">
        <f t="shared" si="54"/>
        <v>0</v>
      </c>
      <c r="Y388">
        <f t="shared" si="48"/>
        <v>0</v>
      </c>
      <c r="Z388">
        <f t="shared" si="49"/>
        <v>0</v>
      </c>
    </row>
    <row r="389" spans="2:26">
      <c r="B389" t="str">
        <f t="shared" si="47"/>
        <v>BLUE</v>
      </c>
      <c r="C389" s="6">
        <f t="shared" si="50"/>
        <v>93</v>
      </c>
      <c r="I389">
        <f t="shared" si="51"/>
        <v>0</v>
      </c>
      <c r="N389" s="59">
        <f t="shared" si="52"/>
        <v>0</v>
      </c>
      <c r="O389" s="59">
        <f t="shared" si="53"/>
        <v>0</v>
      </c>
      <c r="T389">
        <f t="shared" si="54"/>
        <v>0</v>
      </c>
      <c r="Y389">
        <f t="shared" si="48"/>
        <v>0</v>
      </c>
      <c r="Z389">
        <f t="shared" si="49"/>
        <v>0</v>
      </c>
    </row>
    <row r="390" spans="2:26">
      <c r="B390" t="str">
        <f t="shared" si="47"/>
        <v>BLUE</v>
      </c>
      <c r="C390" s="6">
        <f t="shared" si="50"/>
        <v>94</v>
      </c>
      <c r="I390">
        <f t="shared" si="51"/>
        <v>0</v>
      </c>
      <c r="N390" s="59">
        <f t="shared" si="52"/>
        <v>0</v>
      </c>
      <c r="O390" s="59">
        <f t="shared" si="53"/>
        <v>0</v>
      </c>
      <c r="T390">
        <f t="shared" si="54"/>
        <v>0</v>
      </c>
      <c r="Y390">
        <f t="shared" si="48"/>
        <v>0</v>
      </c>
      <c r="Z390">
        <f t="shared" si="49"/>
        <v>0</v>
      </c>
    </row>
    <row r="391" spans="2:26">
      <c r="B391" t="str">
        <f t="shared" si="47"/>
        <v>BLUE</v>
      </c>
      <c r="C391" s="6">
        <f t="shared" si="50"/>
        <v>95</v>
      </c>
      <c r="I391">
        <f t="shared" si="51"/>
        <v>0</v>
      </c>
      <c r="N391" s="59">
        <f t="shared" si="52"/>
        <v>0</v>
      </c>
      <c r="O391" s="59">
        <f t="shared" si="53"/>
        <v>0</v>
      </c>
      <c r="T391">
        <f t="shared" si="54"/>
        <v>0</v>
      </c>
      <c r="Y391">
        <f t="shared" si="48"/>
        <v>0</v>
      </c>
      <c r="Z391">
        <f t="shared" si="49"/>
        <v>0</v>
      </c>
    </row>
    <row r="392" spans="2:26">
      <c r="B392" t="str">
        <f t="shared" si="47"/>
        <v>BLUE</v>
      </c>
      <c r="C392" s="6">
        <f t="shared" si="50"/>
        <v>96</v>
      </c>
      <c r="I392">
        <f t="shared" si="51"/>
        <v>0</v>
      </c>
      <c r="N392" s="59">
        <f t="shared" si="52"/>
        <v>0</v>
      </c>
      <c r="O392" s="59">
        <f t="shared" si="53"/>
        <v>0</v>
      </c>
      <c r="T392">
        <f t="shared" si="54"/>
        <v>0</v>
      </c>
      <c r="Y392">
        <f t="shared" si="48"/>
        <v>0</v>
      </c>
      <c r="Z392">
        <f t="shared" si="49"/>
        <v>0</v>
      </c>
    </row>
    <row r="393" spans="2:26">
      <c r="B393" t="str">
        <f t="shared" si="47"/>
        <v>BLUE</v>
      </c>
      <c r="C393" s="6">
        <f t="shared" si="50"/>
        <v>97</v>
      </c>
      <c r="I393">
        <f t="shared" si="51"/>
        <v>0</v>
      </c>
      <c r="N393" s="59">
        <f t="shared" si="52"/>
        <v>0</v>
      </c>
      <c r="O393" s="59">
        <f t="shared" si="53"/>
        <v>0</v>
      </c>
      <c r="T393">
        <f t="shared" si="54"/>
        <v>0</v>
      </c>
      <c r="Y393">
        <f t="shared" si="48"/>
        <v>0</v>
      </c>
      <c r="Z393">
        <f t="shared" si="49"/>
        <v>0</v>
      </c>
    </row>
    <row r="394" spans="2:26">
      <c r="B394" t="str">
        <f t="shared" si="47"/>
        <v>BLUE</v>
      </c>
      <c r="C394" s="6">
        <f t="shared" si="50"/>
        <v>98</v>
      </c>
      <c r="I394">
        <f t="shared" si="51"/>
        <v>0</v>
      </c>
      <c r="N394" s="59">
        <f t="shared" si="52"/>
        <v>0</v>
      </c>
      <c r="O394" s="59">
        <f t="shared" si="53"/>
        <v>0</v>
      </c>
      <c r="T394">
        <f t="shared" si="54"/>
        <v>0</v>
      </c>
      <c r="Y394">
        <f t="shared" si="48"/>
        <v>0</v>
      </c>
      <c r="Z394">
        <f t="shared" si="49"/>
        <v>0</v>
      </c>
    </row>
    <row r="395" spans="2:26">
      <c r="B395" t="str">
        <f t="shared" si="47"/>
        <v>BLUE</v>
      </c>
      <c r="C395" s="6">
        <f t="shared" si="50"/>
        <v>99</v>
      </c>
      <c r="I395">
        <f t="shared" si="51"/>
        <v>0</v>
      </c>
      <c r="N395" s="59">
        <f t="shared" si="52"/>
        <v>0</v>
      </c>
      <c r="O395" s="59">
        <f t="shared" si="53"/>
        <v>0</v>
      </c>
      <c r="T395">
        <f t="shared" si="54"/>
        <v>0</v>
      </c>
      <c r="Y395">
        <f t="shared" si="48"/>
        <v>0</v>
      </c>
      <c r="Z395">
        <f t="shared" si="49"/>
        <v>0</v>
      </c>
    </row>
    <row r="396" spans="2:26">
      <c r="B396" t="str">
        <f t="shared" si="47"/>
        <v>BLUE</v>
      </c>
      <c r="C396" s="6">
        <f t="shared" si="50"/>
        <v>100</v>
      </c>
      <c r="I396">
        <f t="shared" si="51"/>
        <v>0</v>
      </c>
      <c r="N396" s="59">
        <f t="shared" si="52"/>
        <v>0</v>
      </c>
      <c r="O396" s="59">
        <f t="shared" si="53"/>
        <v>0</v>
      </c>
      <c r="T396">
        <f t="shared" si="54"/>
        <v>0</v>
      </c>
      <c r="Y396">
        <f t="shared" si="48"/>
        <v>0</v>
      </c>
      <c r="Z396">
        <f t="shared" si="49"/>
        <v>0</v>
      </c>
    </row>
    <row r="397" spans="2:26">
      <c r="B397" t="str">
        <f t="shared" si="47"/>
        <v>BLUE</v>
      </c>
      <c r="C397" s="6">
        <f t="shared" si="50"/>
        <v>101</v>
      </c>
      <c r="I397">
        <f t="shared" si="51"/>
        <v>0</v>
      </c>
      <c r="N397" s="59">
        <f t="shared" si="52"/>
        <v>0</v>
      </c>
      <c r="O397" s="59">
        <f t="shared" si="53"/>
        <v>0</v>
      </c>
      <c r="T397">
        <f t="shared" si="54"/>
        <v>0</v>
      </c>
      <c r="Y397">
        <f t="shared" si="48"/>
        <v>0</v>
      </c>
      <c r="Z397">
        <f t="shared" si="49"/>
        <v>0</v>
      </c>
    </row>
    <row r="398" spans="2:26">
      <c r="B398" t="str">
        <f t="shared" si="47"/>
        <v>BLUE</v>
      </c>
      <c r="C398" s="6">
        <f t="shared" si="50"/>
        <v>102</v>
      </c>
      <c r="I398">
        <f t="shared" si="51"/>
        <v>0</v>
      </c>
      <c r="N398" s="59">
        <f t="shared" si="52"/>
        <v>0</v>
      </c>
      <c r="O398" s="59">
        <f t="shared" si="53"/>
        <v>0</v>
      </c>
      <c r="T398">
        <f t="shared" si="54"/>
        <v>0</v>
      </c>
      <c r="Y398">
        <f t="shared" si="48"/>
        <v>0</v>
      </c>
      <c r="Z398">
        <f t="shared" si="49"/>
        <v>0</v>
      </c>
    </row>
    <row r="399" spans="2:26">
      <c r="B399" t="str">
        <f t="shared" si="47"/>
        <v>BLUE</v>
      </c>
      <c r="C399" s="6">
        <f t="shared" si="50"/>
        <v>103</v>
      </c>
      <c r="I399">
        <f t="shared" si="51"/>
        <v>0</v>
      </c>
      <c r="N399" s="59">
        <f t="shared" si="52"/>
        <v>0</v>
      </c>
      <c r="O399" s="59">
        <f t="shared" si="53"/>
        <v>0</v>
      </c>
      <c r="T399">
        <f t="shared" si="54"/>
        <v>0</v>
      </c>
      <c r="Y399">
        <f t="shared" si="48"/>
        <v>0</v>
      </c>
      <c r="Z399">
        <f t="shared" si="49"/>
        <v>0</v>
      </c>
    </row>
    <row r="400" spans="2:26">
      <c r="B400" t="str">
        <f t="shared" si="47"/>
        <v>BLUE</v>
      </c>
      <c r="C400" s="6">
        <f t="shared" si="50"/>
        <v>104</v>
      </c>
      <c r="I400">
        <f t="shared" si="51"/>
        <v>0</v>
      </c>
      <c r="N400" s="59">
        <f t="shared" si="52"/>
        <v>0</v>
      </c>
      <c r="O400" s="59">
        <f t="shared" si="53"/>
        <v>0</v>
      </c>
      <c r="T400">
        <f t="shared" si="54"/>
        <v>0</v>
      </c>
      <c r="Y400">
        <f t="shared" si="48"/>
        <v>0</v>
      </c>
      <c r="Z400">
        <f t="shared" si="49"/>
        <v>0</v>
      </c>
    </row>
    <row r="401" spans="2:26">
      <c r="B401" t="str">
        <f t="shared" si="47"/>
        <v>BLUE</v>
      </c>
      <c r="C401" s="6">
        <f t="shared" si="50"/>
        <v>105</v>
      </c>
      <c r="I401">
        <f t="shared" si="51"/>
        <v>0</v>
      </c>
      <c r="N401" s="59">
        <f t="shared" si="52"/>
        <v>0</v>
      </c>
      <c r="O401" s="59">
        <f t="shared" si="53"/>
        <v>0</v>
      </c>
      <c r="T401">
        <f t="shared" si="54"/>
        <v>0</v>
      </c>
      <c r="Y401">
        <f t="shared" si="48"/>
        <v>0</v>
      </c>
      <c r="Z401">
        <f t="shared" si="49"/>
        <v>0</v>
      </c>
    </row>
    <row r="402" spans="2:26">
      <c r="B402" t="str">
        <f t="shared" si="47"/>
        <v>BLUE</v>
      </c>
      <c r="C402" s="6">
        <f t="shared" si="50"/>
        <v>106</v>
      </c>
      <c r="I402">
        <f t="shared" si="51"/>
        <v>0</v>
      </c>
      <c r="N402" s="59">
        <f t="shared" si="52"/>
        <v>0</v>
      </c>
      <c r="O402" s="59">
        <f t="shared" si="53"/>
        <v>0</v>
      </c>
      <c r="T402">
        <f t="shared" si="54"/>
        <v>0</v>
      </c>
      <c r="Y402">
        <f t="shared" si="48"/>
        <v>0</v>
      </c>
      <c r="Z402">
        <f t="shared" si="49"/>
        <v>0</v>
      </c>
    </row>
    <row r="403" spans="2:26">
      <c r="B403" t="str">
        <f t="shared" ref="B403:B466" si="55">B402</f>
        <v>BLUE</v>
      </c>
      <c r="C403" s="6">
        <f t="shared" si="50"/>
        <v>107</v>
      </c>
      <c r="I403">
        <f t="shared" si="51"/>
        <v>0</v>
      </c>
      <c r="N403" s="59">
        <f t="shared" si="52"/>
        <v>0</v>
      </c>
      <c r="O403" s="59">
        <f t="shared" si="53"/>
        <v>0</v>
      </c>
      <c r="T403">
        <f t="shared" si="54"/>
        <v>0</v>
      </c>
      <c r="Y403">
        <f t="shared" si="48"/>
        <v>0</v>
      </c>
      <c r="Z403">
        <f t="shared" si="49"/>
        <v>0</v>
      </c>
    </row>
    <row r="404" spans="2:26">
      <c r="B404" t="str">
        <f t="shared" si="55"/>
        <v>BLUE</v>
      </c>
      <c r="C404" s="6">
        <f t="shared" si="50"/>
        <v>108</v>
      </c>
      <c r="I404">
        <f t="shared" si="51"/>
        <v>0</v>
      </c>
      <c r="N404" s="59">
        <f t="shared" si="52"/>
        <v>0</v>
      </c>
      <c r="O404" s="59">
        <f t="shared" si="53"/>
        <v>0</v>
      </c>
      <c r="T404">
        <f t="shared" si="54"/>
        <v>0</v>
      </c>
      <c r="Y404">
        <f t="shared" si="48"/>
        <v>0</v>
      </c>
      <c r="Z404">
        <f t="shared" si="49"/>
        <v>0</v>
      </c>
    </row>
    <row r="405" spans="2:26">
      <c r="B405" t="str">
        <f t="shared" si="55"/>
        <v>BLUE</v>
      </c>
      <c r="C405" s="6">
        <f t="shared" si="50"/>
        <v>109</v>
      </c>
      <c r="I405">
        <f t="shared" si="51"/>
        <v>0</v>
      </c>
      <c r="N405" s="59">
        <f t="shared" si="52"/>
        <v>0</v>
      </c>
      <c r="O405" s="59">
        <f t="shared" si="53"/>
        <v>0</v>
      </c>
      <c r="T405">
        <f t="shared" si="54"/>
        <v>0</v>
      </c>
      <c r="Y405">
        <f t="shared" si="48"/>
        <v>0</v>
      </c>
      <c r="Z405">
        <f t="shared" si="49"/>
        <v>0</v>
      </c>
    </row>
    <row r="406" spans="2:26">
      <c r="B406" t="str">
        <f t="shared" si="55"/>
        <v>BLUE</v>
      </c>
      <c r="C406" s="6">
        <f t="shared" si="50"/>
        <v>110</v>
      </c>
      <c r="I406">
        <f t="shared" si="51"/>
        <v>0</v>
      </c>
      <c r="N406" s="59">
        <f t="shared" si="52"/>
        <v>0</v>
      </c>
      <c r="O406" s="59">
        <f t="shared" si="53"/>
        <v>0</v>
      </c>
      <c r="T406">
        <f t="shared" si="54"/>
        <v>0</v>
      </c>
      <c r="Y406">
        <f t="shared" si="48"/>
        <v>0</v>
      </c>
      <c r="Z406">
        <f t="shared" si="49"/>
        <v>0</v>
      </c>
    </row>
    <row r="407" spans="2:26">
      <c r="B407" t="str">
        <f t="shared" si="55"/>
        <v>BLUE</v>
      </c>
      <c r="C407" s="6">
        <f t="shared" si="50"/>
        <v>111</v>
      </c>
      <c r="I407">
        <f t="shared" si="51"/>
        <v>0</v>
      </c>
      <c r="N407" s="59">
        <f t="shared" si="52"/>
        <v>0</v>
      </c>
      <c r="O407" s="59">
        <f t="shared" si="53"/>
        <v>0</v>
      </c>
      <c r="T407">
        <f t="shared" si="54"/>
        <v>0</v>
      </c>
      <c r="Y407">
        <f t="shared" si="48"/>
        <v>0</v>
      </c>
      <c r="Z407">
        <f t="shared" si="49"/>
        <v>0</v>
      </c>
    </row>
    <row r="408" spans="2:26">
      <c r="B408" t="str">
        <f t="shared" si="55"/>
        <v>BLUE</v>
      </c>
      <c r="C408" s="6">
        <f t="shared" si="50"/>
        <v>112</v>
      </c>
      <c r="I408">
        <f t="shared" si="51"/>
        <v>0</v>
      </c>
      <c r="N408" s="59">
        <f t="shared" si="52"/>
        <v>0</v>
      </c>
      <c r="O408" s="59">
        <f t="shared" si="53"/>
        <v>0</v>
      </c>
      <c r="T408">
        <f t="shared" si="54"/>
        <v>0</v>
      </c>
      <c r="Y408">
        <f t="shared" si="48"/>
        <v>0</v>
      </c>
      <c r="Z408">
        <f t="shared" si="49"/>
        <v>0</v>
      </c>
    </row>
    <row r="409" spans="2:26">
      <c r="B409" t="str">
        <f t="shared" si="55"/>
        <v>BLUE</v>
      </c>
      <c r="C409" s="6">
        <f t="shared" si="50"/>
        <v>113</v>
      </c>
      <c r="I409">
        <f t="shared" si="51"/>
        <v>0</v>
      </c>
      <c r="N409" s="59">
        <f t="shared" si="52"/>
        <v>0</v>
      </c>
      <c r="O409" s="59">
        <f t="shared" si="53"/>
        <v>0</v>
      </c>
      <c r="T409">
        <f t="shared" si="54"/>
        <v>0</v>
      </c>
      <c r="Y409">
        <f t="shared" si="48"/>
        <v>0</v>
      </c>
      <c r="Z409">
        <f t="shared" si="49"/>
        <v>0</v>
      </c>
    </row>
    <row r="410" spans="2:26">
      <c r="B410" t="str">
        <f t="shared" si="55"/>
        <v>BLUE</v>
      </c>
      <c r="C410" s="6">
        <f t="shared" si="50"/>
        <v>114</v>
      </c>
      <c r="I410">
        <f t="shared" si="51"/>
        <v>0</v>
      </c>
      <c r="N410" s="59">
        <f t="shared" si="52"/>
        <v>0</v>
      </c>
      <c r="O410" s="59">
        <f t="shared" si="53"/>
        <v>0</v>
      </c>
      <c r="T410">
        <f t="shared" si="54"/>
        <v>0</v>
      </c>
      <c r="Y410">
        <f t="shared" si="48"/>
        <v>0</v>
      </c>
      <c r="Z410">
        <f t="shared" si="49"/>
        <v>0</v>
      </c>
    </row>
    <row r="411" spans="2:26">
      <c r="B411" t="str">
        <f t="shared" si="55"/>
        <v>BLUE</v>
      </c>
      <c r="C411" s="6">
        <f t="shared" si="50"/>
        <v>115</v>
      </c>
      <c r="I411">
        <f t="shared" si="51"/>
        <v>0</v>
      </c>
      <c r="N411" s="59">
        <f t="shared" si="52"/>
        <v>0</v>
      </c>
      <c r="O411" s="59">
        <f t="shared" si="53"/>
        <v>0</v>
      </c>
      <c r="T411">
        <f t="shared" si="54"/>
        <v>0</v>
      </c>
      <c r="Y411">
        <f t="shared" si="48"/>
        <v>0</v>
      </c>
      <c r="Z411">
        <f t="shared" si="49"/>
        <v>0</v>
      </c>
    </row>
    <row r="412" spans="2:26">
      <c r="B412" t="str">
        <f t="shared" si="55"/>
        <v>BLUE</v>
      </c>
      <c r="C412" s="6">
        <f t="shared" si="50"/>
        <v>116</v>
      </c>
      <c r="I412">
        <f t="shared" si="51"/>
        <v>0</v>
      </c>
      <c r="N412" s="59">
        <f t="shared" si="52"/>
        <v>0</v>
      </c>
      <c r="O412" s="59">
        <f t="shared" si="53"/>
        <v>0</v>
      </c>
      <c r="T412">
        <f t="shared" si="54"/>
        <v>0</v>
      </c>
      <c r="Y412">
        <f t="shared" si="48"/>
        <v>0</v>
      </c>
      <c r="Z412">
        <f t="shared" si="49"/>
        <v>0</v>
      </c>
    </row>
    <row r="413" spans="2:26">
      <c r="B413" t="str">
        <f t="shared" si="55"/>
        <v>BLUE</v>
      </c>
      <c r="C413" s="6">
        <f t="shared" si="50"/>
        <v>117</v>
      </c>
      <c r="I413">
        <f t="shared" si="51"/>
        <v>0</v>
      </c>
      <c r="N413" s="59">
        <f t="shared" si="52"/>
        <v>0</v>
      </c>
      <c r="O413" s="59">
        <f t="shared" si="53"/>
        <v>0</v>
      </c>
      <c r="T413">
        <f t="shared" si="54"/>
        <v>0</v>
      </c>
      <c r="Y413">
        <f t="shared" si="48"/>
        <v>0</v>
      </c>
      <c r="Z413">
        <f t="shared" si="49"/>
        <v>0</v>
      </c>
    </row>
    <row r="414" spans="2:26">
      <c r="B414" t="str">
        <f t="shared" si="55"/>
        <v>BLUE</v>
      </c>
      <c r="C414" s="6">
        <f t="shared" si="50"/>
        <v>118</v>
      </c>
      <c r="I414">
        <f t="shared" si="51"/>
        <v>0</v>
      </c>
      <c r="N414" s="59">
        <f t="shared" si="52"/>
        <v>0</v>
      </c>
      <c r="O414" s="59">
        <f t="shared" si="53"/>
        <v>0</v>
      </c>
      <c r="T414">
        <f t="shared" si="54"/>
        <v>0</v>
      </c>
      <c r="Y414">
        <f t="shared" si="48"/>
        <v>0</v>
      </c>
      <c r="Z414">
        <f t="shared" si="49"/>
        <v>0</v>
      </c>
    </row>
    <row r="415" spans="2:26">
      <c r="B415" t="str">
        <f t="shared" si="55"/>
        <v>BLUE</v>
      </c>
      <c r="C415" s="6">
        <f t="shared" si="50"/>
        <v>119</v>
      </c>
      <c r="I415">
        <f t="shared" si="51"/>
        <v>0</v>
      </c>
      <c r="N415" s="59">
        <f t="shared" si="52"/>
        <v>0</v>
      </c>
      <c r="O415" s="59">
        <f t="shared" si="53"/>
        <v>0</v>
      </c>
      <c r="T415">
        <f t="shared" si="54"/>
        <v>0</v>
      </c>
      <c r="Y415">
        <f t="shared" si="48"/>
        <v>0</v>
      </c>
      <c r="Z415">
        <f t="shared" si="49"/>
        <v>0</v>
      </c>
    </row>
    <row r="416" spans="2:26">
      <c r="B416" t="str">
        <f t="shared" si="55"/>
        <v>BLUE</v>
      </c>
      <c r="C416" s="6">
        <f t="shared" si="50"/>
        <v>120</v>
      </c>
      <c r="I416">
        <f t="shared" si="51"/>
        <v>0</v>
      </c>
      <c r="N416" s="59">
        <f t="shared" si="52"/>
        <v>0</v>
      </c>
      <c r="O416" s="59">
        <f t="shared" si="53"/>
        <v>0</v>
      </c>
      <c r="T416">
        <f t="shared" si="54"/>
        <v>0</v>
      </c>
      <c r="Y416">
        <f t="shared" si="48"/>
        <v>0</v>
      </c>
      <c r="Z416">
        <f t="shared" si="49"/>
        <v>0</v>
      </c>
    </row>
    <row r="417" spans="2:26">
      <c r="B417" t="str">
        <f t="shared" si="55"/>
        <v>BLUE</v>
      </c>
      <c r="C417" s="6">
        <f t="shared" si="50"/>
        <v>121</v>
      </c>
      <c r="I417">
        <f t="shared" si="51"/>
        <v>0</v>
      </c>
      <c r="N417" s="59">
        <f t="shared" si="52"/>
        <v>0</v>
      </c>
      <c r="O417" s="59">
        <f t="shared" si="53"/>
        <v>0</v>
      </c>
      <c r="T417">
        <f t="shared" si="54"/>
        <v>0</v>
      </c>
      <c r="Y417">
        <f t="shared" si="48"/>
        <v>0</v>
      </c>
      <c r="Z417">
        <f t="shared" si="49"/>
        <v>0</v>
      </c>
    </row>
    <row r="418" spans="2:26">
      <c r="B418" t="str">
        <f t="shared" si="55"/>
        <v>BLUE</v>
      </c>
      <c r="C418" s="6">
        <f t="shared" si="50"/>
        <v>122</v>
      </c>
      <c r="I418">
        <f t="shared" si="51"/>
        <v>0</v>
      </c>
      <c r="N418" s="59">
        <f t="shared" si="52"/>
        <v>0</v>
      </c>
      <c r="O418" s="59">
        <f t="shared" si="53"/>
        <v>0</v>
      </c>
      <c r="T418">
        <f t="shared" si="54"/>
        <v>0</v>
      </c>
      <c r="Y418">
        <f t="shared" si="48"/>
        <v>0</v>
      </c>
      <c r="Z418">
        <f t="shared" si="49"/>
        <v>0</v>
      </c>
    </row>
    <row r="419" spans="2:26">
      <c r="B419" t="str">
        <f t="shared" si="55"/>
        <v>BLUE</v>
      </c>
      <c r="C419" s="6">
        <f t="shared" si="50"/>
        <v>123</v>
      </c>
      <c r="I419">
        <f t="shared" si="51"/>
        <v>0</v>
      </c>
      <c r="N419" s="59">
        <f t="shared" si="52"/>
        <v>0</v>
      </c>
      <c r="O419" s="59">
        <f t="shared" si="53"/>
        <v>0</v>
      </c>
      <c r="T419">
        <f t="shared" si="54"/>
        <v>0</v>
      </c>
      <c r="Y419">
        <f t="shared" si="48"/>
        <v>0</v>
      </c>
      <c r="Z419">
        <f t="shared" si="49"/>
        <v>0</v>
      </c>
    </row>
    <row r="420" spans="2:26">
      <c r="B420" t="str">
        <f t="shared" si="55"/>
        <v>BLUE</v>
      </c>
      <c r="C420" s="6">
        <f t="shared" si="50"/>
        <v>124</v>
      </c>
      <c r="I420">
        <f t="shared" si="51"/>
        <v>0</v>
      </c>
      <c r="N420" s="59">
        <f t="shared" si="52"/>
        <v>0</v>
      </c>
      <c r="O420" s="59">
        <f t="shared" si="53"/>
        <v>0</v>
      </c>
      <c r="T420">
        <f t="shared" si="54"/>
        <v>0</v>
      </c>
      <c r="Y420">
        <f t="shared" si="48"/>
        <v>0</v>
      </c>
      <c r="Z420">
        <f t="shared" si="49"/>
        <v>0</v>
      </c>
    </row>
    <row r="421" spans="2:26">
      <c r="B421" t="str">
        <f t="shared" si="55"/>
        <v>BLUE</v>
      </c>
      <c r="C421" s="6">
        <f t="shared" si="50"/>
        <v>125</v>
      </c>
      <c r="I421">
        <f t="shared" si="51"/>
        <v>0</v>
      </c>
      <c r="N421" s="59">
        <f t="shared" si="52"/>
        <v>0</v>
      </c>
      <c r="O421" s="59">
        <f t="shared" si="53"/>
        <v>0</v>
      </c>
      <c r="T421">
        <f t="shared" si="54"/>
        <v>0</v>
      </c>
      <c r="Y421">
        <f t="shared" si="48"/>
        <v>0</v>
      </c>
      <c r="Z421">
        <f t="shared" si="49"/>
        <v>0</v>
      </c>
    </row>
    <row r="422" spans="2:26">
      <c r="B422" t="str">
        <f t="shared" si="55"/>
        <v>BLUE</v>
      </c>
      <c r="C422" s="6">
        <f t="shared" si="50"/>
        <v>126</v>
      </c>
      <c r="I422">
        <f t="shared" si="51"/>
        <v>0</v>
      </c>
      <c r="N422" s="59">
        <f t="shared" si="52"/>
        <v>0</v>
      </c>
      <c r="O422" s="59">
        <f t="shared" si="53"/>
        <v>0</v>
      </c>
      <c r="T422">
        <f t="shared" si="54"/>
        <v>0</v>
      </c>
      <c r="Y422">
        <f t="shared" si="48"/>
        <v>0</v>
      </c>
      <c r="Z422">
        <f t="shared" si="49"/>
        <v>0</v>
      </c>
    </row>
    <row r="423" spans="2:26">
      <c r="B423" t="str">
        <f t="shared" si="55"/>
        <v>BLUE</v>
      </c>
      <c r="C423" s="6">
        <f t="shared" si="50"/>
        <v>127</v>
      </c>
      <c r="I423">
        <f t="shared" si="51"/>
        <v>0</v>
      </c>
      <c r="N423" s="59">
        <f t="shared" si="52"/>
        <v>0</v>
      </c>
      <c r="O423" s="59">
        <f t="shared" si="53"/>
        <v>0</v>
      </c>
      <c r="T423">
        <f t="shared" si="54"/>
        <v>0</v>
      </c>
      <c r="Y423">
        <f t="shared" si="48"/>
        <v>0</v>
      </c>
      <c r="Z423">
        <f t="shared" si="49"/>
        <v>0</v>
      </c>
    </row>
    <row r="424" spans="2:26">
      <c r="B424" t="str">
        <f t="shared" si="55"/>
        <v>BLUE</v>
      </c>
      <c r="C424" s="6">
        <f t="shared" si="50"/>
        <v>128</v>
      </c>
      <c r="I424">
        <f t="shared" si="51"/>
        <v>0</v>
      </c>
      <c r="N424" s="59">
        <f t="shared" si="52"/>
        <v>0</v>
      </c>
      <c r="O424" s="59">
        <f t="shared" si="53"/>
        <v>0</v>
      </c>
      <c r="T424">
        <f t="shared" si="54"/>
        <v>0</v>
      </c>
      <c r="Y424">
        <f t="shared" si="48"/>
        <v>0</v>
      </c>
      <c r="Z424">
        <f t="shared" si="49"/>
        <v>0</v>
      </c>
    </row>
    <row r="425" spans="2:26">
      <c r="B425" t="str">
        <f t="shared" si="55"/>
        <v>BLUE</v>
      </c>
      <c r="C425" s="6">
        <f t="shared" si="50"/>
        <v>129</v>
      </c>
      <c r="I425">
        <f t="shared" si="51"/>
        <v>0</v>
      </c>
      <c r="N425" s="59">
        <f t="shared" si="52"/>
        <v>0</v>
      </c>
      <c r="O425" s="59">
        <f t="shared" si="53"/>
        <v>0</v>
      </c>
      <c r="T425">
        <f t="shared" si="54"/>
        <v>0</v>
      </c>
      <c r="Y425">
        <f t="shared" si="48"/>
        <v>0</v>
      </c>
      <c r="Z425">
        <f t="shared" si="49"/>
        <v>0</v>
      </c>
    </row>
    <row r="426" spans="2:26">
      <c r="B426" t="str">
        <f t="shared" si="55"/>
        <v>BLUE</v>
      </c>
      <c r="C426" s="6">
        <f t="shared" si="50"/>
        <v>130</v>
      </c>
      <c r="I426">
        <f t="shared" si="51"/>
        <v>0</v>
      </c>
      <c r="N426" s="59">
        <f t="shared" si="52"/>
        <v>0</v>
      </c>
      <c r="O426" s="59">
        <f t="shared" si="53"/>
        <v>0</v>
      </c>
      <c r="T426">
        <f t="shared" si="54"/>
        <v>0</v>
      </c>
      <c r="Y426">
        <f t="shared" si="48"/>
        <v>0</v>
      </c>
      <c r="Z426">
        <f t="shared" si="49"/>
        <v>0</v>
      </c>
    </row>
    <row r="427" spans="2:26">
      <c r="B427" t="str">
        <f t="shared" si="55"/>
        <v>BLUE</v>
      </c>
      <c r="C427" s="6">
        <f t="shared" si="50"/>
        <v>131</v>
      </c>
      <c r="I427">
        <f t="shared" si="51"/>
        <v>0</v>
      </c>
      <c r="N427" s="59">
        <f t="shared" si="52"/>
        <v>0</v>
      </c>
      <c r="O427" s="59">
        <f t="shared" si="53"/>
        <v>0</v>
      </c>
      <c r="T427">
        <f t="shared" si="54"/>
        <v>0</v>
      </c>
      <c r="Y427">
        <f t="shared" si="48"/>
        <v>0</v>
      </c>
      <c r="Z427">
        <f t="shared" si="49"/>
        <v>0</v>
      </c>
    </row>
    <row r="428" spans="2:26">
      <c r="B428" t="str">
        <f t="shared" si="55"/>
        <v>BLUE</v>
      </c>
      <c r="C428" s="6">
        <f t="shared" si="50"/>
        <v>132</v>
      </c>
      <c r="I428">
        <f t="shared" si="51"/>
        <v>0</v>
      </c>
      <c r="N428" s="59">
        <f t="shared" si="52"/>
        <v>0</v>
      </c>
      <c r="O428" s="59">
        <f t="shared" si="53"/>
        <v>0</v>
      </c>
      <c r="T428">
        <f t="shared" si="54"/>
        <v>0</v>
      </c>
      <c r="Y428">
        <f t="shared" si="48"/>
        <v>0</v>
      </c>
      <c r="Z428">
        <f t="shared" si="49"/>
        <v>0</v>
      </c>
    </row>
    <row r="429" spans="2:26">
      <c r="B429" t="str">
        <f t="shared" si="55"/>
        <v>BLUE</v>
      </c>
      <c r="C429" s="6">
        <f t="shared" si="50"/>
        <v>133</v>
      </c>
      <c r="I429">
        <f t="shared" si="51"/>
        <v>0</v>
      </c>
      <c r="N429" s="59">
        <f t="shared" si="52"/>
        <v>0</v>
      </c>
      <c r="O429" s="59">
        <f t="shared" si="53"/>
        <v>0</v>
      </c>
      <c r="T429">
        <f t="shared" si="54"/>
        <v>0</v>
      </c>
      <c r="Y429">
        <f t="shared" si="48"/>
        <v>0</v>
      </c>
      <c r="Z429">
        <f t="shared" si="49"/>
        <v>0</v>
      </c>
    </row>
    <row r="430" spans="2:26">
      <c r="B430" t="str">
        <f t="shared" si="55"/>
        <v>BLUE</v>
      </c>
      <c r="C430" s="6">
        <f t="shared" si="50"/>
        <v>134</v>
      </c>
      <c r="I430">
        <f t="shared" si="51"/>
        <v>0</v>
      </c>
      <c r="N430" s="59">
        <f t="shared" si="52"/>
        <v>0</v>
      </c>
      <c r="O430" s="59">
        <f t="shared" si="53"/>
        <v>0</v>
      </c>
      <c r="T430">
        <f t="shared" si="54"/>
        <v>0</v>
      </c>
      <c r="Y430">
        <f t="shared" ref="Y430:Y493" si="56">SUM($U430:$X430)</f>
        <v>0</v>
      </c>
      <c r="Z430">
        <f t="shared" ref="Z430:Z493" si="57">SUM($T430,$Y430)</f>
        <v>0</v>
      </c>
    </row>
    <row r="431" spans="2:26">
      <c r="B431" t="str">
        <f t="shared" si="55"/>
        <v>BLUE</v>
      </c>
      <c r="C431" s="6">
        <f t="shared" si="50"/>
        <v>135</v>
      </c>
      <c r="I431">
        <f t="shared" si="51"/>
        <v>0</v>
      </c>
      <c r="N431" s="59">
        <f t="shared" si="52"/>
        <v>0</v>
      </c>
      <c r="O431" s="59">
        <f t="shared" si="53"/>
        <v>0</v>
      </c>
      <c r="T431">
        <f t="shared" si="54"/>
        <v>0</v>
      </c>
      <c r="Y431">
        <f t="shared" si="56"/>
        <v>0</v>
      </c>
      <c r="Z431">
        <f t="shared" si="57"/>
        <v>0</v>
      </c>
    </row>
    <row r="432" spans="2:26">
      <c r="B432" t="str">
        <f t="shared" si="55"/>
        <v>BLUE</v>
      </c>
      <c r="C432" s="6">
        <f t="shared" si="50"/>
        <v>136</v>
      </c>
      <c r="I432">
        <f t="shared" si="51"/>
        <v>0</v>
      </c>
      <c r="N432" s="59">
        <f t="shared" si="52"/>
        <v>0</v>
      </c>
      <c r="O432" s="59">
        <f t="shared" si="53"/>
        <v>0</v>
      </c>
      <c r="T432">
        <f t="shared" si="54"/>
        <v>0</v>
      </c>
      <c r="Y432">
        <f t="shared" si="56"/>
        <v>0</v>
      </c>
      <c r="Z432">
        <f t="shared" si="57"/>
        <v>0</v>
      </c>
    </row>
    <row r="433" spans="2:26">
      <c r="B433" t="str">
        <f t="shared" si="55"/>
        <v>BLUE</v>
      </c>
      <c r="C433" s="6">
        <f t="shared" si="50"/>
        <v>137</v>
      </c>
      <c r="I433">
        <f t="shared" si="51"/>
        <v>0</v>
      </c>
      <c r="N433" s="59">
        <f t="shared" si="52"/>
        <v>0</v>
      </c>
      <c r="O433" s="59">
        <f t="shared" si="53"/>
        <v>0</v>
      </c>
      <c r="T433">
        <f t="shared" si="54"/>
        <v>0</v>
      </c>
      <c r="Y433">
        <f t="shared" si="56"/>
        <v>0</v>
      </c>
      <c r="Z433">
        <f t="shared" si="57"/>
        <v>0</v>
      </c>
    </row>
    <row r="434" spans="2:26">
      <c r="B434" t="str">
        <f t="shared" si="55"/>
        <v>BLUE</v>
      </c>
      <c r="C434" s="6">
        <f t="shared" si="50"/>
        <v>138</v>
      </c>
      <c r="I434">
        <f t="shared" si="51"/>
        <v>0</v>
      </c>
      <c r="N434" s="59">
        <f t="shared" si="52"/>
        <v>0</v>
      </c>
      <c r="O434" s="59">
        <f t="shared" si="53"/>
        <v>0</v>
      </c>
      <c r="T434">
        <f t="shared" si="54"/>
        <v>0</v>
      </c>
      <c r="Y434">
        <f t="shared" si="56"/>
        <v>0</v>
      </c>
      <c r="Z434">
        <f t="shared" si="57"/>
        <v>0</v>
      </c>
    </row>
    <row r="435" spans="2:26">
      <c r="B435" t="str">
        <f t="shared" si="55"/>
        <v>BLUE</v>
      </c>
      <c r="C435" s="6">
        <f t="shared" si="50"/>
        <v>139</v>
      </c>
      <c r="I435">
        <f t="shared" si="51"/>
        <v>0</v>
      </c>
      <c r="N435" s="59">
        <f t="shared" si="52"/>
        <v>0</v>
      </c>
      <c r="O435" s="59">
        <f t="shared" si="53"/>
        <v>0</v>
      </c>
      <c r="T435">
        <f t="shared" si="54"/>
        <v>0</v>
      </c>
      <c r="Y435">
        <f t="shared" si="56"/>
        <v>0</v>
      </c>
      <c r="Z435">
        <f t="shared" si="57"/>
        <v>0</v>
      </c>
    </row>
    <row r="436" spans="2:26">
      <c r="B436" t="str">
        <f t="shared" si="55"/>
        <v>BLUE</v>
      </c>
      <c r="C436" s="6">
        <f t="shared" si="50"/>
        <v>140</v>
      </c>
      <c r="I436">
        <f t="shared" si="51"/>
        <v>0</v>
      </c>
      <c r="N436" s="59">
        <f t="shared" si="52"/>
        <v>0</v>
      </c>
      <c r="O436" s="59">
        <f t="shared" si="53"/>
        <v>0</v>
      </c>
      <c r="T436">
        <f t="shared" si="54"/>
        <v>0</v>
      </c>
      <c r="Y436">
        <f t="shared" si="56"/>
        <v>0</v>
      </c>
      <c r="Z436">
        <f t="shared" si="57"/>
        <v>0</v>
      </c>
    </row>
    <row r="437" spans="2:26">
      <c r="B437" t="str">
        <f t="shared" si="55"/>
        <v>BLUE</v>
      </c>
      <c r="C437" s="6">
        <f t="shared" ref="C437:C500" si="58">C436+1</f>
        <v>141</v>
      </c>
      <c r="I437">
        <f t="shared" si="51"/>
        <v>0</v>
      </c>
      <c r="N437" s="59">
        <f t="shared" si="52"/>
        <v>0</v>
      </c>
      <c r="O437" s="59">
        <f t="shared" si="53"/>
        <v>0</v>
      </c>
      <c r="T437">
        <f t="shared" si="54"/>
        <v>0</v>
      </c>
      <c r="Y437">
        <f t="shared" si="56"/>
        <v>0</v>
      </c>
      <c r="Z437">
        <f t="shared" si="57"/>
        <v>0</v>
      </c>
    </row>
    <row r="438" spans="2:26">
      <c r="B438" t="str">
        <f t="shared" si="55"/>
        <v>BLUE</v>
      </c>
      <c r="C438" s="6">
        <f t="shared" si="58"/>
        <v>142</v>
      </c>
      <c r="I438">
        <f t="shared" si="51"/>
        <v>0</v>
      </c>
      <c r="N438" s="59">
        <f t="shared" si="52"/>
        <v>0</v>
      </c>
      <c r="O438" s="59">
        <f t="shared" si="53"/>
        <v>0</v>
      </c>
      <c r="T438">
        <f t="shared" si="54"/>
        <v>0</v>
      </c>
      <c r="Y438">
        <f t="shared" si="56"/>
        <v>0</v>
      </c>
      <c r="Z438">
        <f t="shared" si="57"/>
        <v>0</v>
      </c>
    </row>
    <row r="439" spans="2:26">
      <c r="B439" t="str">
        <f t="shared" si="55"/>
        <v>BLUE</v>
      </c>
      <c r="C439" s="6">
        <f t="shared" si="58"/>
        <v>143</v>
      </c>
      <c r="I439">
        <f t="shared" si="51"/>
        <v>0</v>
      </c>
      <c r="N439" s="59">
        <f t="shared" si="52"/>
        <v>0</v>
      </c>
      <c r="O439" s="59">
        <f t="shared" si="53"/>
        <v>0</v>
      </c>
      <c r="T439">
        <f t="shared" si="54"/>
        <v>0</v>
      </c>
      <c r="Y439">
        <f t="shared" si="56"/>
        <v>0</v>
      </c>
      <c r="Z439">
        <f t="shared" si="57"/>
        <v>0</v>
      </c>
    </row>
    <row r="440" spans="2:26">
      <c r="B440" t="str">
        <f t="shared" si="55"/>
        <v>BLUE</v>
      </c>
      <c r="C440" s="6">
        <f t="shared" si="58"/>
        <v>144</v>
      </c>
      <c r="I440">
        <f t="shared" si="51"/>
        <v>0</v>
      </c>
      <c r="N440" s="59">
        <f t="shared" si="52"/>
        <v>0</v>
      </c>
      <c r="O440" s="59">
        <f t="shared" si="53"/>
        <v>0</v>
      </c>
      <c r="T440">
        <f t="shared" si="54"/>
        <v>0</v>
      </c>
      <c r="Y440">
        <f t="shared" si="56"/>
        <v>0</v>
      </c>
      <c r="Z440">
        <f t="shared" si="57"/>
        <v>0</v>
      </c>
    </row>
    <row r="441" spans="2:26">
      <c r="B441" t="str">
        <f t="shared" si="55"/>
        <v>BLUE</v>
      </c>
      <c r="C441" s="6">
        <f t="shared" si="58"/>
        <v>145</v>
      </c>
      <c r="I441">
        <f t="shared" si="51"/>
        <v>0</v>
      </c>
      <c r="N441" s="59">
        <f t="shared" si="52"/>
        <v>0</v>
      </c>
      <c r="O441" s="59">
        <f t="shared" si="53"/>
        <v>0</v>
      </c>
      <c r="T441">
        <f t="shared" si="54"/>
        <v>0</v>
      </c>
      <c r="Y441">
        <f t="shared" si="56"/>
        <v>0</v>
      </c>
      <c r="Z441">
        <f t="shared" si="57"/>
        <v>0</v>
      </c>
    </row>
    <row r="442" spans="2:26">
      <c r="B442" t="str">
        <f t="shared" si="55"/>
        <v>BLUE</v>
      </c>
      <c r="C442" s="6">
        <f t="shared" si="58"/>
        <v>146</v>
      </c>
      <c r="I442">
        <f t="shared" si="51"/>
        <v>0</v>
      </c>
      <c r="N442" s="59">
        <f t="shared" si="52"/>
        <v>0</v>
      </c>
      <c r="O442" s="59">
        <f t="shared" si="53"/>
        <v>0</v>
      </c>
      <c r="T442">
        <f t="shared" si="54"/>
        <v>0</v>
      </c>
      <c r="Y442">
        <f t="shared" si="56"/>
        <v>0</v>
      </c>
      <c r="Z442">
        <f t="shared" si="57"/>
        <v>0</v>
      </c>
    </row>
    <row r="443" spans="2:26">
      <c r="B443" t="str">
        <f t="shared" si="55"/>
        <v>BLUE</v>
      </c>
      <c r="C443" s="6">
        <f t="shared" si="58"/>
        <v>147</v>
      </c>
      <c r="I443">
        <f t="shared" si="51"/>
        <v>0</v>
      </c>
      <c r="N443" s="59">
        <f t="shared" si="52"/>
        <v>0</v>
      </c>
      <c r="O443" s="59">
        <f t="shared" si="53"/>
        <v>0</v>
      </c>
      <c r="T443">
        <f t="shared" si="54"/>
        <v>0</v>
      </c>
      <c r="Y443">
        <f t="shared" si="56"/>
        <v>0</v>
      </c>
      <c r="Z443">
        <f t="shared" si="57"/>
        <v>0</v>
      </c>
    </row>
    <row r="444" spans="2:26">
      <c r="B444" t="str">
        <f t="shared" si="55"/>
        <v>BLUE</v>
      </c>
      <c r="C444" s="6">
        <f t="shared" si="58"/>
        <v>148</v>
      </c>
      <c r="I444">
        <f t="shared" si="51"/>
        <v>0</v>
      </c>
      <c r="N444" s="59">
        <f t="shared" si="52"/>
        <v>0</v>
      </c>
      <c r="O444" s="59">
        <f t="shared" si="53"/>
        <v>0</v>
      </c>
      <c r="T444">
        <f t="shared" si="54"/>
        <v>0</v>
      </c>
      <c r="Y444">
        <f t="shared" si="56"/>
        <v>0</v>
      </c>
      <c r="Z444">
        <f t="shared" si="57"/>
        <v>0</v>
      </c>
    </row>
    <row r="445" spans="2:26">
      <c r="B445" t="str">
        <f t="shared" si="55"/>
        <v>BLUE</v>
      </c>
      <c r="C445" s="6">
        <f t="shared" si="58"/>
        <v>149</v>
      </c>
      <c r="I445">
        <f t="shared" si="51"/>
        <v>0</v>
      </c>
      <c r="N445" s="59">
        <f t="shared" si="52"/>
        <v>0</v>
      </c>
      <c r="O445" s="59">
        <f t="shared" si="53"/>
        <v>0</v>
      </c>
      <c r="T445">
        <f t="shared" si="54"/>
        <v>0</v>
      </c>
      <c r="Y445">
        <f t="shared" si="56"/>
        <v>0</v>
      </c>
      <c r="Z445">
        <f t="shared" si="57"/>
        <v>0</v>
      </c>
    </row>
    <row r="446" spans="2:26">
      <c r="B446" t="str">
        <f t="shared" si="55"/>
        <v>BLUE</v>
      </c>
      <c r="C446" s="6">
        <f t="shared" si="58"/>
        <v>150</v>
      </c>
      <c r="I446">
        <f t="shared" ref="I446:I509" si="59">SUM($E446:$H446)</f>
        <v>0</v>
      </c>
      <c r="N446" s="59">
        <f t="shared" ref="N446:N455" si="60">SUM($J446:$M446)</f>
        <v>0</v>
      </c>
      <c r="O446" s="59">
        <f t="shared" ref="O446:O455" si="61">SUM($I446, $N446)</f>
        <v>0</v>
      </c>
      <c r="T446">
        <f t="shared" ref="T446:T509" si="62">SUM($P446:$S446)</f>
        <v>0</v>
      </c>
      <c r="Y446">
        <f t="shared" si="56"/>
        <v>0</v>
      </c>
      <c r="Z446">
        <f t="shared" si="57"/>
        <v>0</v>
      </c>
    </row>
    <row r="447" spans="2:26">
      <c r="B447" t="str">
        <f t="shared" si="55"/>
        <v>BLUE</v>
      </c>
      <c r="C447" s="6">
        <f t="shared" si="58"/>
        <v>151</v>
      </c>
      <c r="I447">
        <f t="shared" si="59"/>
        <v>0</v>
      </c>
      <c r="N447" s="59">
        <f t="shared" si="60"/>
        <v>0</v>
      </c>
      <c r="O447" s="59">
        <f t="shared" si="61"/>
        <v>0</v>
      </c>
      <c r="T447">
        <f t="shared" si="62"/>
        <v>0</v>
      </c>
      <c r="Y447">
        <f t="shared" si="56"/>
        <v>0</v>
      </c>
      <c r="Z447">
        <f t="shared" si="57"/>
        <v>0</v>
      </c>
    </row>
    <row r="448" spans="2:26">
      <c r="B448" t="str">
        <f t="shared" si="55"/>
        <v>BLUE</v>
      </c>
      <c r="C448" s="6">
        <f t="shared" si="58"/>
        <v>152</v>
      </c>
      <c r="I448">
        <f t="shared" si="59"/>
        <v>0</v>
      </c>
      <c r="N448" s="59">
        <f t="shared" si="60"/>
        <v>0</v>
      </c>
      <c r="O448" s="59">
        <f t="shared" si="61"/>
        <v>0</v>
      </c>
      <c r="T448">
        <f t="shared" si="62"/>
        <v>0</v>
      </c>
      <c r="Y448">
        <f t="shared" si="56"/>
        <v>0</v>
      </c>
      <c r="Z448">
        <f t="shared" si="57"/>
        <v>0</v>
      </c>
    </row>
    <row r="449" spans="2:26">
      <c r="B449" t="str">
        <f t="shared" si="55"/>
        <v>BLUE</v>
      </c>
      <c r="C449" s="6">
        <f t="shared" si="58"/>
        <v>153</v>
      </c>
      <c r="I449">
        <f t="shared" si="59"/>
        <v>0</v>
      </c>
      <c r="N449" s="59">
        <f t="shared" si="60"/>
        <v>0</v>
      </c>
      <c r="O449" s="59">
        <f t="shared" si="61"/>
        <v>0</v>
      </c>
      <c r="T449">
        <f t="shared" si="62"/>
        <v>0</v>
      </c>
      <c r="Y449">
        <f t="shared" si="56"/>
        <v>0</v>
      </c>
      <c r="Z449">
        <f t="shared" si="57"/>
        <v>0</v>
      </c>
    </row>
    <row r="450" spans="2:26">
      <c r="B450" t="str">
        <f t="shared" si="55"/>
        <v>BLUE</v>
      </c>
      <c r="C450" s="6">
        <f t="shared" si="58"/>
        <v>154</v>
      </c>
      <c r="I450">
        <f t="shared" si="59"/>
        <v>0</v>
      </c>
      <c r="N450" s="59">
        <f t="shared" si="60"/>
        <v>0</v>
      </c>
      <c r="O450" s="59">
        <f t="shared" si="61"/>
        <v>0</v>
      </c>
      <c r="T450">
        <f t="shared" si="62"/>
        <v>0</v>
      </c>
      <c r="Y450">
        <f t="shared" si="56"/>
        <v>0</v>
      </c>
      <c r="Z450">
        <f t="shared" si="57"/>
        <v>0</v>
      </c>
    </row>
    <row r="451" spans="2:26">
      <c r="B451" t="str">
        <f t="shared" si="55"/>
        <v>BLUE</v>
      </c>
      <c r="C451" s="6">
        <f t="shared" si="58"/>
        <v>155</v>
      </c>
      <c r="I451">
        <f t="shared" si="59"/>
        <v>0</v>
      </c>
      <c r="N451" s="59">
        <f t="shared" si="60"/>
        <v>0</v>
      </c>
      <c r="O451" s="59">
        <f t="shared" si="61"/>
        <v>0</v>
      </c>
      <c r="T451">
        <f t="shared" si="62"/>
        <v>0</v>
      </c>
      <c r="Y451">
        <f t="shared" si="56"/>
        <v>0</v>
      </c>
      <c r="Z451">
        <f t="shared" si="57"/>
        <v>0</v>
      </c>
    </row>
    <row r="452" spans="2:26">
      <c r="B452" t="str">
        <f t="shared" si="55"/>
        <v>BLUE</v>
      </c>
      <c r="C452" s="6">
        <f t="shared" si="58"/>
        <v>156</v>
      </c>
      <c r="I452">
        <f t="shared" si="59"/>
        <v>0</v>
      </c>
      <c r="N452" s="59">
        <f t="shared" si="60"/>
        <v>0</v>
      </c>
      <c r="O452" s="59">
        <f t="shared" si="61"/>
        <v>0</v>
      </c>
      <c r="T452">
        <f t="shared" si="62"/>
        <v>0</v>
      </c>
      <c r="Y452">
        <f t="shared" si="56"/>
        <v>0</v>
      </c>
      <c r="Z452">
        <f t="shared" si="57"/>
        <v>0</v>
      </c>
    </row>
    <row r="453" spans="2:26">
      <c r="B453" t="str">
        <f t="shared" si="55"/>
        <v>BLUE</v>
      </c>
      <c r="C453" s="6">
        <f t="shared" si="58"/>
        <v>157</v>
      </c>
      <c r="I453">
        <f t="shared" si="59"/>
        <v>0</v>
      </c>
      <c r="N453" s="59">
        <f t="shared" si="60"/>
        <v>0</v>
      </c>
      <c r="O453" s="59">
        <f t="shared" si="61"/>
        <v>0</v>
      </c>
      <c r="T453">
        <f t="shared" si="62"/>
        <v>0</v>
      </c>
      <c r="Y453">
        <f t="shared" si="56"/>
        <v>0</v>
      </c>
      <c r="Z453">
        <f t="shared" si="57"/>
        <v>0</v>
      </c>
    </row>
    <row r="454" spans="2:26">
      <c r="B454" t="str">
        <f t="shared" si="55"/>
        <v>BLUE</v>
      </c>
      <c r="C454" s="6">
        <f t="shared" si="58"/>
        <v>158</v>
      </c>
      <c r="I454">
        <f t="shared" si="59"/>
        <v>0</v>
      </c>
      <c r="N454" s="59">
        <f t="shared" si="60"/>
        <v>0</v>
      </c>
      <c r="O454" s="59">
        <f t="shared" si="61"/>
        <v>0</v>
      </c>
      <c r="T454">
        <f t="shared" si="62"/>
        <v>0</v>
      </c>
      <c r="Y454">
        <f t="shared" si="56"/>
        <v>0</v>
      </c>
      <c r="Z454">
        <f t="shared" si="57"/>
        <v>0</v>
      </c>
    </row>
    <row r="455" spans="2:26">
      <c r="B455" t="str">
        <f t="shared" si="55"/>
        <v>BLUE</v>
      </c>
      <c r="C455" s="6">
        <f t="shared" si="58"/>
        <v>159</v>
      </c>
      <c r="I455">
        <f t="shared" si="59"/>
        <v>0</v>
      </c>
      <c r="N455" s="59">
        <f t="shared" si="60"/>
        <v>0</v>
      </c>
      <c r="O455" s="59">
        <f t="shared" si="61"/>
        <v>0</v>
      </c>
      <c r="T455">
        <f t="shared" si="62"/>
        <v>0</v>
      </c>
      <c r="Y455">
        <f t="shared" si="56"/>
        <v>0</v>
      </c>
      <c r="Z455">
        <f t="shared" si="57"/>
        <v>0</v>
      </c>
    </row>
    <row r="456" spans="2:26">
      <c r="B456" t="str">
        <f t="shared" si="55"/>
        <v>BLUE</v>
      </c>
      <c r="C456" s="6">
        <f t="shared" si="58"/>
        <v>160</v>
      </c>
      <c r="I456">
        <f t="shared" si="59"/>
        <v>0</v>
      </c>
      <c r="N456" s="59">
        <f>SUM($J456:$M456)</f>
        <v>0</v>
      </c>
      <c r="O456" s="59">
        <f>SUM($I456, $N456)</f>
        <v>0</v>
      </c>
      <c r="T456">
        <f t="shared" si="62"/>
        <v>0</v>
      </c>
      <c r="Y456">
        <f t="shared" si="56"/>
        <v>0</v>
      </c>
      <c r="Z456">
        <f t="shared" si="57"/>
        <v>0</v>
      </c>
    </row>
    <row r="457" spans="2:26">
      <c r="B457" t="str">
        <f t="shared" si="55"/>
        <v>BLUE</v>
      </c>
      <c r="C457" s="6">
        <f t="shared" si="58"/>
        <v>161</v>
      </c>
      <c r="I457">
        <f t="shared" si="59"/>
        <v>0</v>
      </c>
      <c r="N457" s="59">
        <f t="shared" ref="N457:N520" si="63">SUM($J457:$M457)</f>
        <v>0</v>
      </c>
      <c r="O457" s="59">
        <f t="shared" ref="O457:O520" si="64">SUM($I457, $N457)</f>
        <v>0</v>
      </c>
      <c r="T457">
        <f t="shared" si="62"/>
        <v>0</v>
      </c>
      <c r="Y457">
        <f t="shared" si="56"/>
        <v>0</v>
      </c>
      <c r="Z457">
        <f t="shared" si="57"/>
        <v>0</v>
      </c>
    </row>
    <row r="458" spans="2:26">
      <c r="B458" t="str">
        <f t="shared" si="55"/>
        <v>BLUE</v>
      </c>
      <c r="C458" s="6">
        <f t="shared" si="58"/>
        <v>162</v>
      </c>
      <c r="I458">
        <f t="shared" si="59"/>
        <v>0</v>
      </c>
      <c r="N458" s="59">
        <f t="shared" si="63"/>
        <v>0</v>
      </c>
      <c r="O458" s="59">
        <f t="shared" si="64"/>
        <v>0</v>
      </c>
      <c r="T458">
        <f t="shared" si="62"/>
        <v>0</v>
      </c>
      <c r="Y458">
        <f t="shared" si="56"/>
        <v>0</v>
      </c>
      <c r="Z458">
        <f t="shared" si="57"/>
        <v>0</v>
      </c>
    </row>
    <row r="459" spans="2:26">
      <c r="B459" t="str">
        <f t="shared" si="55"/>
        <v>BLUE</v>
      </c>
      <c r="C459" s="6">
        <f t="shared" si="58"/>
        <v>163</v>
      </c>
      <c r="I459">
        <f t="shared" si="59"/>
        <v>0</v>
      </c>
      <c r="N459" s="59">
        <f t="shared" si="63"/>
        <v>0</v>
      </c>
      <c r="O459" s="59">
        <f t="shared" si="64"/>
        <v>0</v>
      </c>
      <c r="T459">
        <f t="shared" si="62"/>
        <v>0</v>
      </c>
      <c r="Y459">
        <f t="shared" si="56"/>
        <v>0</v>
      </c>
      <c r="Z459">
        <f t="shared" si="57"/>
        <v>0</v>
      </c>
    </row>
    <row r="460" spans="2:26">
      <c r="B460" t="str">
        <f t="shared" si="55"/>
        <v>BLUE</v>
      </c>
      <c r="C460" s="6">
        <f t="shared" si="58"/>
        <v>164</v>
      </c>
      <c r="I460">
        <f t="shared" si="59"/>
        <v>0</v>
      </c>
      <c r="N460" s="59">
        <f t="shared" si="63"/>
        <v>0</v>
      </c>
      <c r="O460" s="59">
        <f t="shared" si="64"/>
        <v>0</v>
      </c>
      <c r="T460">
        <f t="shared" si="62"/>
        <v>0</v>
      </c>
      <c r="Y460">
        <f t="shared" si="56"/>
        <v>0</v>
      </c>
      <c r="Z460">
        <f t="shared" si="57"/>
        <v>0</v>
      </c>
    </row>
    <row r="461" spans="2:26">
      <c r="B461" t="str">
        <f t="shared" si="55"/>
        <v>BLUE</v>
      </c>
      <c r="C461" s="6">
        <f t="shared" si="58"/>
        <v>165</v>
      </c>
      <c r="I461">
        <f t="shared" si="59"/>
        <v>0</v>
      </c>
      <c r="N461" s="59">
        <f t="shared" si="63"/>
        <v>0</v>
      </c>
      <c r="O461" s="59">
        <f t="shared" si="64"/>
        <v>0</v>
      </c>
      <c r="T461">
        <f t="shared" si="62"/>
        <v>0</v>
      </c>
      <c r="Y461">
        <f t="shared" si="56"/>
        <v>0</v>
      </c>
      <c r="Z461">
        <f t="shared" si="57"/>
        <v>0</v>
      </c>
    </row>
    <row r="462" spans="2:26">
      <c r="B462" t="str">
        <f t="shared" si="55"/>
        <v>BLUE</v>
      </c>
      <c r="C462" s="6">
        <f t="shared" si="58"/>
        <v>166</v>
      </c>
      <c r="I462">
        <f t="shared" si="59"/>
        <v>0</v>
      </c>
      <c r="N462" s="59">
        <f t="shared" si="63"/>
        <v>0</v>
      </c>
      <c r="O462" s="59">
        <f t="shared" si="64"/>
        <v>0</v>
      </c>
      <c r="T462">
        <f t="shared" si="62"/>
        <v>0</v>
      </c>
      <c r="Y462">
        <f t="shared" si="56"/>
        <v>0</v>
      </c>
      <c r="Z462">
        <f t="shared" si="57"/>
        <v>0</v>
      </c>
    </row>
    <row r="463" spans="2:26">
      <c r="B463" t="str">
        <f t="shared" si="55"/>
        <v>BLUE</v>
      </c>
      <c r="C463" s="6">
        <f t="shared" si="58"/>
        <v>167</v>
      </c>
      <c r="I463">
        <f t="shared" si="59"/>
        <v>0</v>
      </c>
      <c r="N463" s="59">
        <f t="shared" si="63"/>
        <v>0</v>
      </c>
      <c r="O463" s="59">
        <f t="shared" si="64"/>
        <v>0</v>
      </c>
      <c r="T463">
        <f t="shared" si="62"/>
        <v>0</v>
      </c>
      <c r="Y463">
        <f t="shared" si="56"/>
        <v>0</v>
      </c>
      <c r="Z463">
        <f t="shared" si="57"/>
        <v>0</v>
      </c>
    </row>
    <row r="464" spans="2:26">
      <c r="B464" t="str">
        <f t="shared" si="55"/>
        <v>BLUE</v>
      </c>
      <c r="C464" s="6">
        <f t="shared" si="58"/>
        <v>168</v>
      </c>
      <c r="I464">
        <f t="shared" si="59"/>
        <v>0</v>
      </c>
      <c r="N464" s="59">
        <f t="shared" si="63"/>
        <v>0</v>
      </c>
      <c r="O464" s="59">
        <f t="shared" si="64"/>
        <v>0</v>
      </c>
      <c r="T464">
        <f t="shared" si="62"/>
        <v>0</v>
      </c>
      <c r="Y464">
        <f t="shared" si="56"/>
        <v>0</v>
      </c>
      <c r="Z464">
        <f t="shared" si="57"/>
        <v>0</v>
      </c>
    </row>
    <row r="465" spans="2:26">
      <c r="B465" t="str">
        <f t="shared" si="55"/>
        <v>BLUE</v>
      </c>
      <c r="C465" s="6">
        <f t="shared" si="58"/>
        <v>169</v>
      </c>
      <c r="I465">
        <f t="shared" si="59"/>
        <v>0</v>
      </c>
      <c r="N465" s="59">
        <f t="shared" si="63"/>
        <v>0</v>
      </c>
      <c r="O465" s="59">
        <f t="shared" si="64"/>
        <v>0</v>
      </c>
      <c r="T465">
        <f t="shared" si="62"/>
        <v>0</v>
      </c>
      <c r="Y465">
        <f t="shared" si="56"/>
        <v>0</v>
      </c>
      <c r="Z465">
        <f t="shared" si="57"/>
        <v>0</v>
      </c>
    </row>
    <row r="466" spans="2:26">
      <c r="B466" t="str">
        <f t="shared" si="55"/>
        <v>BLUE</v>
      </c>
      <c r="C466" s="6">
        <f t="shared" si="58"/>
        <v>170</v>
      </c>
      <c r="I466">
        <f t="shared" si="59"/>
        <v>0</v>
      </c>
      <c r="N466" s="59">
        <f t="shared" si="63"/>
        <v>0</v>
      </c>
      <c r="O466" s="59">
        <f t="shared" si="64"/>
        <v>0</v>
      </c>
      <c r="T466">
        <f t="shared" si="62"/>
        <v>0</v>
      </c>
      <c r="Y466">
        <f t="shared" si="56"/>
        <v>0</v>
      </c>
      <c r="Z466">
        <f t="shared" si="57"/>
        <v>0</v>
      </c>
    </row>
    <row r="467" spans="2:26">
      <c r="B467" t="str">
        <f t="shared" ref="B467:B530" si="65">B466</f>
        <v>BLUE</v>
      </c>
      <c r="C467" s="6">
        <f t="shared" si="58"/>
        <v>171</v>
      </c>
      <c r="I467">
        <f t="shared" si="59"/>
        <v>0</v>
      </c>
      <c r="N467" s="59">
        <f t="shared" si="63"/>
        <v>0</v>
      </c>
      <c r="O467" s="59">
        <f t="shared" si="64"/>
        <v>0</v>
      </c>
      <c r="T467">
        <f t="shared" si="62"/>
        <v>0</v>
      </c>
      <c r="Y467">
        <f t="shared" si="56"/>
        <v>0</v>
      </c>
      <c r="Z467">
        <f t="shared" si="57"/>
        <v>0</v>
      </c>
    </row>
    <row r="468" spans="2:26">
      <c r="B468" t="str">
        <f t="shared" si="65"/>
        <v>BLUE</v>
      </c>
      <c r="C468" s="6">
        <f t="shared" si="58"/>
        <v>172</v>
      </c>
      <c r="I468">
        <f t="shared" si="59"/>
        <v>0</v>
      </c>
      <c r="N468" s="59">
        <f t="shared" si="63"/>
        <v>0</v>
      </c>
      <c r="O468" s="59">
        <f t="shared" si="64"/>
        <v>0</v>
      </c>
      <c r="T468">
        <f t="shared" si="62"/>
        <v>0</v>
      </c>
      <c r="Y468">
        <f t="shared" si="56"/>
        <v>0</v>
      </c>
      <c r="Z468">
        <f t="shared" si="57"/>
        <v>0</v>
      </c>
    </row>
    <row r="469" spans="2:26">
      <c r="B469" t="str">
        <f t="shared" si="65"/>
        <v>BLUE</v>
      </c>
      <c r="C469" s="6">
        <f t="shared" si="58"/>
        <v>173</v>
      </c>
      <c r="I469">
        <f t="shared" si="59"/>
        <v>0</v>
      </c>
      <c r="N469" s="59">
        <f t="shared" si="63"/>
        <v>0</v>
      </c>
      <c r="O469" s="59">
        <f t="shared" si="64"/>
        <v>0</v>
      </c>
      <c r="T469">
        <f t="shared" si="62"/>
        <v>0</v>
      </c>
      <c r="Y469">
        <f t="shared" si="56"/>
        <v>0</v>
      </c>
      <c r="Z469">
        <f t="shared" si="57"/>
        <v>0</v>
      </c>
    </row>
    <row r="470" spans="2:26">
      <c r="B470" t="str">
        <f t="shared" si="65"/>
        <v>BLUE</v>
      </c>
      <c r="C470" s="6">
        <f t="shared" si="58"/>
        <v>174</v>
      </c>
      <c r="I470">
        <f t="shared" si="59"/>
        <v>0</v>
      </c>
      <c r="N470" s="59">
        <f t="shared" si="63"/>
        <v>0</v>
      </c>
      <c r="O470" s="59">
        <f t="shared" si="64"/>
        <v>0</v>
      </c>
      <c r="T470">
        <f t="shared" si="62"/>
        <v>0</v>
      </c>
      <c r="Y470">
        <f t="shared" si="56"/>
        <v>0</v>
      </c>
      <c r="Z470">
        <f t="shared" si="57"/>
        <v>0</v>
      </c>
    </row>
    <row r="471" spans="2:26">
      <c r="B471" t="str">
        <f t="shared" si="65"/>
        <v>BLUE</v>
      </c>
      <c r="C471" s="6">
        <f t="shared" si="58"/>
        <v>175</v>
      </c>
      <c r="I471">
        <f t="shared" si="59"/>
        <v>0</v>
      </c>
      <c r="N471" s="59">
        <f t="shared" si="63"/>
        <v>0</v>
      </c>
      <c r="O471" s="59">
        <f t="shared" si="64"/>
        <v>0</v>
      </c>
      <c r="T471">
        <f t="shared" si="62"/>
        <v>0</v>
      </c>
      <c r="Y471">
        <f t="shared" si="56"/>
        <v>0</v>
      </c>
      <c r="Z471">
        <f t="shared" si="57"/>
        <v>0</v>
      </c>
    </row>
    <row r="472" spans="2:26">
      <c r="B472" t="str">
        <f t="shared" si="65"/>
        <v>BLUE</v>
      </c>
      <c r="C472" s="6">
        <f t="shared" si="58"/>
        <v>176</v>
      </c>
      <c r="I472">
        <f t="shared" si="59"/>
        <v>0</v>
      </c>
      <c r="N472" s="59">
        <f t="shared" si="63"/>
        <v>0</v>
      </c>
      <c r="O472" s="59">
        <f t="shared" si="64"/>
        <v>0</v>
      </c>
      <c r="T472">
        <f t="shared" si="62"/>
        <v>0</v>
      </c>
      <c r="Y472">
        <f t="shared" si="56"/>
        <v>0</v>
      </c>
      <c r="Z472">
        <f t="shared" si="57"/>
        <v>0</v>
      </c>
    </row>
    <row r="473" spans="2:26">
      <c r="B473" t="str">
        <f t="shared" si="65"/>
        <v>BLUE</v>
      </c>
      <c r="C473" s="6">
        <f t="shared" si="58"/>
        <v>177</v>
      </c>
      <c r="I473">
        <f t="shared" si="59"/>
        <v>0</v>
      </c>
      <c r="N473" s="59">
        <f t="shared" si="63"/>
        <v>0</v>
      </c>
      <c r="O473" s="59">
        <f t="shared" si="64"/>
        <v>0</v>
      </c>
      <c r="T473">
        <f t="shared" si="62"/>
        <v>0</v>
      </c>
      <c r="Y473">
        <f t="shared" si="56"/>
        <v>0</v>
      </c>
      <c r="Z473">
        <f t="shared" si="57"/>
        <v>0</v>
      </c>
    </row>
    <row r="474" spans="2:26">
      <c r="B474" t="str">
        <f t="shared" si="65"/>
        <v>BLUE</v>
      </c>
      <c r="C474" s="6">
        <f t="shared" si="58"/>
        <v>178</v>
      </c>
      <c r="I474">
        <f t="shared" si="59"/>
        <v>0</v>
      </c>
      <c r="N474" s="59">
        <f t="shared" si="63"/>
        <v>0</v>
      </c>
      <c r="O474" s="59">
        <f t="shared" si="64"/>
        <v>0</v>
      </c>
      <c r="T474">
        <f t="shared" si="62"/>
        <v>0</v>
      </c>
      <c r="Y474">
        <f t="shared" si="56"/>
        <v>0</v>
      </c>
      <c r="Z474">
        <f t="shared" si="57"/>
        <v>0</v>
      </c>
    </row>
    <row r="475" spans="2:26">
      <c r="B475" t="str">
        <f t="shared" si="65"/>
        <v>BLUE</v>
      </c>
      <c r="C475" s="6">
        <f t="shared" si="58"/>
        <v>179</v>
      </c>
      <c r="I475">
        <f t="shared" si="59"/>
        <v>0</v>
      </c>
      <c r="N475" s="59">
        <f t="shared" si="63"/>
        <v>0</v>
      </c>
      <c r="O475" s="59">
        <f t="shared" si="64"/>
        <v>0</v>
      </c>
      <c r="T475">
        <f t="shared" si="62"/>
        <v>0</v>
      </c>
      <c r="Y475">
        <f t="shared" si="56"/>
        <v>0</v>
      </c>
      <c r="Z475">
        <f t="shared" si="57"/>
        <v>0</v>
      </c>
    </row>
    <row r="476" spans="2:26">
      <c r="B476" t="str">
        <f t="shared" si="65"/>
        <v>BLUE</v>
      </c>
      <c r="C476" s="6">
        <f t="shared" si="58"/>
        <v>180</v>
      </c>
      <c r="I476">
        <f t="shared" si="59"/>
        <v>0</v>
      </c>
      <c r="N476" s="59">
        <f t="shared" si="63"/>
        <v>0</v>
      </c>
      <c r="O476" s="59">
        <f t="shared" si="64"/>
        <v>0</v>
      </c>
      <c r="T476">
        <f t="shared" si="62"/>
        <v>0</v>
      </c>
      <c r="Y476">
        <f t="shared" si="56"/>
        <v>0</v>
      </c>
      <c r="Z476">
        <f t="shared" si="57"/>
        <v>0</v>
      </c>
    </row>
    <row r="477" spans="2:26">
      <c r="B477" t="str">
        <f t="shared" si="65"/>
        <v>BLUE</v>
      </c>
      <c r="C477" s="6">
        <f t="shared" si="58"/>
        <v>181</v>
      </c>
      <c r="I477">
        <f t="shared" si="59"/>
        <v>0</v>
      </c>
      <c r="N477" s="59">
        <f t="shared" si="63"/>
        <v>0</v>
      </c>
      <c r="O477" s="59">
        <f t="shared" si="64"/>
        <v>0</v>
      </c>
      <c r="T477">
        <f t="shared" si="62"/>
        <v>0</v>
      </c>
      <c r="Y477">
        <f t="shared" si="56"/>
        <v>0</v>
      </c>
      <c r="Z477">
        <f t="shared" si="57"/>
        <v>0</v>
      </c>
    </row>
    <row r="478" spans="2:26">
      <c r="B478" t="str">
        <f t="shared" si="65"/>
        <v>BLUE</v>
      </c>
      <c r="C478" s="6">
        <f t="shared" si="58"/>
        <v>182</v>
      </c>
      <c r="I478">
        <f t="shared" si="59"/>
        <v>0</v>
      </c>
      <c r="N478" s="59">
        <f t="shared" si="63"/>
        <v>0</v>
      </c>
      <c r="O478" s="59">
        <f t="shared" si="64"/>
        <v>0</v>
      </c>
      <c r="T478">
        <f t="shared" si="62"/>
        <v>0</v>
      </c>
      <c r="Y478">
        <f t="shared" si="56"/>
        <v>0</v>
      </c>
      <c r="Z478">
        <f t="shared" si="57"/>
        <v>0</v>
      </c>
    </row>
    <row r="479" spans="2:26">
      <c r="B479" t="str">
        <f t="shared" si="65"/>
        <v>BLUE</v>
      </c>
      <c r="C479" s="6">
        <f t="shared" si="58"/>
        <v>183</v>
      </c>
      <c r="I479">
        <f t="shared" si="59"/>
        <v>0</v>
      </c>
      <c r="N479" s="59">
        <f t="shared" si="63"/>
        <v>0</v>
      </c>
      <c r="O479" s="59">
        <f t="shared" si="64"/>
        <v>0</v>
      </c>
      <c r="T479">
        <f t="shared" si="62"/>
        <v>0</v>
      </c>
      <c r="Y479">
        <f t="shared" si="56"/>
        <v>0</v>
      </c>
      <c r="Z479">
        <f t="shared" si="57"/>
        <v>0</v>
      </c>
    </row>
    <row r="480" spans="2:26">
      <c r="B480" t="str">
        <f t="shared" si="65"/>
        <v>BLUE</v>
      </c>
      <c r="C480" s="6">
        <f t="shared" si="58"/>
        <v>184</v>
      </c>
      <c r="I480">
        <f t="shared" si="59"/>
        <v>0</v>
      </c>
      <c r="N480" s="59">
        <f t="shared" si="63"/>
        <v>0</v>
      </c>
      <c r="O480" s="59">
        <f t="shared" si="64"/>
        <v>0</v>
      </c>
      <c r="T480">
        <f t="shared" si="62"/>
        <v>0</v>
      </c>
      <c r="Y480">
        <f t="shared" si="56"/>
        <v>0</v>
      </c>
      <c r="Z480">
        <f t="shared" si="57"/>
        <v>0</v>
      </c>
    </row>
    <row r="481" spans="2:26">
      <c r="B481" t="str">
        <f t="shared" si="65"/>
        <v>BLUE</v>
      </c>
      <c r="C481" s="6">
        <f t="shared" si="58"/>
        <v>185</v>
      </c>
      <c r="I481">
        <f t="shared" si="59"/>
        <v>0</v>
      </c>
      <c r="N481" s="59">
        <f t="shared" si="63"/>
        <v>0</v>
      </c>
      <c r="O481" s="59">
        <f t="shared" si="64"/>
        <v>0</v>
      </c>
      <c r="T481">
        <f t="shared" si="62"/>
        <v>0</v>
      </c>
      <c r="Y481">
        <f t="shared" si="56"/>
        <v>0</v>
      </c>
      <c r="Z481">
        <f t="shared" si="57"/>
        <v>0</v>
      </c>
    </row>
    <row r="482" spans="2:26">
      <c r="B482" t="str">
        <f t="shared" si="65"/>
        <v>BLUE</v>
      </c>
      <c r="C482" s="6">
        <f t="shared" si="58"/>
        <v>186</v>
      </c>
      <c r="I482">
        <f t="shared" si="59"/>
        <v>0</v>
      </c>
      <c r="N482" s="59">
        <f t="shared" si="63"/>
        <v>0</v>
      </c>
      <c r="O482" s="59">
        <f t="shared" si="64"/>
        <v>0</v>
      </c>
      <c r="T482">
        <f t="shared" si="62"/>
        <v>0</v>
      </c>
      <c r="Y482">
        <f t="shared" si="56"/>
        <v>0</v>
      </c>
      <c r="Z482">
        <f t="shared" si="57"/>
        <v>0</v>
      </c>
    </row>
    <row r="483" spans="2:26">
      <c r="B483" t="str">
        <f t="shared" si="65"/>
        <v>BLUE</v>
      </c>
      <c r="C483" s="6">
        <f t="shared" si="58"/>
        <v>187</v>
      </c>
      <c r="I483">
        <f t="shared" si="59"/>
        <v>0</v>
      </c>
      <c r="N483" s="59">
        <f t="shared" si="63"/>
        <v>0</v>
      </c>
      <c r="O483" s="59">
        <f t="shared" si="64"/>
        <v>0</v>
      </c>
      <c r="T483">
        <f t="shared" si="62"/>
        <v>0</v>
      </c>
      <c r="Y483">
        <f t="shared" si="56"/>
        <v>0</v>
      </c>
      <c r="Z483">
        <f t="shared" si="57"/>
        <v>0</v>
      </c>
    </row>
    <row r="484" spans="2:26">
      <c r="B484" t="str">
        <f t="shared" si="65"/>
        <v>BLUE</v>
      </c>
      <c r="C484" s="6">
        <f t="shared" si="58"/>
        <v>188</v>
      </c>
      <c r="I484">
        <f t="shared" si="59"/>
        <v>0</v>
      </c>
      <c r="N484" s="59">
        <f t="shared" si="63"/>
        <v>0</v>
      </c>
      <c r="O484" s="59">
        <f t="shared" si="64"/>
        <v>0</v>
      </c>
      <c r="T484">
        <f t="shared" si="62"/>
        <v>0</v>
      </c>
      <c r="Y484">
        <f t="shared" si="56"/>
        <v>0</v>
      </c>
      <c r="Z484">
        <f t="shared" si="57"/>
        <v>0</v>
      </c>
    </row>
    <row r="485" spans="2:26">
      <c r="B485" t="str">
        <f t="shared" si="65"/>
        <v>BLUE</v>
      </c>
      <c r="C485" s="6">
        <f t="shared" si="58"/>
        <v>189</v>
      </c>
      <c r="I485">
        <f t="shared" si="59"/>
        <v>0</v>
      </c>
      <c r="N485" s="59">
        <f t="shared" si="63"/>
        <v>0</v>
      </c>
      <c r="O485" s="59">
        <f t="shared" si="64"/>
        <v>0</v>
      </c>
      <c r="T485">
        <f t="shared" si="62"/>
        <v>0</v>
      </c>
      <c r="Y485">
        <f t="shared" si="56"/>
        <v>0</v>
      </c>
      <c r="Z485">
        <f t="shared" si="57"/>
        <v>0</v>
      </c>
    </row>
    <row r="486" spans="2:26">
      <c r="B486" t="str">
        <f t="shared" si="65"/>
        <v>BLUE</v>
      </c>
      <c r="C486" s="6">
        <f t="shared" si="58"/>
        <v>190</v>
      </c>
      <c r="I486">
        <f t="shared" si="59"/>
        <v>0</v>
      </c>
      <c r="N486" s="59">
        <f t="shared" si="63"/>
        <v>0</v>
      </c>
      <c r="O486" s="59">
        <f t="shared" si="64"/>
        <v>0</v>
      </c>
      <c r="T486">
        <f t="shared" si="62"/>
        <v>0</v>
      </c>
      <c r="Y486">
        <f t="shared" si="56"/>
        <v>0</v>
      </c>
      <c r="Z486">
        <f t="shared" si="57"/>
        <v>0</v>
      </c>
    </row>
    <row r="487" spans="2:26">
      <c r="B487" t="str">
        <f t="shared" si="65"/>
        <v>BLUE</v>
      </c>
      <c r="C487" s="6">
        <f t="shared" si="58"/>
        <v>191</v>
      </c>
      <c r="I487">
        <f t="shared" si="59"/>
        <v>0</v>
      </c>
      <c r="N487" s="59">
        <f t="shared" si="63"/>
        <v>0</v>
      </c>
      <c r="O487" s="59">
        <f t="shared" si="64"/>
        <v>0</v>
      </c>
      <c r="T487">
        <f t="shared" si="62"/>
        <v>0</v>
      </c>
      <c r="Y487">
        <f t="shared" si="56"/>
        <v>0</v>
      </c>
      <c r="Z487">
        <f t="shared" si="57"/>
        <v>0</v>
      </c>
    </row>
    <row r="488" spans="2:26">
      <c r="B488" t="str">
        <f t="shared" si="65"/>
        <v>BLUE</v>
      </c>
      <c r="C488" s="6">
        <f t="shared" si="58"/>
        <v>192</v>
      </c>
      <c r="I488">
        <f t="shared" si="59"/>
        <v>0</v>
      </c>
      <c r="N488" s="59">
        <f t="shared" si="63"/>
        <v>0</v>
      </c>
      <c r="O488" s="59">
        <f t="shared" si="64"/>
        <v>0</v>
      </c>
      <c r="T488">
        <f t="shared" si="62"/>
        <v>0</v>
      </c>
      <c r="Y488">
        <f t="shared" si="56"/>
        <v>0</v>
      </c>
      <c r="Z488">
        <f t="shared" si="57"/>
        <v>0</v>
      </c>
    </row>
    <row r="489" spans="2:26">
      <c r="B489" t="str">
        <f t="shared" si="65"/>
        <v>BLUE</v>
      </c>
      <c r="C489" s="6">
        <f t="shared" si="58"/>
        <v>193</v>
      </c>
      <c r="I489">
        <f t="shared" si="59"/>
        <v>0</v>
      </c>
      <c r="N489" s="59">
        <f t="shared" si="63"/>
        <v>0</v>
      </c>
      <c r="O489" s="59">
        <f t="shared" si="64"/>
        <v>0</v>
      </c>
      <c r="T489">
        <f t="shared" si="62"/>
        <v>0</v>
      </c>
      <c r="Y489">
        <f t="shared" si="56"/>
        <v>0</v>
      </c>
      <c r="Z489">
        <f t="shared" si="57"/>
        <v>0</v>
      </c>
    </row>
    <row r="490" spans="2:26">
      <c r="B490" t="str">
        <f t="shared" si="65"/>
        <v>BLUE</v>
      </c>
      <c r="C490" s="6">
        <f t="shared" si="58"/>
        <v>194</v>
      </c>
      <c r="I490">
        <f t="shared" si="59"/>
        <v>0</v>
      </c>
      <c r="N490" s="59">
        <f t="shared" si="63"/>
        <v>0</v>
      </c>
      <c r="O490" s="59">
        <f t="shared" si="64"/>
        <v>0</v>
      </c>
      <c r="T490">
        <f t="shared" si="62"/>
        <v>0</v>
      </c>
      <c r="Y490">
        <f t="shared" si="56"/>
        <v>0</v>
      </c>
      <c r="Z490">
        <f t="shared" si="57"/>
        <v>0</v>
      </c>
    </row>
    <row r="491" spans="2:26">
      <c r="B491" t="str">
        <f t="shared" si="65"/>
        <v>BLUE</v>
      </c>
      <c r="C491" s="6">
        <f t="shared" si="58"/>
        <v>195</v>
      </c>
      <c r="I491">
        <f t="shared" si="59"/>
        <v>0</v>
      </c>
      <c r="N491" s="59">
        <f t="shared" si="63"/>
        <v>0</v>
      </c>
      <c r="O491" s="59">
        <f t="shared" si="64"/>
        <v>0</v>
      </c>
      <c r="T491">
        <f t="shared" si="62"/>
        <v>0</v>
      </c>
      <c r="Y491">
        <f t="shared" si="56"/>
        <v>0</v>
      </c>
      <c r="Z491">
        <f t="shared" si="57"/>
        <v>0</v>
      </c>
    </row>
    <row r="492" spans="2:26">
      <c r="B492" t="str">
        <f t="shared" si="65"/>
        <v>BLUE</v>
      </c>
      <c r="C492" s="6">
        <f t="shared" si="58"/>
        <v>196</v>
      </c>
      <c r="I492">
        <f t="shared" si="59"/>
        <v>0</v>
      </c>
      <c r="N492" s="59">
        <f t="shared" si="63"/>
        <v>0</v>
      </c>
      <c r="O492" s="59">
        <f t="shared" si="64"/>
        <v>0</v>
      </c>
      <c r="T492">
        <f t="shared" si="62"/>
        <v>0</v>
      </c>
      <c r="Y492">
        <f t="shared" si="56"/>
        <v>0</v>
      </c>
      <c r="Z492">
        <f t="shared" si="57"/>
        <v>0</v>
      </c>
    </row>
    <row r="493" spans="2:26">
      <c r="B493" t="str">
        <f t="shared" si="65"/>
        <v>BLUE</v>
      </c>
      <c r="C493" s="6">
        <f t="shared" si="58"/>
        <v>197</v>
      </c>
      <c r="I493">
        <f t="shared" si="59"/>
        <v>0</v>
      </c>
      <c r="N493" s="59">
        <f t="shared" si="63"/>
        <v>0</v>
      </c>
      <c r="O493" s="59">
        <f t="shared" si="64"/>
        <v>0</v>
      </c>
      <c r="T493">
        <f t="shared" si="62"/>
        <v>0</v>
      </c>
      <c r="Y493">
        <f t="shared" si="56"/>
        <v>0</v>
      </c>
      <c r="Z493">
        <f t="shared" si="57"/>
        <v>0</v>
      </c>
    </row>
    <row r="494" spans="2:26">
      <c r="B494" t="str">
        <f t="shared" si="65"/>
        <v>BLUE</v>
      </c>
      <c r="C494" s="6">
        <f t="shared" si="58"/>
        <v>198</v>
      </c>
      <c r="I494">
        <f t="shared" si="59"/>
        <v>0</v>
      </c>
      <c r="N494" s="59">
        <f t="shared" si="63"/>
        <v>0</v>
      </c>
      <c r="O494" s="59">
        <f t="shared" si="64"/>
        <v>0</v>
      </c>
      <c r="T494">
        <f t="shared" si="62"/>
        <v>0</v>
      </c>
      <c r="Y494">
        <f t="shared" ref="Y494:Y557" si="66">SUM($U494:$X494)</f>
        <v>0</v>
      </c>
      <c r="Z494">
        <f t="shared" ref="Z494:Z557" si="67">SUM($T494,$Y494)</f>
        <v>0</v>
      </c>
    </row>
    <row r="495" spans="2:26">
      <c r="B495" t="str">
        <f t="shared" si="65"/>
        <v>BLUE</v>
      </c>
      <c r="C495" s="6">
        <f t="shared" si="58"/>
        <v>199</v>
      </c>
      <c r="I495">
        <f t="shared" si="59"/>
        <v>0</v>
      </c>
      <c r="N495" s="59">
        <f t="shared" si="63"/>
        <v>0</v>
      </c>
      <c r="O495" s="59">
        <f t="shared" si="64"/>
        <v>0</v>
      </c>
      <c r="T495">
        <f t="shared" si="62"/>
        <v>0</v>
      </c>
      <c r="Y495">
        <f t="shared" si="66"/>
        <v>0</v>
      </c>
      <c r="Z495">
        <f t="shared" si="67"/>
        <v>0</v>
      </c>
    </row>
    <row r="496" spans="2:26">
      <c r="B496" t="str">
        <f t="shared" si="65"/>
        <v>BLUE</v>
      </c>
      <c r="C496" s="6">
        <f t="shared" si="58"/>
        <v>200</v>
      </c>
      <c r="I496">
        <f t="shared" si="59"/>
        <v>0</v>
      </c>
      <c r="N496" s="59">
        <f t="shared" si="63"/>
        <v>0</v>
      </c>
      <c r="O496" s="59">
        <f t="shared" si="64"/>
        <v>0</v>
      </c>
      <c r="T496">
        <f t="shared" si="62"/>
        <v>0</v>
      </c>
      <c r="Y496">
        <f t="shared" si="66"/>
        <v>0</v>
      </c>
      <c r="Z496">
        <f t="shared" si="67"/>
        <v>0</v>
      </c>
    </row>
    <row r="497" spans="2:26">
      <c r="B497" t="str">
        <f t="shared" si="65"/>
        <v>BLUE</v>
      </c>
      <c r="C497" s="6">
        <f t="shared" si="58"/>
        <v>201</v>
      </c>
      <c r="I497">
        <f t="shared" si="59"/>
        <v>0</v>
      </c>
      <c r="N497" s="59">
        <f t="shared" si="63"/>
        <v>0</v>
      </c>
      <c r="O497" s="59">
        <f t="shared" si="64"/>
        <v>0</v>
      </c>
      <c r="T497">
        <f t="shared" si="62"/>
        <v>0</v>
      </c>
      <c r="Y497">
        <f t="shared" si="66"/>
        <v>0</v>
      </c>
      <c r="Z497">
        <f t="shared" si="67"/>
        <v>0</v>
      </c>
    </row>
    <row r="498" spans="2:26">
      <c r="B498" t="str">
        <f t="shared" si="65"/>
        <v>BLUE</v>
      </c>
      <c r="C498" s="6">
        <f t="shared" si="58"/>
        <v>202</v>
      </c>
      <c r="I498">
        <f t="shared" si="59"/>
        <v>0</v>
      </c>
      <c r="N498" s="59">
        <f t="shared" si="63"/>
        <v>0</v>
      </c>
      <c r="O498" s="59">
        <f t="shared" si="64"/>
        <v>0</v>
      </c>
      <c r="T498">
        <f t="shared" si="62"/>
        <v>0</v>
      </c>
      <c r="Y498">
        <f t="shared" si="66"/>
        <v>0</v>
      </c>
      <c r="Z498">
        <f t="shared" si="67"/>
        <v>0</v>
      </c>
    </row>
    <row r="499" spans="2:26">
      <c r="B499" t="str">
        <f t="shared" si="65"/>
        <v>BLUE</v>
      </c>
      <c r="C499" s="6">
        <f t="shared" si="58"/>
        <v>203</v>
      </c>
      <c r="I499">
        <f t="shared" si="59"/>
        <v>0</v>
      </c>
      <c r="N499" s="59">
        <f t="shared" si="63"/>
        <v>0</v>
      </c>
      <c r="O499" s="59">
        <f t="shared" si="64"/>
        <v>0</v>
      </c>
      <c r="T499">
        <f t="shared" si="62"/>
        <v>0</v>
      </c>
      <c r="Y499">
        <f t="shared" si="66"/>
        <v>0</v>
      </c>
      <c r="Z499">
        <f t="shared" si="67"/>
        <v>0</v>
      </c>
    </row>
    <row r="500" spans="2:26">
      <c r="B500" t="str">
        <f t="shared" si="65"/>
        <v>BLUE</v>
      </c>
      <c r="C500" s="6">
        <f t="shared" si="58"/>
        <v>204</v>
      </c>
      <c r="I500">
        <f t="shared" si="59"/>
        <v>0</v>
      </c>
      <c r="N500" s="59">
        <f t="shared" si="63"/>
        <v>0</v>
      </c>
      <c r="O500" s="59">
        <f t="shared" si="64"/>
        <v>0</v>
      </c>
      <c r="T500">
        <f t="shared" si="62"/>
        <v>0</v>
      </c>
      <c r="Y500">
        <f t="shared" si="66"/>
        <v>0</v>
      </c>
      <c r="Z500">
        <f t="shared" si="67"/>
        <v>0</v>
      </c>
    </row>
    <row r="501" spans="2:26">
      <c r="B501" t="str">
        <f t="shared" si="65"/>
        <v>BLUE</v>
      </c>
      <c r="C501" s="6">
        <f t="shared" ref="C501:C564" si="68">C500+1</f>
        <v>205</v>
      </c>
      <c r="I501">
        <f t="shared" si="59"/>
        <v>0</v>
      </c>
      <c r="N501" s="59">
        <f t="shared" si="63"/>
        <v>0</v>
      </c>
      <c r="O501" s="59">
        <f t="shared" si="64"/>
        <v>0</v>
      </c>
      <c r="T501">
        <f t="shared" si="62"/>
        <v>0</v>
      </c>
      <c r="Y501">
        <f t="shared" si="66"/>
        <v>0</v>
      </c>
      <c r="Z501">
        <f t="shared" si="67"/>
        <v>0</v>
      </c>
    </row>
    <row r="502" spans="2:26">
      <c r="B502" t="str">
        <f t="shared" si="65"/>
        <v>BLUE</v>
      </c>
      <c r="C502" s="6">
        <f t="shared" si="68"/>
        <v>206</v>
      </c>
      <c r="I502">
        <f t="shared" si="59"/>
        <v>0</v>
      </c>
      <c r="N502" s="59">
        <f t="shared" si="63"/>
        <v>0</v>
      </c>
      <c r="O502" s="59">
        <f t="shared" si="64"/>
        <v>0</v>
      </c>
      <c r="T502">
        <f t="shared" si="62"/>
        <v>0</v>
      </c>
      <c r="Y502">
        <f t="shared" si="66"/>
        <v>0</v>
      </c>
      <c r="Z502">
        <f t="shared" si="67"/>
        <v>0</v>
      </c>
    </row>
    <row r="503" spans="2:26">
      <c r="B503" t="str">
        <f t="shared" si="65"/>
        <v>BLUE</v>
      </c>
      <c r="C503" s="6">
        <f t="shared" si="68"/>
        <v>207</v>
      </c>
      <c r="I503">
        <f t="shared" si="59"/>
        <v>0</v>
      </c>
      <c r="N503" s="59">
        <f t="shared" si="63"/>
        <v>0</v>
      </c>
      <c r="O503" s="59">
        <f t="shared" si="64"/>
        <v>0</v>
      </c>
      <c r="T503">
        <f t="shared" si="62"/>
        <v>0</v>
      </c>
      <c r="Y503">
        <f t="shared" si="66"/>
        <v>0</v>
      </c>
      <c r="Z503">
        <f t="shared" si="67"/>
        <v>0</v>
      </c>
    </row>
    <row r="504" spans="2:26">
      <c r="B504" t="str">
        <f t="shared" si="65"/>
        <v>BLUE</v>
      </c>
      <c r="C504" s="6">
        <f t="shared" si="68"/>
        <v>208</v>
      </c>
      <c r="I504">
        <f t="shared" si="59"/>
        <v>0</v>
      </c>
      <c r="N504" s="59">
        <f t="shared" si="63"/>
        <v>0</v>
      </c>
      <c r="O504" s="59">
        <f t="shared" si="64"/>
        <v>0</v>
      </c>
      <c r="T504">
        <f t="shared" si="62"/>
        <v>0</v>
      </c>
      <c r="Y504">
        <f t="shared" si="66"/>
        <v>0</v>
      </c>
      <c r="Z504">
        <f t="shared" si="67"/>
        <v>0</v>
      </c>
    </row>
    <row r="505" spans="2:26">
      <c r="B505" t="str">
        <f t="shared" si="65"/>
        <v>BLUE</v>
      </c>
      <c r="C505" s="6">
        <f t="shared" si="68"/>
        <v>209</v>
      </c>
      <c r="I505">
        <f t="shared" si="59"/>
        <v>0</v>
      </c>
      <c r="N505" s="59">
        <f t="shared" si="63"/>
        <v>0</v>
      </c>
      <c r="O505" s="59">
        <f t="shared" si="64"/>
        <v>0</v>
      </c>
      <c r="T505">
        <f t="shared" si="62"/>
        <v>0</v>
      </c>
      <c r="Y505">
        <f t="shared" si="66"/>
        <v>0</v>
      </c>
      <c r="Z505">
        <f t="shared" si="67"/>
        <v>0</v>
      </c>
    </row>
    <row r="506" spans="2:26">
      <c r="B506" t="str">
        <f t="shared" si="65"/>
        <v>BLUE</v>
      </c>
      <c r="C506" s="6">
        <f t="shared" si="68"/>
        <v>210</v>
      </c>
      <c r="I506">
        <f t="shared" si="59"/>
        <v>0</v>
      </c>
      <c r="N506" s="59">
        <f t="shared" si="63"/>
        <v>0</v>
      </c>
      <c r="O506" s="59">
        <f t="shared" si="64"/>
        <v>0</v>
      </c>
      <c r="T506">
        <f t="shared" si="62"/>
        <v>0</v>
      </c>
      <c r="Y506">
        <f t="shared" si="66"/>
        <v>0</v>
      </c>
      <c r="Z506">
        <f t="shared" si="67"/>
        <v>0</v>
      </c>
    </row>
    <row r="507" spans="2:26">
      <c r="B507" t="str">
        <f t="shared" si="65"/>
        <v>BLUE</v>
      </c>
      <c r="C507" s="6">
        <f t="shared" si="68"/>
        <v>211</v>
      </c>
      <c r="I507">
        <f t="shared" si="59"/>
        <v>0</v>
      </c>
      <c r="N507" s="59">
        <f t="shared" si="63"/>
        <v>0</v>
      </c>
      <c r="O507" s="59">
        <f t="shared" si="64"/>
        <v>0</v>
      </c>
      <c r="T507">
        <f t="shared" si="62"/>
        <v>0</v>
      </c>
      <c r="Y507">
        <f t="shared" si="66"/>
        <v>0</v>
      </c>
      <c r="Z507">
        <f t="shared" si="67"/>
        <v>0</v>
      </c>
    </row>
    <row r="508" spans="2:26">
      <c r="B508" t="str">
        <f t="shared" si="65"/>
        <v>BLUE</v>
      </c>
      <c r="C508" s="6">
        <f t="shared" si="68"/>
        <v>212</v>
      </c>
      <c r="I508">
        <f t="shared" si="59"/>
        <v>0</v>
      </c>
      <c r="N508" s="59">
        <f t="shared" si="63"/>
        <v>0</v>
      </c>
      <c r="O508" s="59">
        <f t="shared" si="64"/>
        <v>0</v>
      </c>
      <c r="T508">
        <f t="shared" si="62"/>
        <v>0</v>
      </c>
      <c r="Y508">
        <f t="shared" si="66"/>
        <v>0</v>
      </c>
      <c r="Z508">
        <f t="shared" si="67"/>
        <v>0</v>
      </c>
    </row>
    <row r="509" spans="2:26">
      <c r="B509" t="str">
        <f t="shared" si="65"/>
        <v>BLUE</v>
      </c>
      <c r="C509" s="6">
        <f t="shared" si="68"/>
        <v>213</v>
      </c>
      <c r="I509">
        <f t="shared" si="59"/>
        <v>0</v>
      </c>
      <c r="N509" s="59">
        <f t="shared" si="63"/>
        <v>0</v>
      </c>
      <c r="O509" s="59">
        <f t="shared" si="64"/>
        <v>0</v>
      </c>
      <c r="T509">
        <f t="shared" si="62"/>
        <v>0</v>
      </c>
      <c r="Y509">
        <f t="shared" si="66"/>
        <v>0</v>
      </c>
      <c r="Z509">
        <f t="shared" si="67"/>
        <v>0</v>
      </c>
    </row>
    <row r="510" spans="2:26">
      <c r="B510" t="str">
        <f t="shared" si="65"/>
        <v>BLUE</v>
      </c>
      <c r="C510" s="6">
        <f t="shared" si="68"/>
        <v>214</v>
      </c>
      <c r="I510">
        <f t="shared" ref="I510:I573" si="69">SUM($E510:$H510)</f>
        <v>0</v>
      </c>
      <c r="N510" s="59">
        <f t="shared" si="63"/>
        <v>0</v>
      </c>
      <c r="O510" s="59">
        <f t="shared" si="64"/>
        <v>0</v>
      </c>
      <c r="T510">
        <f t="shared" ref="T510:T573" si="70">SUM($P510:$S510)</f>
        <v>0</v>
      </c>
      <c r="Y510">
        <f t="shared" si="66"/>
        <v>0</v>
      </c>
      <c r="Z510">
        <f t="shared" si="67"/>
        <v>0</v>
      </c>
    </row>
    <row r="511" spans="2:26">
      <c r="B511" t="str">
        <f t="shared" si="65"/>
        <v>BLUE</v>
      </c>
      <c r="C511" s="6">
        <f t="shared" si="68"/>
        <v>215</v>
      </c>
      <c r="I511">
        <f t="shared" si="69"/>
        <v>0</v>
      </c>
      <c r="N511" s="59">
        <f t="shared" si="63"/>
        <v>0</v>
      </c>
      <c r="O511" s="59">
        <f t="shared" si="64"/>
        <v>0</v>
      </c>
      <c r="T511">
        <f t="shared" si="70"/>
        <v>0</v>
      </c>
      <c r="Y511">
        <f t="shared" si="66"/>
        <v>0</v>
      </c>
      <c r="Z511">
        <f t="shared" si="67"/>
        <v>0</v>
      </c>
    </row>
    <row r="512" spans="2:26">
      <c r="B512" t="str">
        <f t="shared" si="65"/>
        <v>BLUE</v>
      </c>
      <c r="C512" s="6">
        <f t="shared" si="68"/>
        <v>216</v>
      </c>
      <c r="I512">
        <f t="shared" si="69"/>
        <v>0</v>
      </c>
      <c r="N512" s="59">
        <f t="shared" si="63"/>
        <v>0</v>
      </c>
      <c r="O512" s="59">
        <f t="shared" si="64"/>
        <v>0</v>
      </c>
      <c r="T512">
        <f t="shared" si="70"/>
        <v>0</v>
      </c>
      <c r="Y512">
        <f t="shared" si="66"/>
        <v>0</v>
      </c>
      <c r="Z512">
        <f t="shared" si="67"/>
        <v>0</v>
      </c>
    </row>
    <row r="513" spans="2:26">
      <c r="B513" t="str">
        <f t="shared" si="65"/>
        <v>BLUE</v>
      </c>
      <c r="C513" s="6">
        <f t="shared" si="68"/>
        <v>217</v>
      </c>
      <c r="I513">
        <f t="shared" si="69"/>
        <v>0</v>
      </c>
      <c r="N513" s="59">
        <f t="shared" si="63"/>
        <v>0</v>
      </c>
      <c r="O513" s="59">
        <f t="shared" si="64"/>
        <v>0</v>
      </c>
      <c r="T513">
        <f t="shared" si="70"/>
        <v>0</v>
      </c>
      <c r="Y513">
        <f t="shared" si="66"/>
        <v>0</v>
      </c>
      <c r="Z513">
        <f t="shared" si="67"/>
        <v>0</v>
      </c>
    </row>
    <row r="514" spans="2:26">
      <c r="B514" t="str">
        <f t="shared" si="65"/>
        <v>BLUE</v>
      </c>
      <c r="C514" s="6">
        <f t="shared" si="68"/>
        <v>218</v>
      </c>
      <c r="I514">
        <f t="shared" si="69"/>
        <v>0</v>
      </c>
      <c r="N514" s="59">
        <f t="shared" si="63"/>
        <v>0</v>
      </c>
      <c r="O514" s="59">
        <f t="shared" si="64"/>
        <v>0</v>
      </c>
      <c r="T514">
        <f t="shared" si="70"/>
        <v>0</v>
      </c>
      <c r="Y514">
        <f t="shared" si="66"/>
        <v>0</v>
      </c>
      <c r="Z514">
        <f t="shared" si="67"/>
        <v>0</v>
      </c>
    </row>
    <row r="515" spans="2:26">
      <c r="B515" t="str">
        <f t="shared" si="65"/>
        <v>BLUE</v>
      </c>
      <c r="C515" s="6">
        <f t="shared" si="68"/>
        <v>219</v>
      </c>
      <c r="I515">
        <f t="shared" si="69"/>
        <v>0</v>
      </c>
      <c r="N515" s="59">
        <f t="shared" si="63"/>
        <v>0</v>
      </c>
      <c r="O515" s="59">
        <f t="shared" si="64"/>
        <v>0</v>
      </c>
      <c r="T515">
        <f t="shared" si="70"/>
        <v>0</v>
      </c>
      <c r="Y515">
        <f t="shared" si="66"/>
        <v>0</v>
      </c>
      <c r="Z515">
        <f t="shared" si="67"/>
        <v>0</v>
      </c>
    </row>
    <row r="516" spans="2:26">
      <c r="B516" t="str">
        <f t="shared" si="65"/>
        <v>BLUE</v>
      </c>
      <c r="C516" s="6">
        <f t="shared" si="68"/>
        <v>220</v>
      </c>
      <c r="I516">
        <f t="shared" si="69"/>
        <v>0</v>
      </c>
      <c r="N516" s="59">
        <f t="shared" si="63"/>
        <v>0</v>
      </c>
      <c r="O516" s="59">
        <f t="shared" si="64"/>
        <v>0</v>
      </c>
      <c r="T516">
        <f t="shared" si="70"/>
        <v>0</v>
      </c>
      <c r="Y516">
        <f t="shared" si="66"/>
        <v>0</v>
      </c>
      <c r="Z516">
        <f t="shared" si="67"/>
        <v>0</v>
      </c>
    </row>
    <row r="517" spans="2:26">
      <c r="B517" t="str">
        <f t="shared" si="65"/>
        <v>BLUE</v>
      </c>
      <c r="C517" s="6">
        <f t="shared" si="68"/>
        <v>221</v>
      </c>
      <c r="I517">
        <f t="shared" si="69"/>
        <v>0</v>
      </c>
      <c r="N517" s="59">
        <f t="shared" si="63"/>
        <v>0</v>
      </c>
      <c r="O517" s="59">
        <f t="shared" si="64"/>
        <v>0</v>
      </c>
      <c r="T517">
        <f t="shared" si="70"/>
        <v>0</v>
      </c>
      <c r="Y517">
        <f t="shared" si="66"/>
        <v>0</v>
      </c>
      <c r="Z517">
        <f t="shared" si="67"/>
        <v>0</v>
      </c>
    </row>
    <row r="518" spans="2:26">
      <c r="B518" t="str">
        <f t="shared" si="65"/>
        <v>BLUE</v>
      </c>
      <c r="C518" s="6">
        <f t="shared" si="68"/>
        <v>222</v>
      </c>
      <c r="I518">
        <f t="shared" si="69"/>
        <v>0</v>
      </c>
      <c r="N518" s="59">
        <f t="shared" si="63"/>
        <v>0</v>
      </c>
      <c r="O518" s="59">
        <f t="shared" si="64"/>
        <v>0</v>
      </c>
      <c r="T518">
        <f t="shared" si="70"/>
        <v>0</v>
      </c>
      <c r="Y518">
        <f t="shared" si="66"/>
        <v>0</v>
      </c>
      <c r="Z518">
        <f t="shared" si="67"/>
        <v>0</v>
      </c>
    </row>
    <row r="519" spans="2:26">
      <c r="B519" t="str">
        <f t="shared" si="65"/>
        <v>BLUE</v>
      </c>
      <c r="C519" s="6">
        <f t="shared" si="68"/>
        <v>223</v>
      </c>
      <c r="I519">
        <f t="shared" si="69"/>
        <v>0</v>
      </c>
      <c r="N519" s="59">
        <f t="shared" si="63"/>
        <v>0</v>
      </c>
      <c r="O519" s="59">
        <f t="shared" si="64"/>
        <v>0</v>
      </c>
      <c r="T519">
        <f t="shared" si="70"/>
        <v>0</v>
      </c>
      <c r="Y519">
        <f t="shared" si="66"/>
        <v>0</v>
      </c>
      <c r="Z519">
        <f t="shared" si="67"/>
        <v>0</v>
      </c>
    </row>
    <row r="520" spans="2:26">
      <c r="B520" t="str">
        <f t="shared" si="65"/>
        <v>BLUE</v>
      </c>
      <c r="C520" s="6">
        <f t="shared" si="68"/>
        <v>224</v>
      </c>
      <c r="I520">
        <f t="shared" si="69"/>
        <v>0</v>
      </c>
      <c r="N520" s="59">
        <f t="shared" si="63"/>
        <v>0</v>
      </c>
      <c r="O520" s="59">
        <f t="shared" si="64"/>
        <v>0</v>
      </c>
      <c r="T520">
        <f t="shared" si="70"/>
        <v>0</v>
      </c>
      <c r="Y520">
        <f t="shared" si="66"/>
        <v>0</v>
      </c>
      <c r="Z520">
        <f t="shared" si="67"/>
        <v>0</v>
      </c>
    </row>
    <row r="521" spans="2:26">
      <c r="B521" t="str">
        <f t="shared" si="65"/>
        <v>BLUE</v>
      </c>
      <c r="C521" s="6">
        <f t="shared" si="68"/>
        <v>225</v>
      </c>
      <c r="I521">
        <f t="shared" si="69"/>
        <v>0</v>
      </c>
      <c r="N521" s="59">
        <f t="shared" ref="N521:N584" si="71">SUM($J521:$M521)</f>
        <v>0</v>
      </c>
      <c r="O521" s="59">
        <f t="shared" ref="O521:O584" si="72">SUM($I521, $N521)</f>
        <v>0</v>
      </c>
      <c r="T521">
        <f t="shared" si="70"/>
        <v>0</v>
      </c>
      <c r="Y521">
        <f t="shared" si="66"/>
        <v>0</v>
      </c>
      <c r="Z521">
        <f t="shared" si="67"/>
        <v>0</v>
      </c>
    </row>
    <row r="522" spans="2:26">
      <c r="B522" t="str">
        <f t="shared" si="65"/>
        <v>BLUE</v>
      </c>
      <c r="C522" s="6">
        <f t="shared" si="68"/>
        <v>226</v>
      </c>
      <c r="I522">
        <f t="shared" si="69"/>
        <v>0</v>
      </c>
      <c r="N522" s="59">
        <f t="shared" si="71"/>
        <v>0</v>
      </c>
      <c r="O522" s="59">
        <f t="shared" si="72"/>
        <v>0</v>
      </c>
      <c r="T522">
        <f t="shared" si="70"/>
        <v>0</v>
      </c>
      <c r="Y522">
        <f t="shared" si="66"/>
        <v>0</v>
      </c>
      <c r="Z522">
        <f t="shared" si="67"/>
        <v>0</v>
      </c>
    </row>
    <row r="523" spans="2:26">
      <c r="B523" t="str">
        <f t="shared" si="65"/>
        <v>BLUE</v>
      </c>
      <c r="C523" s="6">
        <f t="shared" si="68"/>
        <v>227</v>
      </c>
      <c r="I523">
        <f t="shared" si="69"/>
        <v>0</v>
      </c>
      <c r="N523" s="59">
        <f t="shared" si="71"/>
        <v>0</v>
      </c>
      <c r="O523" s="59">
        <f t="shared" si="72"/>
        <v>0</v>
      </c>
      <c r="T523">
        <f t="shared" si="70"/>
        <v>0</v>
      </c>
      <c r="Y523">
        <f t="shared" si="66"/>
        <v>0</v>
      </c>
      <c r="Z523">
        <f t="shared" si="67"/>
        <v>0</v>
      </c>
    </row>
    <row r="524" spans="2:26">
      <c r="B524" t="str">
        <f t="shared" si="65"/>
        <v>BLUE</v>
      </c>
      <c r="C524" s="6">
        <f t="shared" si="68"/>
        <v>228</v>
      </c>
      <c r="I524">
        <f t="shared" si="69"/>
        <v>0</v>
      </c>
      <c r="N524" s="59">
        <f t="shared" si="71"/>
        <v>0</v>
      </c>
      <c r="O524" s="59">
        <f t="shared" si="72"/>
        <v>0</v>
      </c>
      <c r="T524">
        <f t="shared" si="70"/>
        <v>0</v>
      </c>
      <c r="Y524">
        <f t="shared" si="66"/>
        <v>0</v>
      </c>
      <c r="Z524">
        <f t="shared" si="67"/>
        <v>0</v>
      </c>
    </row>
    <row r="525" spans="2:26">
      <c r="B525" t="str">
        <f t="shared" si="65"/>
        <v>BLUE</v>
      </c>
      <c r="C525" s="6">
        <f t="shared" si="68"/>
        <v>229</v>
      </c>
      <c r="I525">
        <f t="shared" si="69"/>
        <v>0</v>
      </c>
      <c r="N525" s="59">
        <f t="shared" si="71"/>
        <v>0</v>
      </c>
      <c r="O525" s="59">
        <f t="shared" si="72"/>
        <v>0</v>
      </c>
      <c r="T525">
        <f t="shared" si="70"/>
        <v>0</v>
      </c>
      <c r="Y525">
        <f t="shared" si="66"/>
        <v>0</v>
      </c>
      <c r="Z525">
        <f t="shared" si="67"/>
        <v>0</v>
      </c>
    </row>
    <row r="526" spans="2:26">
      <c r="B526" t="str">
        <f t="shared" si="65"/>
        <v>BLUE</v>
      </c>
      <c r="C526" s="6">
        <f t="shared" si="68"/>
        <v>230</v>
      </c>
      <c r="I526">
        <f t="shared" si="69"/>
        <v>0</v>
      </c>
      <c r="N526" s="59">
        <f t="shared" si="71"/>
        <v>0</v>
      </c>
      <c r="O526" s="59">
        <f t="shared" si="72"/>
        <v>0</v>
      </c>
      <c r="T526">
        <f t="shared" si="70"/>
        <v>0</v>
      </c>
      <c r="Y526">
        <f t="shared" si="66"/>
        <v>0</v>
      </c>
      <c r="Z526">
        <f t="shared" si="67"/>
        <v>0</v>
      </c>
    </row>
    <row r="527" spans="2:26">
      <c r="B527" t="str">
        <f t="shared" si="65"/>
        <v>BLUE</v>
      </c>
      <c r="C527" s="6">
        <f t="shared" si="68"/>
        <v>231</v>
      </c>
      <c r="I527">
        <f t="shared" si="69"/>
        <v>0</v>
      </c>
      <c r="N527" s="59">
        <f t="shared" si="71"/>
        <v>0</v>
      </c>
      <c r="O527" s="59">
        <f t="shared" si="72"/>
        <v>0</v>
      </c>
      <c r="T527">
        <f t="shared" si="70"/>
        <v>0</v>
      </c>
      <c r="Y527">
        <f t="shared" si="66"/>
        <v>0</v>
      </c>
      <c r="Z527">
        <f t="shared" si="67"/>
        <v>0</v>
      </c>
    </row>
    <row r="528" spans="2:26">
      <c r="B528" t="str">
        <f t="shared" si="65"/>
        <v>BLUE</v>
      </c>
      <c r="C528" s="6">
        <f t="shared" si="68"/>
        <v>232</v>
      </c>
      <c r="I528">
        <f t="shared" si="69"/>
        <v>0</v>
      </c>
      <c r="N528" s="59">
        <f t="shared" si="71"/>
        <v>0</v>
      </c>
      <c r="O528" s="59">
        <f t="shared" si="72"/>
        <v>0</v>
      </c>
      <c r="T528">
        <f t="shared" si="70"/>
        <v>0</v>
      </c>
      <c r="Y528">
        <f t="shared" si="66"/>
        <v>0</v>
      </c>
      <c r="Z528">
        <f t="shared" si="67"/>
        <v>0</v>
      </c>
    </row>
    <row r="529" spans="2:26">
      <c r="B529" t="str">
        <f t="shared" si="65"/>
        <v>BLUE</v>
      </c>
      <c r="C529" s="6">
        <f t="shared" si="68"/>
        <v>233</v>
      </c>
      <c r="I529">
        <f t="shared" si="69"/>
        <v>0</v>
      </c>
      <c r="N529" s="59">
        <f t="shared" si="71"/>
        <v>0</v>
      </c>
      <c r="O529" s="59">
        <f t="shared" si="72"/>
        <v>0</v>
      </c>
      <c r="T529">
        <f t="shared" si="70"/>
        <v>0</v>
      </c>
      <c r="Y529">
        <f t="shared" si="66"/>
        <v>0</v>
      </c>
      <c r="Z529">
        <f t="shared" si="67"/>
        <v>0</v>
      </c>
    </row>
    <row r="530" spans="2:26">
      <c r="B530" t="str">
        <f t="shared" si="65"/>
        <v>BLUE</v>
      </c>
      <c r="C530" s="6">
        <f t="shared" si="68"/>
        <v>234</v>
      </c>
      <c r="I530">
        <f t="shared" si="69"/>
        <v>0</v>
      </c>
      <c r="N530" s="59">
        <f t="shared" si="71"/>
        <v>0</v>
      </c>
      <c r="O530" s="59">
        <f t="shared" si="72"/>
        <v>0</v>
      </c>
      <c r="T530">
        <f t="shared" si="70"/>
        <v>0</v>
      </c>
      <c r="Y530">
        <f t="shared" si="66"/>
        <v>0</v>
      </c>
      <c r="Z530">
        <f t="shared" si="67"/>
        <v>0</v>
      </c>
    </row>
    <row r="531" spans="2:26">
      <c r="B531" t="str">
        <f t="shared" ref="B531:B594" si="73">B530</f>
        <v>BLUE</v>
      </c>
      <c r="C531" s="6">
        <f t="shared" si="68"/>
        <v>235</v>
      </c>
      <c r="I531">
        <f t="shared" si="69"/>
        <v>0</v>
      </c>
      <c r="N531" s="59">
        <f t="shared" si="71"/>
        <v>0</v>
      </c>
      <c r="O531" s="59">
        <f t="shared" si="72"/>
        <v>0</v>
      </c>
      <c r="T531">
        <f t="shared" si="70"/>
        <v>0</v>
      </c>
      <c r="Y531">
        <f t="shared" si="66"/>
        <v>0</v>
      </c>
      <c r="Z531">
        <f t="shared" si="67"/>
        <v>0</v>
      </c>
    </row>
    <row r="532" spans="2:26">
      <c r="B532" t="str">
        <f t="shared" si="73"/>
        <v>BLUE</v>
      </c>
      <c r="C532" s="6">
        <f t="shared" si="68"/>
        <v>236</v>
      </c>
      <c r="I532">
        <f t="shared" si="69"/>
        <v>0</v>
      </c>
      <c r="N532" s="59">
        <f t="shared" si="71"/>
        <v>0</v>
      </c>
      <c r="O532" s="59">
        <f t="shared" si="72"/>
        <v>0</v>
      </c>
      <c r="T532">
        <f t="shared" si="70"/>
        <v>0</v>
      </c>
      <c r="Y532">
        <f t="shared" si="66"/>
        <v>0</v>
      </c>
      <c r="Z532">
        <f t="shared" si="67"/>
        <v>0</v>
      </c>
    </row>
    <row r="533" spans="2:26">
      <c r="B533" t="str">
        <f t="shared" si="73"/>
        <v>BLUE</v>
      </c>
      <c r="C533" s="6">
        <f t="shared" si="68"/>
        <v>237</v>
      </c>
      <c r="I533">
        <f t="shared" si="69"/>
        <v>0</v>
      </c>
      <c r="N533" s="59">
        <f t="shared" si="71"/>
        <v>0</v>
      </c>
      <c r="O533" s="59">
        <f t="shared" si="72"/>
        <v>0</v>
      </c>
      <c r="T533">
        <f t="shared" si="70"/>
        <v>0</v>
      </c>
      <c r="Y533">
        <f t="shared" si="66"/>
        <v>0</v>
      </c>
      <c r="Z533">
        <f t="shared" si="67"/>
        <v>0</v>
      </c>
    </row>
    <row r="534" spans="2:26">
      <c r="B534" t="str">
        <f t="shared" si="73"/>
        <v>BLUE</v>
      </c>
      <c r="C534" s="6">
        <f t="shared" si="68"/>
        <v>238</v>
      </c>
      <c r="I534">
        <f t="shared" si="69"/>
        <v>0</v>
      </c>
      <c r="N534" s="59">
        <f t="shared" si="71"/>
        <v>0</v>
      </c>
      <c r="O534" s="59">
        <f t="shared" si="72"/>
        <v>0</v>
      </c>
      <c r="T534">
        <f t="shared" si="70"/>
        <v>0</v>
      </c>
      <c r="Y534">
        <f t="shared" si="66"/>
        <v>0</v>
      </c>
      <c r="Z534">
        <f t="shared" si="67"/>
        <v>0</v>
      </c>
    </row>
    <row r="535" spans="2:26">
      <c r="B535" t="str">
        <f t="shared" si="73"/>
        <v>BLUE</v>
      </c>
      <c r="C535" s="6">
        <f t="shared" si="68"/>
        <v>239</v>
      </c>
      <c r="I535">
        <f t="shared" si="69"/>
        <v>0</v>
      </c>
      <c r="N535" s="59">
        <f t="shared" si="71"/>
        <v>0</v>
      </c>
      <c r="O535" s="59">
        <f t="shared" si="72"/>
        <v>0</v>
      </c>
      <c r="T535">
        <f t="shared" si="70"/>
        <v>0</v>
      </c>
      <c r="Y535">
        <f t="shared" si="66"/>
        <v>0</v>
      </c>
      <c r="Z535">
        <f t="shared" si="67"/>
        <v>0</v>
      </c>
    </row>
    <row r="536" spans="2:26">
      <c r="B536" t="str">
        <f t="shared" si="73"/>
        <v>BLUE</v>
      </c>
      <c r="C536" s="6">
        <f t="shared" si="68"/>
        <v>240</v>
      </c>
      <c r="I536">
        <f t="shared" si="69"/>
        <v>0</v>
      </c>
      <c r="N536" s="59">
        <f t="shared" si="71"/>
        <v>0</v>
      </c>
      <c r="O536" s="59">
        <f t="shared" si="72"/>
        <v>0</v>
      </c>
      <c r="T536">
        <f t="shared" si="70"/>
        <v>0</v>
      </c>
      <c r="Y536">
        <f t="shared" si="66"/>
        <v>0</v>
      </c>
      <c r="Z536">
        <f t="shared" si="67"/>
        <v>0</v>
      </c>
    </row>
    <row r="537" spans="2:26">
      <c r="B537" t="str">
        <f t="shared" si="73"/>
        <v>BLUE</v>
      </c>
      <c r="C537" s="6">
        <f t="shared" si="68"/>
        <v>241</v>
      </c>
      <c r="I537">
        <f t="shared" si="69"/>
        <v>0</v>
      </c>
      <c r="N537" s="59">
        <f t="shared" si="71"/>
        <v>0</v>
      </c>
      <c r="O537" s="59">
        <f t="shared" si="72"/>
        <v>0</v>
      </c>
      <c r="T537">
        <f t="shared" si="70"/>
        <v>0</v>
      </c>
      <c r="Y537">
        <f t="shared" si="66"/>
        <v>0</v>
      </c>
      <c r="Z537">
        <f t="shared" si="67"/>
        <v>0</v>
      </c>
    </row>
    <row r="538" spans="2:26">
      <c r="B538" t="str">
        <f t="shared" si="73"/>
        <v>BLUE</v>
      </c>
      <c r="C538" s="6">
        <f t="shared" si="68"/>
        <v>242</v>
      </c>
      <c r="I538">
        <f t="shared" si="69"/>
        <v>0</v>
      </c>
      <c r="N538" s="59">
        <f t="shared" si="71"/>
        <v>0</v>
      </c>
      <c r="O538" s="59">
        <f t="shared" si="72"/>
        <v>0</v>
      </c>
      <c r="T538">
        <f t="shared" si="70"/>
        <v>0</v>
      </c>
      <c r="Y538">
        <f t="shared" si="66"/>
        <v>0</v>
      </c>
      <c r="Z538">
        <f t="shared" si="67"/>
        <v>0</v>
      </c>
    </row>
    <row r="539" spans="2:26">
      <c r="B539" t="str">
        <f t="shared" si="73"/>
        <v>BLUE</v>
      </c>
      <c r="C539" s="6">
        <f t="shared" si="68"/>
        <v>243</v>
      </c>
      <c r="I539">
        <f t="shared" si="69"/>
        <v>0</v>
      </c>
      <c r="N539" s="59">
        <f t="shared" si="71"/>
        <v>0</v>
      </c>
      <c r="O539" s="59">
        <f t="shared" si="72"/>
        <v>0</v>
      </c>
      <c r="T539">
        <f t="shared" si="70"/>
        <v>0</v>
      </c>
      <c r="Y539">
        <f t="shared" si="66"/>
        <v>0</v>
      </c>
      <c r="Z539">
        <f t="shared" si="67"/>
        <v>0</v>
      </c>
    </row>
    <row r="540" spans="2:26">
      <c r="B540" t="str">
        <f t="shared" si="73"/>
        <v>BLUE</v>
      </c>
      <c r="C540" s="6">
        <f t="shared" si="68"/>
        <v>244</v>
      </c>
      <c r="I540">
        <f t="shared" si="69"/>
        <v>0</v>
      </c>
      <c r="N540" s="59">
        <f t="shared" si="71"/>
        <v>0</v>
      </c>
      <c r="O540" s="59">
        <f t="shared" si="72"/>
        <v>0</v>
      </c>
      <c r="T540">
        <f t="shared" si="70"/>
        <v>0</v>
      </c>
      <c r="Y540">
        <f t="shared" si="66"/>
        <v>0</v>
      </c>
      <c r="Z540">
        <f t="shared" si="67"/>
        <v>0</v>
      </c>
    </row>
    <row r="541" spans="2:26">
      <c r="B541" t="str">
        <f t="shared" si="73"/>
        <v>BLUE</v>
      </c>
      <c r="C541" s="6">
        <f t="shared" si="68"/>
        <v>245</v>
      </c>
      <c r="I541">
        <f t="shared" si="69"/>
        <v>0</v>
      </c>
      <c r="N541" s="59">
        <f t="shared" si="71"/>
        <v>0</v>
      </c>
      <c r="O541" s="59">
        <f t="shared" si="72"/>
        <v>0</v>
      </c>
      <c r="T541">
        <f t="shared" si="70"/>
        <v>0</v>
      </c>
      <c r="Y541">
        <f t="shared" si="66"/>
        <v>0</v>
      </c>
      <c r="Z541">
        <f t="shared" si="67"/>
        <v>0</v>
      </c>
    </row>
    <row r="542" spans="2:26">
      <c r="B542" t="str">
        <f t="shared" si="73"/>
        <v>BLUE</v>
      </c>
      <c r="C542" s="6">
        <f t="shared" si="68"/>
        <v>246</v>
      </c>
      <c r="I542">
        <f t="shared" si="69"/>
        <v>0</v>
      </c>
      <c r="N542" s="59">
        <f t="shared" si="71"/>
        <v>0</v>
      </c>
      <c r="O542" s="59">
        <f t="shared" si="72"/>
        <v>0</v>
      </c>
      <c r="T542">
        <f t="shared" si="70"/>
        <v>0</v>
      </c>
      <c r="Y542">
        <f t="shared" si="66"/>
        <v>0</v>
      </c>
      <c r="Z542">
        <f t="shared" si="67"/>
        <v>0</v>
      </c>
    </row>
    <row r="543" spans="2:26">
      <c r="B543" t="str">
        <f t="shared" si="73"/>
        <v>BLUE</v>
      </c>
      <c r="C543" s="6">
        <f t="shared" si="68"/>
        <v>247</v>
      </c>
      <c r="I543">
        <f t="shared" si="69"/>
        <v>0</v>
      </c>
      <c r="N543" s="59">
        <f t="shared" si="71"/>
        <v>0</v>
      </c>
      <c r="O543" s="59">
        <f t="shared" si="72"/>
        <v>0</v>
      </c>
      <c r="T543">
        <f t="shared" si="70"/>
        <v>0</v>
      </c>
      <c r="Y543">
        <f t="shared" si="66"/>
        <v>0</v>
      </c>
      <c r="Z543">
        <f t="shared" si="67"/>
        <v>0</v>
      </c>
    </row>
    <row r="544" spans="2:26">
      <c r="B544" t="str">
        <f t="shared" si="73"/>
        <v>BLUE</v>
      </c>
      <c r="C544" s="6">
        <f t="shared" si="68"/>
        <v>248</v>
      </c>
      <c r="I544">
        <f t="shared" si="69"/>
        <v>0</v>
      </c>
      <c r="N544" s="59">
        <f t="shared" si="71"/>
        <v>0</v>
      </c>
      <c r="O544" s="59">
        <f t="shared" si="72"/>
        <v>0</v>
      </c>
      <c r="T544">
        <f t="shared" si="70"/>
        <v>0</v>
      </c>
      <c r="Y544">
        <f t="shared" si="66"/>
        <v>0</v>
      </c>
      <c r="Z544">
        <f t="shared" si="67"/>
        <v>0</v>
      </c>
    </row>
    <row r="545" spans="2:26">
      <c r="B545" t="str">
        <f t="shared" si="73"/>
        <v>BLUE</v>
      </c>
      <c r="C545" s="6">
        <f t="shared" si="68"/>
        <v>249</v>
      </c>
      <c r="I545">
        <f t="shared" si="69"/>
        <v>0</v>
      </c>
      <c r="N545" s="59">
        <f t="shared" si="71"/>
        <v>0</v>
      </c>
      <c r="O545" s="59">
        <f t="shared" si="72"/>
        <v>0</v>
      </c>
      <c r="T545">
        <f t="shared" si="70"/>
        <v>0</v>
      </c>
      <c r="Y545">
        <f t="shared" si="66"/>
        <v>0</v>
      </c>
      <c r="Z545">
        <f t="shared" si="67"/>
        <v>0</v>
      </c>
    </row>
    <row r="546" spans="2:26">
      <c r="B546" t="str">
        <f t="shared" si="73"/>
        <v>BLUE</v>
      </c>
      <c r="C546" s="6">
        <f t="shared" si="68"/>
        <v>250</v>
      </c>
      <c r="I546">
        <f t="shared" si="69"/>
        <v>0</v>
      </c>
      <c r="N546" s="59">
        <f t="shared" si="71"/>
        <v>0</v>
      </c>
      <c r="O546" s="59">
        <f t="shared" si="72"/>
        <v>0</v>
      </c>
      <c r="T546">
        <f t="shared" si="70"/>
        <v>0</v>
      </c>
      <c r="Y546">
        <f t="shared" si="66"/>
        <v>0</v>
      </c>
      <c r="Z546">
        <f t="shared" si="67"/>
        <v>0</v>
      </c>
    </row>
    <row r="547" spans="2:26">
      <c r="B547" t="str">
        <f t="shared" si="73"/>
        <v>BLUE</v>
      </c>
      <c r="C547" s="6">
        <f t="shared" si="68"/>
        <v>251</v>
      </c>
      <c r="I547">
        <f t="shared" si="69"/>
        <v>0</v>
      </c>
      <c r="N547" s="59">
        <f t="shared" si="71"/>
        <v>0</v>
      </c>
      <c r="O547" s="59">
        <f t="shared" si="72"/>
        <v>0</v>
      </c>
      <c r="T547">
        <f t="shared" si="70"/>
        <v>0</v>
      </c>
      <c r="Y547">
        <f t="shared" si="66"/>
        <v>0</v>
      </c>
      <c r="Z547">
        <f t="shared" si="67"/>
        <v>0</v>
      </c>
    </row>
    <row r="548" spans="2:26">
      <c r="B548" t="str">
        <f t="shared" si="73"/>
        <v>BLUE</v>
      </c>
      <c r="C548" s="6">
        <f t="shared" si="68"/>
        <v>252</v>
      </c>
      <c r="I548">
        <f t="shared" si="69"/>
        <v>0</v>
      </c>
      <c r="N548" s="59">
        <f t="shared" si="71"/>
        <v>0</v>
      </c>
      <c r="O548" s="59">
        <f t="shared" si="72"/>
        <v>0</v>
      </c>
      <c r="T548">
        <f t="shared" si="70"/>
        <v>0</v>
      </c>
      <c r="Y548">
        <f t="shared" si="66"/>
        <v>0</v>
      </c>
      <c r="Z548">
        <f t="shared" si="67"/>
        <v>0</v>
      </c>
    </row>
    <row r="549" spans="2:26">
      <c r="B549" t="str">
        <f t="shared" si="73"/>
        <v>BLUE</v>
      </c>
      <c r="C549" s="6">
        <f t="shared" si="68"/>
        <v>253</v>
      </c>
      <c r="I549">
        <f t="shared" si="69"/>
        <v>0</v>
      </c>
      <c r="N549" s="59">
        <f t="shared" si="71"/>
        <v>0</v>
      </c>
      <c r="O549" s="59">
        <f t="shared" si="72"/>
        <v>0</v>
      </c>
      <c r="T549">
        <f t="shared" si="70"/>
        <v>0</v>
      </c>
      <c r="Y549">
        <f t="shared" si="66"/>
        <v>0</v>
      </c>
      <c r="Z549">
        <f t="shared" si="67"/>
        <v>0</v>
      </c>
    </row>
    <row r="550" spans="2:26">
      <c r="B550" t="str">
        <f t="shared" si="73"/>
        <v>BLUE</v>
      </c>
      <c r="C550" s="6">
        <f t="shared" si="68"/>
        <v>254</v>
      </c>
      <c r="I550">
        <f t="shared" si="69"/>
        <v>0</v>
      </c>
      <c r="N550" s="59">
        <f t="shared" si="71"/>
        <v>0</v>
      </c>
      <c r="O550" s="59">
        <f t="shared" si="72"/>
        <v>0</v>
      </c>
      <c r="T550">
        <f t="shared" si="70"/>
        <v>0</v>
      </c>
      <c r="Y550">
        <f t="shared" si="66"/>
        <v>0</v>
      </c>
      <c r="Z550">
        <f t="shared" si="67"/>
        <v>0</v>
      </c>
    </row>
    <row r="551" spans="2:26">
      <c r="B551" t="str">
        <f t="shared" si="73"/>
        <v>BLUE</v>
      </c>
      <c r="C551" s="6">
        <f t="shared" si="68"/>
        <v>255</v>
      </c>
      <c r="I551">
        <f t="shared" si="69"/>
        <v>0</v>
      </c>
      <c r="N551" s="59">
        <f t="shared" si="71"/>
        <v>0</v>
      </c>
      <c r="O551" s="59">
        <f t="shared" si="72"/>
        <v>0</v>
      </c>
      <c r="T551">
        <f t="shared" si="70"/>
        <v>0</v>
      </c>
      <c r="Y551">
        <f t="shared" si="66"/>
        <v>0</v>
      </c>
      <c r="Z551">
        <f t="shared" si="67"/>
        <v>0</v>
      </c>
    </row>
    <row r="552" spans="2:26">
      <c r="B552" t="str">
        <f t="shared" si="73"/>
        <v>BLUE</v>
      </c>
      <c r="C552" s="6">
        <f t="shared" si="68"/>
        <v>256</v>
      </c>
      <c r="I552">
        <f t="shared" si="69"/>
        <v>0</v>
      </c>
      <c r="N552" s="59">
        <f t="shared" si="71"/>
        <v>0</v>
      </c>
      <c r="O552" s="59">
        <f t="shared" si="72"/>
        <v>0</v>
      </c>
      <c r="T552">
        <f t="shared" si="70"/>
        <v>0</v>
      </c>
      <c r="Y552">
        <f t="shared" si="66"/>
        <v>0</v>
      </c>
      <c r="Z552">
        <f t="shared" si="67"/>
        <v>0</v>
      </c>
    </row>
    <row r="553" spans="2:26">
      <c r="B553" t="str">
        <f t="shared" si="73"/>
        <v>BLUE</v>
      </c>
      <c r="C553" s="6">
        <f t="shared" si="68"/>
        <v>257</v>
      </c>
      <c r="I553">
        <f t="shared" si="69"/>
        <v>0</v>
      </c>
      <c r="N553" s="59">
        <f t="shared" si="71"/>
        <v>0</v>
      </c>
      <c r="O553" s="59">
        <f t="shared" si="72"/>
        <v>0</v>
      </c>
      <c r="T553">
        <f t="shared" si="70"/>
        <v>0</v>
      </c>
      <c r="Y553">
        <f t="shared" si="66"/>
        <v>0</v>
      </c>
      <c r="Z553">
        <f t="shared" si="67"/>
        <v>0</v>
      </c>
    </row>
    <row r="554" spans="2:26">
      <c r="B554" t="str">
        <f t="shared" si="73"/>
        <v>BLUE</v>
      </c>
      <c r="C554" s="6">
        <f t="shared" si="68"/>
        <v>258</v>
      </c>
      <c r="I554">
        <f t="shared" si="69"/>
        <v>0</v>
      </c>
      <c r="N554" s="59">
        <f t="shared" si="71"/>
        <v>0</v>
      </c>
      <c r="O554" s="59">
        <f t="shared" si="72"/>
        <v>0</v>
      </c>
      <c r="T554">
        <f t="shared" si="70"/>
        <v>0</v>
      </c>
      <c r="Y554">
        <f t="shared" si="66"/>
        <v>0</v>
      </c>
      <c r="Z554">
        <f t="shared" si="67"/>
        <v>0</v>
      </c>
    </row>
    <row r="555" spans="2:26">
      <c r="B555" t="str">
        <f t="shared" si="73"/>
        <v>BLUE</v>
      </c>
      <c r="C555" s="6">
        <f t="shared" si="68"/>
        <v>259</v>
      </c>
      <c r="I555">
        <f t="shared" si="69"/>
        <v>0</v>
      </c>
      <c r="N555" s="59">
        <f t="shared" si="71"/>
        <v>0</v>
      </c>
      <c r="O555" s="59">
        <f t="shared" si="72"/>
        <v>0</v>
      </c>
      <c r="T555">
        <f t="shared" si="70"/>
        <v>0</v>
      </c>
      <c r="Y555">
        <f t="shared" si="66"/>
        <v>0</v>
      </c>
      <c r="Z555">
        <f t="shared" si="67"/>
        <v>0</v>
      </c>
    </row>
    <row r="556" spans="2:26">
      <c r="B556" t="str">
        <f t="shared" si="73"/>
        <v>BLUE</v>
      </c>
      <c r="C556" s="6">
        <f t="shared" si="68"/>
        <v>260</v>
      </c>
      <c r="I556">
        <f t="shared" si="69"/>
        <v>0</v>
      </c>
      <c r="N556" s="59">
        <f t="shared" si="71"/>
        <v>0</v>
      </c>
      <c r="O556" s="59">
        <f t="shared" si="72"/>
        <v>0</v>
      </c>
      <c r="T556">
        <f t="shared" si="70"/>
        <v>0</v>
      </c>
      <c r="Y556">
        <f t="shared" si="66"/>
        <v>0</v>
      </c>
      <c r="Z556">
        <f t="shared" si="67"/>
        <v>0</v>
      </c>
    </row>
    <row r="557" spans="2:26">
      <c r="B557" t="str">
        <f t="shared" si="73"/>
        <v>BLUE</v>
      </c>
      <c r="C557" s="6">
        <f t="shared" si="68"/>
        <v>261</v>
      </c>
      <c r="I557">
        <f t="shared" si="69"/>
        <v>0</v>
      </c>
      <c r="N557" s="59">
        <f t="shared" si="71"/>
        <v>0</v>
      </c>
      <c r="O557" s="59">
        <f t="shared" si="72"/>
        <v>0</v>
      </c>
      <c r="T557">
        <f t="shared" si="70"/>
        <v>0</v>
      </c>
      <c r="Y557">
        <f t="shared" si="66"/>
        <v>0</v>
      </c>
      <c r="Z557">
        <f t="shared" si="67"/>
        <v>0</v>
      </c>
    </row>
    <row r="558" spans="2:26">
      <c r="B558" t="str">
        <f t="shared" si="73"/>
        <v>BLUE</v>
      </c>
      <c r="C558" s="6">
        <f t="shared" si="68"/>
        <v>262</v>
      </c>
      <c r="I558">
        <f t="shared" si="69"/>
        <v>0</v>
      </c>
      <c r="N558" s="59">
        <f t="shared" si="71"/>
        <v>0</v>
      </c>
      <c r="O558" s="59">
        <f t="shared" si="72"/>
        <v>0</v>
      </c>
      <c r="T558">
        <f t="shared" si="70"/>
        <v>0</v>
      </c>
      <c r="Y558">
        <f t="shared" ref="Y558:Y621" si="74">SUM($U558:$X558)</f>
        <v>0</v>
      </c>
      <c r="Z558">
        <f t="shared" ref="Z558:Z621" si="75">SUM($T558,$Y558)</f>
        <v>0</v>
      </c>
    </row>
    <row r="559" spans="2:26">
      <c r="B559" t="str">
        <f t="shared" si="73"/>
        <v>BLUE</v>
      </c>
      <c r="C559" s="6">
        <f t="shared" si="68"/>
        <v>263</v>
      </c>
      <c r="I559">
        <f t="shared" si="69"/>
        <v>0</v>
      </c>
      <c r="N559" s="59">
        <f t="shared" si="71"/>
        <v>0</v>
      </c>
      <c r="O559" s="59">
        <f t="shared" si="72"/>
        <v>0</v>
      </c>
      <c r="T559">
        <f t="shared" si="70"/>
        <v>0</v>
      </c>
      <c r="Y559">
        <f t="shared" si="74"/>
        <v>0</v>
      </c>
      <c r="Z559">
        <f t="shared" si="75"/>
        <v>0</v>
      </c>
    </row>
    <row r="560" spans="2:26">
      <c r="B560" t="str">
        <f t="shared" si="73"/>
        <v>BLUE</v>
      </c>
      <c r="C560" s="6">
        <f t="shared" si="68"/>
        <v>264</v>
      </c>
      <c r="I560">
        <f t="shared" si="69"/>
        <v>0</v>
      </c>
      <c r="N560" s="59">
        <f t="shared" si="71"/>
        <v>0</v>
      </c>
      <c r="O560" s="59">
        <f t="shared" si="72"/>
        <v>0</v>
      </c>
      <c r="T560">
        <f t="shared" si="70"/>
        <v>0</v>
      </c>
      <c r="Y560">
        <f t="shared" si="74"/>
        <v>0</v>
      </c>
      <c r="Z560">
        <f t="shared" si="75"/>
        <v>0</v>
      </c>
    </row>
    <row r="561" spans="2:26">
      <c r="B561" t="str">
        <f t="shared" si="73"/>
        <v>BLUE</v>
      </c>
      <c r="C561" s="6">
        <f t="shared" si="68"/>
        <v>265</v>
      </c>
      <c r="I561">
        <f t="shared" si="69"/>
        <v>0</v>
      </c>
      <c r="N561" s="59">
        <f t="shared" si="71"/>
        <v>0</v>
      </c>
      <c r="O561" s="59">
        <f t="shared" si="72"/>
        <v>0</v>
      </c>
      <c r="T561">
        <f t="shared" si="70"/>
        <v>0</v>
      </c>
      <c r="Y561">
        <f t="shared" si="74"/>
        <v>0</v>
      </c>
      <c r="Z561">
        <f t="shared" si="75"/>
        <v>0</v>
      </c>
    </row>
    <row r="562" spans="2:26">
      <c r="B562" t="str">
        <f t="shared" si="73"/>
        <v>BLUE</v>
      </c>
      <c r="C562" s="6">
        <f t="shared" si="68"/>
        <v>266</v>
      </c>
      <c r="I562">
        <f t="shared" si="69"/>
        <v>0</v>
      </c>
      <c r="N562" s="59">
        <f t="shared" si="71"/>
        <v>0</v>
      </c>
      <c r="O562" s="59">
        <f t="shared" si="72"/>
        <v>0</v>
      </c>
      <c r="T562">
        <f t="shared" si="70"/>
        <v>0</v>
      </c>
      <c r="Y562">
        <f t="shared" si="74"/>
        <v>0</v>
      </c>
      <c r="Z562">
        <f t="shared" si="75"/>
        <v>0</v>
      </c>
    </row>
    <row r="563" spans="2:26">
      <c r="B563" t="str">
        <f t="shared" si="73"/>
        <v>BLUE</v>
      </c>
      <c r="C563" s="6">
        <f t="shared" si="68"/>
        <v>267</v>
      </c>
      <c r="I563">
        <f t="shared" si="69"/>
        <v>0</v>
      </c>
      <c r="N563" s="59">
        <f t="shared" si="71"/>
        <v>0</v>
      </c>
      <c r="O563" s="59">
        <f t="shared" si="72"/>
        <v>0</v>
      </c>
      <c r="T563">
        <f t="shared" si="70"/>
        <v>0</v>
      </c>
      <c r="Y563">
        <f t="shared" si="74"/>
        <v>0</v>
      </c>
      <c r="Z563">
        <f t="shared" si="75"/>
        <v>0</v>
      </c>
    </row>
    <row r="564" spans="2:26">
      <c r="B564" t="str">
        <f t="shared" si="73"/>
        <v>BLUE</v>
      </c>
      <c r="C564" s="6">
        <f t="shared" si="68"/>
        <v>268</v>
      </c>
      <c r="I564">
        <f t="shared" si="69"/>
        <v>0</v>
      </c>
      <c r="N564" s="59">
        <f t="shared" si="71"/>
        <v>0</v>
      </c>
      <c r="O564" s="59">
        <f t="shared" si="72"/>
        <v>0</v>
      </c>
      <c r="T564">
        <f t="shared" si="70"/>
        <v>0</v>
      </c>
      <c r="Y564">
        <f t="shared" si="74"/>
        <v>0</v>
      </c>
      <c r="Z564">
        <f t="shared" si="75"/>
        <v>0</v>
      </c>
    </row>
    <row r="565" spans="2:26">
      <c r="B565" t="str">
        <f t="shared" si="73"/>
        <v>BLUE</v>
      </c>
      <c r="C565" s="6">
        <f t="shared" ref="C565:C628" si="76">C564+1</f>
        <v>269</v>
      </c>
      <c r="I565">
        <f t="shared" si="69"/>
        <v>0</v>
      </c>
      <c r="N565" s="59">
        <f t="shared" si="71"/>
        <v>0</v>
      </c>
      <c r="O565" s="59">
        <f t="shared" si="72"/>
        <v>0</v>
      </c>
      <c r="T565">
        <f t="shared" si="70"/>
        <v>0</v>
      </c>
      <c r="Y565">
        <f t="shared" si="74"/>
        <v>0</v>
      </c>
      <c r="Z565">
        <f t="shared" si="75"/>
        <v>0</v>
      </c>
    </row>
    <row r="566" spans="2:26">
      <c r="B566" t="str">
        <f t="shared" si="73"/>
        <v>BLUE</v>
      </c>
      <c r="C566" s="6">
        <f t="shared" si="76"/>
        <v>270</v>
      </c>
      <c r="I566">
        <f t="shared" si="69"/>
        <v>0</v>
      </c>
      <c r="N566" s="59">
        <f t="shared" si="71"/>
        <v>0</v>
      </c>
      <c r="O566" s="59">
        <f t="shared" si="72"/>
        <v>0</v>
      </c>
      <c r="T566">
        <f t="shared" si="70"/>
        <v>0</v>
      </c>
      <c r="Y566">
        <f t="shared" si="74"/>
        <v>0</v>
      </c>
      <c r="Z566">
        <f t="shared" si="75"/>
        <v>0</v>
      </c>
    </row>
    <row r="567" spans="2:26">
      <c r="B567" t="str">
        <f t="shared" si="73"/>
        <v>BLUE</v>
      </c>
      <c r="C567" s="6">
        <f t="shared" si="76"/>
        <v>271</v>
      </c>
      <c r="I567">
        <f t="shared" si="69"/>
        <v>0</v>
      </c>
      <c r="N567" s="59">
        <f t="shared" si="71"/>
        <v>0</v>
      </c>
      <c r="O567" s="59">
        <f t="shared" si="72"/>
        <v>0</v>
      </c>
      <c r="T567">
        <f t="shared" si="70"/>
        <v>0</v>
      </c>
      <c r="Y567">
        <f t="shared" si="74"/>
        <v>0</v>
      </c>
      <c r="Z567">
        <f t="shared" si="75"/>
        <v>0</v>
      </c>
    </row>
    <row r="568" spans="2:26">
      <c r="B568" t="str">
        <f t="shared" si="73"/>
        <v>BLUE</v>
      </c>
      <c r="C568" s="6">
        <f t="shared" si="76"/>
        <v>272</v>
      </c>
      <c r="I568">
        <f t="shared" si="69"/>
        <v>0</v>
      </c>
      <c r="N568" s="59">
        <f t="shared" si="71"/>
        <v>0</v>
      </c>
      <c r="O568" s="59">
        <f t="shared" si="72"/>
        <v>0</v>
      </c>
      <c r="T568">
        <f t="shared" si="70"/>
        <v>0</v>
      </c>
      <c r="Y568">
        <f t="shared" si="74"/>
        <v>0</v>
      </c>
      <c r="Z568">
        <f t="shared" si="75"/>
        <v>0</v>
      </c>
    </row>
    <row r="569" spans="2:26">
      <c r="B569" t="str">
        <f t="shared" si="73"/>
        <v>BLUE</v>
      </c>
      <c r="C569" s="6">
        <f t="shared" si="76"/>
        <v>273</v>
      </c>
      <c r="I569">
        <f t="shared" si="69"/>
        <v>0</v>
      </c>
      <c r="N569" s="59">
        <f t="shared" si="71"/>
        <v>0</v>
      </c>
      <c r="O569" s="59">
        <f t="shared" si="72"/>
        <v>0</v>
      </c>
      <c r="T569">
        <f t="shared" si="70"/>
        <v>0</v>
      </c>
      <c r="Y569">
        <f t="shared" si="74"/>
        <v>0</v>
      </c>
      <c r="Z569">
        <f t="shared" si="75"/>
        <v>0</v>
      </c>
    </row>
    <row r="570" spans="2:26">
      <c r="B570" t="str">
        <f t="shared" si="73"/>
        <v>BLUE</v>
      </c>
      <c r="C570" s="6">
        <f t="shared" si="76"/>
        <v>274</v>
      </c>
      <c r="I570">
        <f t="shared" si="69"/>
        <v>0</v>
      </c>
      <c r="N570" s="59">
        <f t="shared" si="71"/>
        <v>0</v>
      </c>
      <c r="O570" s="59">
        <f t="shared" si="72"/>
        <v>0</v>
      </c>
      <c r="T570">
        <f t="shared" si="70"/>
        <v>0</v>
      </c>
      <c r="Y570">
        <f t="shared" si="74"/>
        <v>0</v>
      </c>
      <c r="Z570">
        <f t="shared" si="75"/>
        <v>0</v>
      </c>
    </row>
    <row r="571" spans="2:26">
      <c r="B571" t="str">
        <f t="shared" si="73"/>
        <v>BLUE</v>
      </c>
      <c r="C571" s="6">
        <f t="shared" si="76"/>
        <v>275</v>
      </c>
      <c r="I571">
        <f t="shared" si="69"/>
        <v>0</v>
      </c>
      <c r="N571" s="59">
        <f t="shared" si="71"/>
        <v>0</v>
      </c>
      <c r="O571" s="59">
        <f t="shared" si="72"/>
        <v>0</v>
      </c>
      <c r="T571">
        <f t="shared" si="70"/>
        <v>0</v>
      </c>
      <c r="Y571">
        <f t="shared" si="74"/>
        <v>0</v>
      </c>
      <c r="Z571">
        <f t="shared" si="75"/>
        <v>0</v>
      </c>
    </row>
    <row r="572" spans="2:26">
      <c r="B572" t="str">
        <f t="shared" si="73"/>
        <v>BLUE</v>
      </c>
      <c r="C572" s="6">
        <f t="shared" si="76"/>
        <v>276</v>
      </c>
      <c r="I572">
        <f t="shared" si="69"/>
        <v>0</v>
      </c>
      <c r="N572" s="59">
        <f t="shared" si="71"/>
        <v>0</v>
      </c>
      <c r="O572" s="59">
        <f t="shared" si="72"/>
        <v>0</v>
      </c>
      <c r="T572">
        <f t="shared" si="70"/>
        <v>0</v>
      </c>
      <c r="Y572">
        <f t="shared" si="74"/>
        <v>0</v>
      </c>
      <c r="Z572">
        <f t="shared" si="75"/>
        <v>0</v>
      </c>
    </row>
    <row r="573" spans="2:26">
      <c r="B573" t="str">
        <f t="shared" si="73"/>
        <v>BLUE</v>
      </c>
      <c r="C573" s="6">
        <f t="shared" si="76"/>
        <v>277</v>
      </c>
      <c r="I573">
        <f t="shared" si="69"/>
        <v>0</v>
      </c>
      <c r="N573" s="59">
        <f t="shared" si="71"/>
        <v>0</v>
      </c>
      <c r="O573" s="59">
        <f t="shared" si="72"/>
        <v>0</v>
      </c>
      <c r="T573">
        <f t="shared" si="70"/>
        <v>0</v>
      </c>
      <c r="Y573">
        <f t="shared" si="74"/>
        <v>0</v>
      </c>
      <c r="Z573">
        <f t="shared" si="75"/>
        <v>0</v>
      </c>
    </row>
    <row r="574" spans="2:26">
      <c r="B574" t="str">
        <f t="shared" si="73"/>
        <v>BLUE</v>
      </c>
      <c r="C574" s="6">
        <f t="shared" si="76"/>
        <v>278</v>
      </c>
      <c r="I574">
        <f t="shared" ref="I574:I637" si="77">SUM($E574:$H574)</f>
        <v>0</v>
      </c>
      <c r="N574" s="59">
        <f t="shared" si="71"/>
        <v>0</v>
      </c>
      <c r="O574" s="59">
        <f t="shared" si="72"/>
        <v>0</v>
      </c>
      <c r="T574">
        <f t="shared" ref="T574:T637" si="78">SUM($P574:$S574)</f>
        <v>0</v>
      </c>
      <c r="Y574">
        <f t="shared" si="74"/>
        <v>0</v>
      </c>
      <c r="Z574">
        <f t="shared" si="75"/>
        <v>0</v>
      </c>
    </row>
    <row r="575" spans="2:26">
      <c r="B575" t="str">
        <f t="shared" si="73"/>
        <v>BLUE</v>
      </c>
      <c r="C575" s="6">
        <f t="shared" si="76"/>
        <v>279</v>
      </c>
      <c r="I575">
        <f t="shared" si="77"/>
        <v>0</v>
      </c>
      <c r="N575" s="59">
        <f t="shared" si="71"/>
        <v>0</v>
      </c>
      <c r="O575" s="59">
        <f t="shared" si="72"/>
        <v>0</v>
      </c>
      <c r="T575">
        <f t="shared" si="78"/>
        <v>0</v>
      </c>
      <c r="Y575">
        <f t="shared" si="74"/>
        <v>0</v>
      </c>
      <c r="Z575">
        <f t="shared" si="75"/>
        <v>0</v>
      </c>
    </row>
    <row r="576" spans="2:26">
      <c r="B576" t="str">
        <f t="shared" si="73"/>
        <v>BLUE</v>
      </c>
      <c r="C576" s="6">
        <f t="shared" si="76"/>
        <v>280</v>
      </c>
      <c r="I576">
        <f t="shared" si="77"/>
        <v>0</v>
      </c>
      <c r="N576" s="59">
        <f t="shared" si="71"/>
        <v>0</v>
      </c>
      <c r="O576" s="59">
        <f t="shared" si="72"/>
        <v>0</v>
      </c>
      <c r="T576">
        <f t="shared" si="78"/>
        <v>0</v>
      </c>
      <c r="Y576">
        <f t="shared" si="74"/>
        <v>0</v>
      </c>
      <c r="Z576">
        <f t="shared" si="75"/>
        <v>0</v>
      </c>
    </row>
    <row r="577" spans="2:26">
      <c r="B577" t="str">
        <f t="shared" si="73"/>
        <v>BLUE</v>
      </c>
      <c r="C577" s="6">
        <f t="shared" si="76"/>
        <v>281</v>
      </c>
      <c r="I577">
        <f t="shared" si="77"/>
        <v>0</v>
      </c>
      <c r="N577" s="59">
        <f t="shared" si="71"/>
        <v>0</v>
      </c>
      <c r="O577" s="59">
        <f t="shared" si="72"/>
        <v>0</v>
      </c>
      <c r="T577">
        <f t="shared" si="78"/>
        <v>0</v>
      </c>
      <c r="Y577">
        <f t="shared" si="74"/>
        <v>0</v>
      </c>
      <c r="Z577">
        <f t="shared" si="75"/>
        <v>0</v>
      </c>
    </row>
    <row r="578" spans="2:26">
      <c r="B578" t="str">
        <f t="shared" si="73"/>
        <v>BLUE</v>
      </c>
      <c r="C578" s="6">
        <f t="shared" si="76"/>
        <v>282</v>
      </c>
      <c r="I578">
        <f t="shared" si="77"/>
        <v>0</v>
      </c>
      <c r="N578" s="59">
        <f t="shared" si="71"/>
        <v>0</v>
      </c>
      <c r="O578" s="59">
        <f t="shared" si="72"/>
        <v>0</v>
      </c>
      <c r="T578">
        <f t="shared" si="78"/>
        <v>0</v>
      </c>
      <c r="Y578">
        <f t="shared" si="74"/>
        <v>0</v>
      </c>
      <c r="Z578">
        <f t="shared" si="75"/>
        <v>0</v>
      </c>
    </row>
    <row r="579" spans="2:26">
      <c r="B579" t="str">
        <f t="shared" si="73"/>
        <v>BLUE</v>
      </c>
      <c r="C579" s="6">
        <f t="shared" si="76"/>
        <v>283</v>
      </c>
      <c r="I579">
        <f t="shared" si="77"/>
        <v>0</v>
      </c>
      <c r="N579" s="59">
        <f t="shared" si="71"/>
        <v>0</v>
      </c>
      <c r="O579" s="59">
        <f t="shared" si="72"/>
        <v>0</v>
      </c>
      <c r="T579">
        <f t="shared" si="78"/>
        <v>0</v>
      </c>
      <c r="Y579">
        <f t="shared" si="74"/>
        <v>0</v>
      </c>
      <c r="Z579">
        <f t="shared" si="75"/>
        <v>0</v>
      </c>
    </row>
    <row r="580" spans="2:26">
      <c r="B580" t="str">
        <f t="shared" si="73"/>
        <v>BLUE</v>
      </c>
      <c r="C580" s="6">
        <f t="shared" si="76"/>
        <v>284</v>
      </c>
      <c r="I580">
        <f t="shared" si="77"/>
        <v>0</v>
      </c>
      <c r="N580" s="59">
        <f t="shared" si="71"/>
        <v>0</v>
      </c>
      <c r="O580" s="59">
        <f t="shared" si="72"/>
        <v>0</v>
      </c>
      <c r="T580">
        <f t="shared" si="78"/>
        <v>0</v>
      </c>
      <c r="Y580">
        <f t="shared" si="74"/>
        <v>0</v>
      </c>
      <c r="Z580">
        <f t="shared" si="75"/>
        <v>0</v>
      </c>
    </row>
    <row r="581" spans="2:26">
      <c r="B581" t="str">
        <f t="shared" si="73"/>
        <v>BLUE</v>
      </c>
      <c r="C581" s="6">
        <f t="shared" si="76"/>
        <v>285</v>
      </c>
      <c r="I581">
        <f t="shared" si="77"/>
        <v>0</v>
      </c>
      <c r="N581" s="59">
        <f t="shared" si="71"/>
        <v>0</v>
      </c>
      <c r="O581" s="59">
        <f t="shared" si="72"/>
        <v>0</v>
      </c>
      <c r="T581">
        <f t="shared" si="78"/>
        <v>0</v>
      </c>
      <c r="Y581">
        <f t="shared" si="74"/>
        <v>0</v>
      </c>
      <c r="Z581">
        <f t="shared" si="75"/>
        <v>0</v>
      </c>
    </row>
    <row r="582" spans="2:26">
      <c r="B582" t="str">
        <f t="shared" si="73"/>
        <v>BLUE</v>
      </c>
      <c r="C582" s="6">
        <f t="shared" si="76"/>
        <v>286</v>
      </c>
      <c r="I582">
        <f t="shared" si="77"/>
        <v>0</v>
      </c>
      <c r="N582" s="59">
        <f t="shared" si="71"/>
        <v>0</v>
      </c>
      <c r="O582" s="59">
        <f t="shared" si="72"/>
        <v>0</v>
      </c>
      <c r="T582">
        <f t="shared" si="78"/>
        <v>0</v>
      </c>
      <c r="Y582">
        <f t="shared" si="74"/>
        <v>0</v>
      </c>
      <c r="Z582">
        <f t="shared" si="75"/>
        <v>0</v>
      </c>
    </row>
    <row r="583" spans="2:26">
      <c r="B583" t="str">
        <f t="shared" si="73"/>
        <v>BLUE</v>
      </c>
      <c r="C583" s="6">
        <f t="shared" si="76"/>
        <v>287</v>
      </c>
      <c r="I583">
        <f t="shared" si="77"/>
        <v>0</v>
      </c>
      <c r="N583" s="59">
        <f t="shared" si="71"/>
        <v>0</v>
      </c>
      <c r="O583" s="59">
        <f t="shared" si="72"/>
        <v>0</v>
      </c>
      <c r="T583">
        <f t="shared" si="78"/>
        <v>0</v>
      </c>
      <c r="Y583">
        <f t="shared" si="74"/>
        <v>0</v>
      </c>
      <c r="Z583">
        <f t="shared" si="75"/>
        <v>0</v>
      </c>
    </row>
    <row r="584" spans="2:26">
      <c r="B584" t="str">
        <f t="shared" si="73"/>
        <v>BLUE</v>
      </c>
      <c r="C584" s="6">
        <f t="shared" si="76"/>
        <v>288</v>
      </c>
      <c r="I584">
        <f t="shared" si="77"/>
        <v>0</v>
      </c>
      <c r="N584" s="59">
        <f t="shared" si="71"/>
        <v>0</v>
      </c>
      <c r="O584" s="59">
        <f t="shared" si="72"/>
        <v>0</v>
      </c>
      <c r="T584">
        <f t="shared" si="78"/>
        <v>0</v>
      </c>
      <c r="Y584">
        <f t="shared" si="74"/>
        <v>0</v>
      </c>
      <c r="Z584">
        <f t="shared" si="75"/>
        <v>0</v>
      </c>
    </row>
    <row r="585" spans="2:26">
      <c r="B585" t="str">
        <f t="shared" si="73"/>
        <v>BLUE</v>
      </c>
      <c r="C585" s="6">
        <f t="shared" si="76"/>
        <v>289</v>
      </c>
      <c r="I585">
        <f t="shared" si="77"/>
        <v>0</v>
      </c>
      <c r="N585" s="59">
        <f t="shared" ref="N585:N648" si="79">SUM($J585:$M585)</f>
        <v>0</v>
      </c>
      <c r="O585" s="59">
        <f t="shared" ref="O585:O648" si="80">SUM($I585, $N585)</f>
        <v>0</v>
      </c>
      <c r="T585">
        <f t="shared" si="78"/>
        <v>0</v>
      </c>
      <c r="Y585">
        <f t="shared" si="74"/>
        <v>0</v>
      </c>
      <c r="Z585">
        <f t="shared" si="75"/>
        <v>0</v>
      </c>
    </row>
    <row r="586" spans="2:26">
      <c r="B586" t="str">
        <f t="shared" si="73"/>
        <v>BLUE</v>
      </c>
      <c r="C586" s="6">
        <f t="shared" si="76"/>
        <v>290</v>
      </c>
      <c r="I586">
        <f t="shared" si="77"/>
        <v>0</v>
      </c>
      <c r="N586" s="59">
        <f t="shared" si="79"/>
        <v>0</v>
      </c>
      <c r="O586" s="59">
        <f t="shared" si="80"/>
        <v>0</v>
      </c>
      <c r="T586">
        <f t="shared" si="78"/>
        <v>0</v>
      </c>
      <c r="Y586">
        <f t="shared" si="74"/>
        <v>0</v>
      </c>
      <c r="Z586">
        <f t="shared" si="75"/>
        <v>0</v>
      </c>
    </row>
    <row r="587" spans="2:26">
      <c r="B587" t="str">
        <f t="shared" si="73"/>
        <v>BLUE</v>
      </c>
      <c r="C587" s="6">
        <f t="shared" si="76"/>
        <v>291</v>
      </c>
      <c r="I587">
        <f t="shared" si="77"/>
        <v>0</v>
      </c>
      <c r="N587" s="59">
        <f t="shared" si="79"/>
        <v>0</v>
      </c>
      <c r="O587" s="59">
        <f t="shared" si="80"/>
        <v>0</v>
      </c>
      <c r="T587">
        <f t="shared" si="78"/>
        <v>0</v>
      </c>
      <c r="Y587">
        <f t="shared" si="74"/>
        <v>0</v>
      </c>
      <c r="Z587">
        <f t="shared" si="75"/>
        <v>0</v>
      </c>
    </row>
    <row r="588" spans="2:26">
      <c r="B588" t="str">
        <f t="shared" si="73"/>
        <v>BLUE</v>
      </c>
      <c r="C588" s="6">
        <f t="shared" si="76"/>
        <v>292</v>
      </c>
      <c r="I588">
        <f t="shared" si="77"/>
        <v>0</v>
      </c>
      <c r="N588" s="59">
        <f t="shared" si="79"/>
        <v>0</v>
      </c>
      <c r="O588" s="59">
        <f t="shared" si="80"/>
        <v>0</v>
      </c>
      <c r="T588">
        <f t="shared" si="78"/>
        <v>0</v>
      </c>
      <c r="Y588">
        <f t="shared" si="74"/>
        <v>0</v>
      </c>
      <c r="Z588">
        <f t="shared" si="75"/>
        <v>0</v>
      </c>
    </row>
    <row r="589" spans="2:26">
      <c r="B589" t="str">
        <f t="shared" si="73"/>
        <v>BLUE</v>
      </c>
      <c r="C589" s="6">
        <f t="shared" si="76"/>
        <v>293</v>
      </c>
      <c r="I589">
        <f t="shared" si="77"/>
        <v>0</v>
      </c>
      <c r="N589" s="59">
        <f t="shared" si="79"/>
        <v>0</v>
      </c>
      <c r="O589" s="59">
        <f t="shared" si="80"/>
        <v>0</v>
      </c>
      <c r="T589">
        <f t="shared" si="78"/>
        <v>0</v>
      </c>
      <c r="Y589">
        <f t="shared" si="74"/>
        <v>0</v>
      </c>
      <c r="Z589">
        <f t="shared" si="75"/>
        <v>0</v>
      </c>
    </row>
    <row r="590" spans="2:26">
      <c r="B590" t="str">
        <f t="shared" si="73"/>
        <v>BLUE</v>
      </c>
      <c r="C590" s="6">
        <f t="shared" si="76"/>
        <v>294</v>
      </c>
      <c r="I590">
        <f t="shared" si="77"/>
        <v>0</v>
      </c>
      <c r="N590" s="59">
        <f t="shared" si="79"/>
        <v>0</v>
      </c>
      <c r="O590" s="59">
        <f t="shared" si="80"/>
        <v>0</v>
      </c>
      <c r="T590">
        <f t="shared" si="78"/>
        <v>0</v>
      </c>
      <c r="Y590">
        <f t="shared" si="74"/>
        <v>0</v>
      </c>
      <c r="Z590">
        <f t="shared" si="75"/>
        <v>0</v>
      </c>
    </row>
    <row r="591" spans="2:26">
      <c r="B591" t="str">
        <f t="shared" si="73"/>
        <v>BLUE</v>
      </c>
      <c r="C591" s="6">
        <f t="shared" si="76"/>
        <v>295</v>
      </c>
      <c r="I591">
        <f t="shared" si="77"/>
        <v>0</v>
      </c>
      <c r="N591" s="59">
        <f t="shared" si="79"/>
        <v>0</v>
      </c>
      <c r="O591" s="59">
        <f t="shared" si="80"/>
        <v>0</v>
      </c>
      <c r="T591">
        <f t="shared" si="78"/>
        <v>0</v>
      </c>
      <c r="Y591">
        <f t="shared" si="74"/>
        <v>0</v>
      </c>
      <c r="Z591">
        <f t="shared" si="75"/>
        <v>0</v>
      </c>
    </row>
    <row r="592" spans="2:26">
      <c r="B592" t="str">
        <f t="shared" si="73"/>
        <v>BLUE</v>
      </c>
      <c r="C592" s="6">
        <f t="shared" si="76"/>
        <v>296</v>
      </c>
      <c r="I592">
        <f t="shared" si="77"/>
        <v>0</v>
      </c>
      <c r="N592" s="59">
        <f t="shared" si="79"/>
        <v>0</v>
      </c>
      <c r="O592" s="59">
        <f t="shared" si="80"/>
        <v>0</v>
      </c>
      <c r="T592">
        <f t="shared" si="78"/>
        <v>0</v>
      </c>
      <c r="Y592">
        <f t="shared" si="74"/>
        <v>0</v>
      </c>
      <c r="Z592">
        <f t="shared" si="75"/>
        <v>0</v>
      </c>
    </row>
    <row r="593" spans="2:26">
      <c r="B593" t="str">
        <f t="shared" si="73"/>
        <v>BLUE</v>
      </c>
      <c r="C593" s="6">
        <f t="shared" si="76"/>
        <v>297</v>
      </c>
      <c r="I593">
        <f t="shared" si="77"/>
        <v>0</v>
      </c>
      <c r="N593" s="59">
        <f t="shared" si="79"/>
        <v>0</v>
      </c>
      <c r="O593" s="59">
        <f t="shared" si="80"/>
        <v>0</v>
      </c>
      <c r="T593">
        <f t="shared" si="78"/>
        <v>0</v>
      </c>
      <c r="Y593">
        <f t="shared" si="74"/>
        <v>0</v>
      </c>
      <c r="Z593">
        <f t="shared" si="75"/>
        <v>0</v>
      </c>
    </row>
    <row r="594" spans="2:26">
      <c r="B594" t="str">
        <f t="shared" si="73"/>
        <v>BLUE</v>
      </c>
      <c r="C594" s="6">
        <f t="shared" si="76"/>
        <v>298</v>
      </c>
      <c r="I594">
        <f t="shared" si="77"/>
        <v>0</v>
      </c>
      <c r="N594" s="59">
        <f t="shared" si="79"/>
        <v>0</v>
      </c>
      <c r="O594" s="59">
        <f t="shared" si="80"/>
        <v>0</v>
      </c>
      <c r="T594">
        <f t="shared" si="78"/>
        <v>0</v>
      </c>
      <c r="Y594">
        <f t="shared" si="74"/>
        <v>0</v>
      </c>
      <c r="Z594">
        <f t="shared" si="75"/>
        <v>0</v>
      </c>
    </row>
    <row r="595" spans="2:26">
      <c r="B595" t="str">
        <f t="shared" ref="B595:B658" si="81">B594</f>
        <v>BLUE</v>
      </c>
      <c r="C595" s="6">
        <f t="shared" si="76"/>
        <v>299</v>
      </c>
      <c r="I595">
        <f t="shared" si="77"/>
        <v>0</v>
      </c>
      <c r="N595" s="59">
        <f t="shared" si="79"/>
        <v>0</v>
      </c>
      <c r="O595" s="59">
        <f t="shared" si="80"/>
        <v>0</v>
      </c>
      <c r="T595">
        <f t="shared" si="78"/>
        <v>0</v>
      </c>
      <c r="Y595">
        <f t="shared" si="74"/>
        <v>0</v>
      </c>
      <c r="Z595">
        <f t="shared" si="75"/>
        <v>0</v>
      </c>
    </row>
    <row r="596" spans="2:26">
      <c r="B596" t="str">
        <f t="shared" si="81"/>
        <v>BLUE</v>
      </c>
      <c r="C596" s="6">
        <f t="shared" si="76"/>
        <v>300</v>
      </c>
      <c r="I596">
        <f t="shared" si="77"/>
        <v>0</v>
      </c>
      <c r="N596" s="59">
        <f t="shared" si="79"/>
        <v>0</v>
      </c>
      <c r="O596" s="59">
        <f t="shared" si="80"/>
        <v>0</v>
      </c>
      <c r="T596">
        <f t="shared" si="78"/>
        <v>0</v>
      </c>
      <c r="Y596">
        <f t="shared" si="74"/>
        <v>0</v>
      </c>
      <c r="Z596">
        <f t="shared" si="75"/>
        <v>0</v>
      </c>
    </row>
    <row r="597" spans="2:26">
      <c r="B597" t="str">
        <f t="shared" si="81"/>
        <v>BLUE</v>
      </c>
      <c r="C597" s="6">
        <f t="shared" si="76"/>
        <v>301</v>
      </c>
      <c r="I597">
        <f t="shared" si="77"/>
        <v>0</v>
      </c>
      <c r="N597" s="59">
        <f t="shared" si="79"/>
        <v>0</v>
      </c>
      <c r="O597" s="59">
        <f t="shared" si="80"/>
        <v>0</v>
      </c>
      <c r="T597">
        <f t="shared" si="78"/>
        <v>0</v>
      </c>
      <c r="Y597">
        <f t="shared" si="74"/>
        <v>0</v>
      </c>
      <c r="Z597">
        <f t="shared" si="75"/>
        <v>0</v>
      </c>
    </row>
    <row r="598" spans="2:26">
      <c r="B598" t="str">
        <f t="shared" si="81"/>
        <v>BLUE</v>
      </c>
      <c r="C598" s="6">
        <f t="shared" si="76"/>
        <v>302</v>
      </c>
      <c r="I598">
        <f t="shared" si="77"/>
        <v>0</v>
      </c>
      <c r="N598" s="59">
        <f t="shared" si="79"/>
        <v>0</v>
      </c>
      <c r="O598" s="59">
        <f t="shared" si="80"/>
        <v>0</v>
      </c>
      <c r="T598">
        <f t="shared" si="78"/>
        <v>0</v>
      </c>
      <c r="Y598">
        <f t="shared" si="74"/>
        <v>0</v>
      </c>
      <c r="Z598">
        <f t="shared" si="75"/>
        <v>0</v>
      </c>
    </row>
    <row r="599" spans="2:26">
      <c r="B599" t="str">
        <f t="shared" si="81"/>
        <v>BLUE</v>
      </c>
      <c r="C599" s="6">
        <f t="shared" si="76"/>
        <v>303</v>
      </c>
      <c r="I599">
        <f t="shared" si="77"/>
        <v>0</v>
      </c>
      <c r="N599" s="59">
        <f t="shared" si="79"/>
        <v>0</v>
      </c>
      <c r="O599" s="59">
        <f t="shared" si="80"/>
        <v>0</v>
      </c>
      <c r="T599">
        <f t="shared" si="78"/>
        <v>0</v>
      </c>
      <c r="Y599">
        <f t="shared" si="74"/>
        <v>0</v>
      </c>
      <c r="Z599">
        <f t="shared" si="75"/>
        <v>0</v>
      </c>
    </row>
    <row r="600" spans="2:26">
      <c r="B600" t="str">
        <f t="shared" si="81"/>
        <v>BLUE</v>
      </c>
      <c r="C600" s="6">
        <f t="shared" si="76"/>
        <v>304</v>
      </c>
      <c r="I600">
        <f t="shared" si="77"/>
        <v>0</v>
      </c>
      <c r="N600" s="59">
        <f t="shared" si="79"/>
        <v>0</v>
      </c>
      <c r="O600" s="59">
        <f t="shared" si="80"/>
        <v>0</v>
      </c>
      <c r="T600">
        <f t="shared" si="78"/>
        <v>0</v>
      </c>
      <c r="Y600">
        <f t="shared" si="74"/>
        <v>0</v>
      </c>
      <c r="Z600">
        <f t="shared" si="75"/>
        <v>0</v>
      </c>
    </row>
    <row r="601" spans="2:26">
      <c r="B601" t="str">
        <f t="shared" si="81"/>
        <v>BLUE</v>
      </c>
      <c r="C601" s="6">
        <f t="shared" si="76"/>
        <v>305</v>
      </c>
      <c r="I601">
        <f t="shared" si="77"/>
        <v>0</v>
      </c>
      <c r="N601" s="59">
        <f t="shared" si="79"/>
        <v>0</v>
      </c>
      <c r="O601" s="59">
        <f t="shared" si="80"/>
        <v>0</v>
      </c>
      <c r="T601">
        <f t="shared" si="78"/>
        <v>0</v>
      </c>
      <c r="Y601">
        <f t="shared" si="74"/>
        <v>0</v>
      </c>
      <c r="Z601">
        <f t="shared" si="75"/>
        <v>0</v>
      </c>
    </row>
    <row r="602" spans="2:26">
      <c r="B602" t="str">
        <f t="shared" si="81"/>
        <v>BLUE</v>
      </c>
      <c r="C602" s="6">
        <f t="shared" si="76"/>
        <v>306</v>
      </c>
      <c r="I602">
        <f t="shared" si="77"/>
        <v>0</v>
      </c>
      <c r="N602" s="59">
        <f t="shared" si="79"/>
        <v>0</v>
      </c>
      <c r="O602" s="59">
        <f t="shared" si="80"/>
        <v>0</v>
      </c>
      <c r="T602">
        <f t="shared" si="78"/>
        <v>0</v>
      </c>
      <c r="Y602">
        <f t="shared" si="74"/>
        <v>0</v>
      </c>
      <c r="Z602">
        <f t="shared" si="75"/>
        <v>0</v>
      </c>
    </row>
    <row r="603" spans="2:26">
      <c r="B603" t="str">
        <f t="shared" si="81"/>
        <v>BLUE</v>
      </c>
      <c r="C603" s="6">
        <f t="shared" si="76"/>
        <v>307</v>
      </c>
      <c r="I603">
        <f t="shared" si="77"/>
        <v>0</v>
      </c>
      <c r="N603" s="59">
        <f t="shared" si="79"/>
        <v>0</v>
      </c>
      <c r="O603" s="59">
        <f t="shared" si="80"/>
        <v>0</v>
      </c>
      <c r="T603">
        <f t="shared" si="78"/>
        <v>0</v>
      </c>
      <c r="Y603">
        <f t="shared" si="74"/>
        <v>0</v>
      </c>
      <c r="Z603">
        <f t="shared" si="75"/>
        <v>0</v>
      </c>
    </row>
    <row r="604" spans="2:26">
      <c r="B604" t="str">
        <f t="shared" si="81"/>
        <v>BLUE</v>
      </c>
      <c r="C604" s="6">
        <f t="shared" si="76"/>
        <v>308</v>
      </c>
      <c r="I604">
        <f t="shared" si="77"/>
        <v>0</v>
      </c>
      <c r="N604" s="59">
        <f t="shared" si="79"/>
        <v>0</v>
      </c>
      <c r="O604" s="59">
        <f t="shared" si="80"/>
        <v>0</v>
      </c>
      <c r="T604">
        <f t="shared" si="78"/>
        <v>0</v>
      </c>
      <c r="Y604">
        <f t="shared" si="74"/>
        <v>0</v>
      </c>
      <c r="Z604">
        <f t="shared" si="75"/>
        <v>0</v>
      </c>
    </row>
    <row r="605" spans="2:26">
      <c r="B605" t="str">
        <f t="shared" si="81"/>
        <v>BLUE</v>
      </c>
      <c r="C605" s="6">
        <f t="shared" si="76"/>
        <v>309</v>
      </c>
      <c r="I605">
        <f t="shared" si="77"/>
        <v>0</v>
      </c>
      <c r="N605" s="59">
        <f t="shared" si="79"/>
        <v>0</v>
      </c>
      <c r="O605" s="59">
        <f t="shared" si="80"/>
        <v>0</v>
      </c>
      <c r="T605">
        <f t="shared" si="78"/>
        <v>0</v>
      </c>
      <c r="Y605">
        <f t="shared" si="74"/>
        <v>0</v>
      </c>
      <c r="Z605">
        <f t="shared" si="75"/>
        <v>0</v>
      </c>
    </row>
    <row r="606" spans="2:26">
      <c r="B606" t="str">
        <f t="shared" si="81"/>
        <v>BLUE</v>
      </c>
      <c r="C606" s="6">
        <f t="shared" si="76"/>
        <v>310</v>
      </c>
      <c r="I606">
        <f t="shared" si="77"/>
        <v>0</v>
      </c>
      <c r="N606" s="59">
        <f t="shared" si="79"/>
        <v>0</v>
      </c>
      <c r="O606" s="59">
        <f t="shared" si="80"/>
        <v>0</v>
      </c>
      <c r="T606">
        <f t="shared" si="78"/>
        <v>0</v>
      </c>
      <c r="Y606">
        <f t="shared" si="74"/>
        <v>0</v>
      </c>
      <c r="Z606">
        <f t="shared" si="75"/>
        <v>0</v>
      </c>
    </row>
    <row r="607" spans="2:26">
      <c r="B607" t="str">
        <f t="shared" si="81"/>
        <v>BLUE</v>
      </c>
      <c r="C607" s="6">
        <f t="shared" si="76"/>
        <v>311</v>
      </c>
      <c r="I607">
        <f t="shared" si="77"/>
        <v>0</v>
      </c>
      <c r="N607" s="59">
        <f t="shared" si="79"/>
        <v>0</v>
      </c>
      <c r="O607" s="59">
        <f t="shared" si="80"/>
        <v>0</v>
      </c>
      <c r="T607">
        <f t="shared" si="78"/>
        <v>0</v>
      </c>
      <c r="Y607">
        <f t="shared" si="74"/>
        <v>0</v>
      </c>
      <c r="Z607">
        <f t="shared" si="75"/>
        <v>0</v>
      </c>
    </row>
    <row r="608" spans="2:26">
      <c r="B608" t="str">
        <f t="shared" si="81"/>
        <v>BLUE</v>
      </c>
      <c r="C608" s="6">
        <f t="shared" si="76"/>
        <v>312</v>
      </c>
      <c r="I608">
        <f t="shared" si="77"/>
        <v>0</v>
      </c>
      <c r="N608" s="59">
        <f t="shared" si="79"/>
        <v>0</v>
      </c>
      <c r="O608" s="59">
        <f t="shared" si="80"/>
        <v>0</v>
      </c>
      <c r="T608">
        <f t="shared" si="78"/>
        <v>0</v>
      </c>
      <c r="Y608">
        <f t="shared" si="74"/>
        <v>0</v>
      </c>
      <c r="Z608">
        <f t="shared" si="75"/>
        <v>0</v>
      </c>
    </row>
    <row r="609" spans="2:26">
      <c r="B609" t="str">
        <f t="shared" si="81"/>
        <v>BLUE</v>
      </c>
      <c r="C609" s="6">
        <f t="shared" si="76"/>
        <v>313</v>
      </c>
      <c r="I609">
        <f t="shared" si="77"/>
        <v>0</v>
      </c>
      <c r="N609" s="59">
        <f t="shared" si="79"/>
        <v>0</v>
      </c>
      <c r="O609" s="59">
        <f t="shared" si="80"/>
        <v>0</v>
      </c>
      <c r="T609">
        <f t="shared" si="78"/>
        <v>0</v>
      </c>
      <c r="Y609">
        <f t="shared" si="74"/>
        <v>0</v>
      </c>
      <c r="Z609">
        <f t="shared" si="75"/>
        <v>0</v>
      </c>
    </row>
    <row r="610" spans="2:26">
      <c r="B610" t="str">
        <f t="shared" si="81"/>
        <v>BLUE</v>
      </c>
      <c r="C610" s="6">
        <f t="shared" si="76"/>
        <v>314</v>
      </c>
      <c r="I610">
        <f t="shared" si="77"/>
        <v>0</v>
      </c>
      <c r="N610" s="59">
        <f t="shared" si="79"/>
        <v>0</v>
      </c>
      <c r="O610" s="59">
        <f t="shared" si="80"/>
        <v>0</v>
      </c>
      <c r="T610">
        <f t="shared" si="78"/>
        <v>0</v>
      </c>
      <c r="Y610">
        <f t="shared" si="74"/>
        <v>0</v>
      </c>
      <c r="Z610">
        <f t="shared" si="75"/>
        <v>0</v>
      </c>
    </row>
    <row r="611" spans="2:26">
      <c r="B611" t="str">
        <f t="shared" si="81"/>
        <v>BLUE</v>
      </c>
      <c r="C611" s="6">
        <f t="shared" si="76"/>
        <v>315</v>
      </c>
      <c r="I611">
        <f t="shared" si="77"/>
        <v>0</v>
      </c>
      <c r="N611" s="59">
        <f t="shared" si="79"/>
        <v>0</v>
      </c>
      <c r="O611" s="59">
        <f t="shared" si="80"/>
        <v>0</v>
      </c>
      <c r="T611">
        <f t="shared" si="78"/>
        <v>0</v>
      </c>
      <c r="Y611">
        <f t="shared" si="74"/>
        <v>0</v>
      </c>
      <c r="Z611">
        <f t="shared" si="75"/>
        <v>0</v>
      </c>
    </row>
    <row r="612" spans="2:26">
      <c r="B612" t="str">
        <f t="shared" si="81"/>
        <v>BLUE</v>
      </c>
      <c r="C612" s="6">
        <f t="shared" si="76"/>
        <v>316</v>
      </c>
      <c r="I612">
        <f t="shared" si="77"/>
        <v>0</v>
      </c>
      <c r="N612" s="59">
        <f t="shared" si="79"/>
        <v>0</v>
      </c>
      <c r="O612" s="59">
        <f t="shared" si="80"/>
        <v>0</v>
      </c>
      <c r="T612">
        <f t="shared" si="78"/>
        <v>0</v>
      </c>
      <c r="Y612">
        <f t="shared" si="74"/>
        <v>0</v>
      </c>
      <c r="Z612">
        <f t="shared" si="75"/>
        <v>0</v>
      </c>
    </row>
    <row r="613" spans="2:26">
      <c r="B613" t="str">
        <f t="shared" si="81"/>
        <v>BLUE</v>
      </c>
      <c r="C613" s="6">
        <f t="shared" si="76"/>
        <v>317</v>
      </c>
      <c r="I613">
        <f t="shared" si="77"/>
        <v>0</v>
      </c>
      <c r="N613" s="59">
        <f t="shared" si="79"/>
        <v>0</v>
      </c>
      <c r="O613" s="59">
        <f t="shared" si="80"/>
        <v>0</v>
      </c>
      <c r="T613">
        <f t="shared" si="78"/>
        <v>0</v>
      </c>
      <c r="Y613">
        <f t="shared" si="74"/>
        <v>0</v>
      </c>
      <c r="Z613">
        <f t="shared" si="75"/>
        <v>0</v>
      </c>
    </row>
    <row r="614" spans="2:26">
      <c r="B614" t="str">
        <f t="shared" si="81"/>
        <v>BLUE</v>
      </c>
      <c r="C614" s="6">
        <f t="shared" si="76"/>
        <v>318</v>
      </c>
      <c r="I614">
        <f t="shared" si="77"/>
        <v>0</v>
      </c>
      <c r="N614" s="59">
        <f t="shared" si="79"/>
        <v>0</v>
      </c>
      <c r="O614" s="59">
        <f t="shared" si="80"/>
        <v>0</v>
      </c>
      <c r="T614">
        <f t="shared" si="78"/>
        <v>0</v>
      </c>
      <c r="Y614">
        <f t="shared" si="74"/>
        <v>0</v>
      </c>
      <c r="Z614">
        <f t="shared" si="75"/>
        <v>0</v>
      </c>
    </row>
    <row r="615" spans="2:26">
      <c r="B615" t="str">
        <f t="shared" si="81"/>
        <v>BLUE</v>
      </c>
      <c r="C615" s="6">
        <f t="shared" si="76"/>
        <v>319</v>
      </c>
      <c r="I615">
        <f t="shared" si="77"/>
        <v>0</v>
      </c>
      <c r="N615" s="59">
        <f t="shared" si="79"/>
        <v>0</v>
      </c>
      <c r="O615" s="59">
        <f t="shared" si="80"/>
        <v>0</v>
      </c>
      <c r="T615">
        <f t="shared" si="78"/>
        <v>0</v>
      </c>
      <c r="Y615">
        <f t="shared" si="74"/>
        <v>0</v>
      </c>
      <c r="Z615">
        <f t="shared" si="75"/>
        <v>0</v>
      </c>
    </row>
    <row r="616" spans="2:26">
      <c r="B616" t="str">
        <f t="shared" si="81"/>
        <v>BLUE</v>
      </c>
      <c r="C616" s="6">
        <f t="shared" si="76"/>
        <v>320</v>
      </c>
      <c r="I616">
        <f t="shared" si="77"/>
        <v>0</v>
      </c>
      <c r="N616" s="59">
        <f t="shared" si="79"/>
        <v>0</v>
      </c>
      <c r="O616" s="59">
        <f t="shared" si="80"/>
        <v>0</v>
      </c>
      <c r="T616">
        <f t="shared" si="78"/>
        <v>0</v>
      </c>
      <c r="Y616">
        <f t="shared" si="74"/>
        <v>0</v>
      </c>
      <c r="Z616">
        <f t="shared" si="75"/>
        <v>0</v>
      </c>
    </row>
    <row r="617" spans="2:26">
      <c r="B617" t="str">
        <f t="shared" si="81"/>
        <v>BLUE</v>
      </c>
      <c r="C617" s="6">
        <f t="shared" si="76"/>
        <v>321</v>
      </c>
      <c r="I617">
        <f t="shared" si="77"/>
        <v>0</v>
      </c>
      <c r="N617" s="59">
        <f t="shared" si="79"/>
        <v>0</v>
      </c>
      <c r="O617" s="59">
        <f t="shared" si="80"/>
        <v>0</v>
      </c>
      <c r="T617">
        <f t="shared" si="78"/>
        <v>0</v>
      </c>
      <c r="Y617">
        <f t="shared" si="74"/>
        <v>0</v>
      </c>
      <c r="Z617">
        <f t="shared" si="75"/>
        <v>0</v>
      </c>
    </row>
    <row r="618" spans="2:26">
      <c r="B618" t="str">
        <f t="shared" si="81"/>
        <v>BLUE</v>
      </c>
      <c r="C618" s="6">
        <f t="shared" si="76"/>
        <v>322</v>
      </c>
      <c r="I618">
        <f t="shared" si="77"/>
        <v>0</v>
      </c>
      <c r="N618" s="59">
        <f t="shared" si="79"/>
        <v>0</v>
      </c>
      <c r="O618" s="59">
        <f t="shared" si="80"/>
        <v>0</v>
      </c>
      <c r="T618">
        <f t="shared" si="78"/>
        <v>0</v>
      </c>
      <c r="Y618">
        <f t="shared" si="74"/>
        <v>0</v>
      </c>
      <c r="Z618">
        <f t="shared" si="75"/>
        <v>0</v>
      </c>
    </row>
    <row r="619" spans="2:26">
      <c r="B619" t="str">
        <f t="shared" si="81"/>
        <v>BLUE</v>
      </c>
      <c r="C619" s="6">
        <f t="shared" si="76"/>
        <v>323</v>
      </c>
      <c r="I619">
        <f t="shared" si="77"/>
        <v>0</v>
      </c>
      <c r="N619" s="59">
        <f t="shared" si="79"/>
        <v>0</v>
      </c>
      <c r="O619" s="59">
        <f t="shared" si="80"/>
        <v>0</v>
      </c>
      <c r="T619">
        <f t="shared" si="78"/>
        <v>0</v>
      </c>
      <c r="Y619">
        <f t="shared" si="74"/>
        <v>0</v>
      </c>
      <c r="Z619">
        <f t="shared" si="75"/>
        <v>0</v>
      </c>
    </row>
    <row r="620" spans="2:26">
      <c r="B620" t="str">
        <f t="shared" si="81"/>
        <v>BLUE</v>
      </c>
      <c r="C620" s="6">
        <f t="shared" si="76"/>
        <v>324</v>
      </c>
      <c r="I620">
        <f t="shared" si="77"/>
        <v>0</v>
      </c>
      <c r="N620" s="59">
        <f t="shared" si="79"/>
        <v>0</v>
      </c>
      <c r="O620" s="59">
        <f t="shared" si="80"/>
        <v>0</v>
      </c>
      <c r="T620">
        <f t="shared" si="78"/>
        <v>0</v>
      </c>
      <c r="Y620">
        <f t="shared" si="74"/>
        <v>0</v>
      </c>
      <c r="Z620">
        <f t="shared" si="75"/>
        <v>0</v>
      </c>
    </row>
    <row r="621" spans="2:26">
      <c r="B621" t="str">
        <f t="shared" si="81"/>
        <v>BLUE</v>
      </c>
      <c r="C621" s="6">
        <f t="shared" si="76"/>
        <v>325</v>
      </c>
      <c r="I621">
        <f t="shared" si="77"/>
        <v>0</v>
      </c>
      <c r="N621" s="59">
        <f t="shared" si="79"/>
        <v>0</v>
      </c>
      <c r="O621" s="59">
        <f t="shared" si="80"/>
        <v>0</v>
      </c>
      <c r="T621">
        <f t="shared" si="78"/>
        <v>0</v>
      </c>
      <c r="Y621">
        <f t="shared" si="74"/>
        <v>0</v>
      </c>
      <c r="Z621">
        <f t="shared" si="75"/>
        <v>0</v>
      </c>
    </row>
    <row r="622" spans="2:26">
      <c r="B622" t="str">
        <f t="shared" si="81"/>
        <v>BLUE</v>
      </c>
      <c r="C622" s="6">
        <f t="shared" si="76"/>
        <v>326</v>
      </c>
      <c r="I622">
        <f t="shared" si="77"/>
        <v>0</v>
      </c>
      <c r="N622" s="59">
        <f t="shared" si="79"/>
        <v>0</v>
      </c>
      <c r="O622" s="59">
        <f t="shared" si="80"/>
        <v>0</v>
      </c>
      <c r="T622">
        <f t="shared" si="78"/>
        <v>0</v>
      </c>
      <c r="Y622">
        <f t="shared" ref="Y622:Y685" si="82">SUM($U622:$X622)</f>
        <v>0</v>
      </c>
      <c r="Z622">
        <f t="shared" ref="Z622:Z685" si="83">SUM($T622,$Y622)</f>
        <v>0</v>
      </c>
    </row>
    <row r="623" spans="2:26">
      <c r="B623" t="str">
        <f t="shared" si="81"/>
        <v>BLUE</v>
      </c>
      <c r="C623" s="6">
        <f t="shared" si="76"/>
        <v>327</v>
      </c>
      <c r="I623">
        <f t="shared" si="77"/>
        <v>0</v>
      </c>
      <c r="N623" s="59">
        <f t="shared" si="79"/>
        <v>0</v>
      </c>
      <c r="O623" s="59">
        <f t="shared" si="80"/>
        <v>0</v>
      </c>
      <c r="T623">
        <f t="shared" si="78"/>
        <v>0</v>
      </c>
      <c r="Y623">
        <f t="shared" si="82"/>
        <v>0</v>
      </c>
      <c r="Z623">
        <f t="shared" si="83"/>
        <v>0</v>
      </c>
    </row>
    <row r="624" spans="2:26">
      <c r="B624" t="str">
        <f t="shared" si="81"/>
        <v>BLUE</v>
      </c>
      <c r="C624" s="6">
        <f t="shared" si="76"/>
        <v>328</v>
      </c>
      <c r="I624">
        <f t="shared" si="77"/>
        <v>0</v>
      </c>
      <c r="N624" s="59">
        <f t="shared" si="79"/>
        <v>0</v>
      </c>
      <c r="O624" s="59">
        <f t="shared" si="80"/>
        <v>0</v>
      </c>
      <c r="T624">
        <f t="shared" si="78"/>
        <v>0</v>
      </c>
      <c r="Y624">
        <f t="shared" si="82"/>
        <v>0</v>
      </c>
      <c r="Z624">
        <f t="shared" si="83"/>
        <v>0</v>
      </c>
    </row>
    <row r="625" spans="2:26">
      <c r="B625" t="str">
        <f t="shared" si="81"/>
        <v>BLUE</v>
      </c>
      <c r="C625" s="6">
        <f t="shared" si="76"/>
        <v>329</v>
      </c>
      <c r="I625">
        <f t="shared" si="77"/>
        <v>0</v>
      </c>
      <c r="N625" s="59">
        <f t="shared" si="79"/>
        <v>0</v>
      </c>
      <c r="O625" s="59">
        <f t="shared" si="80"/>
        <v>0</v>
      </c>
      <c r="T625">
        <f t="shared" si="78"/>
        <v>0</v>
      </c>
      <c r="Y625">
        <f t="shared" si="82"/>
        <v>0</v>
      </c>
      <c r="Z625">
        <f t="shared" si="83"/>
        <v>0</v>
      </c>
    </row>
    <row r="626" spans="2:26">
      <c r="B626" t="str">
        <f t="shared" si="81"/>
        <v>BLUE</v>
      </c>
      <c r="C626" s="6">
        <f t="shared" si="76"/>
        <v>330</v>
      </c>
      <c r="I626">
        <f t="shared" si="77"/>
        <v>0</v>
      </c>
      <c r="N626" s="59">
        <f t="shared" si="79"/>
        <v>0</v>
      </c>
      <c r="O626" s="59">
        <f t="shared" si="80"/>
        <v>0</v>
      </c>
      <c r="T626">
        <f t="shared" si="78"/>
        <v>0</v>
      </c>
      <c r="Y626">
        <f t="shared" si="82"/>
        <v>0</v>
      </c>
      <c r="Z626">
        <f t="shared" si="83"/>
        <v>0</v>
      </c>
    </row>
    <row r="627" spans="2:26">
      <c r="B627" t="str">
        <f t="shared" si="81"/>
        <v>BLUE</v>
      </c>
      <c r="C627" s="6">
        <f t="shared" si="76"/>
        <v>331</v>
      </c>
      <c r="I627">
        <f t="shared" si="77"/>
        <v>0</v>
      </c>
      <c r="N627" s="59">
        <f t="shared" si="79"/>
        <v>0</v>
      </c>
      <c r="O627" s="59">
        <f t="shared" si="80"/>
        <v>0</v>
      </c>
      <c r="T627">
        <f t="shared" si="78"/>
        <v>0</v>
      </c>
      <c r="Y627">
        <f t="shared" si="82"/>
        <v>0</v>
      </c>
      <c r="Z627">
        <f t="shared" si="83"/>
        <v>0</v>
      </c>
    </row>
    <row r="628" spans="2:26">
      <c r="B628" t="str">
        <f t="shared" si="81"/>
        <v>BLUE</v>
      </c>
      <c r="C628" s="6">
        <f t="shared" si="76"/>
        <v>332</v>
      </c>
      <c r="I628">
        <f t="shared" si="77"/>
        <v>0</v>
      </c>
      <c r="N628" s="59">
        <f t="shared" si="79"/>
        <v>0</v>
      </c>
      <c r="O628" s="59">
        <f t="shared" si="80"/>
        <v>0</v>
      </c>
      <c r="T628">
        <f t="shared" si="78"/>
        <v>0</v>
      </c>
      <c r="Y628">
        <f t="shared" si="82"/>
        <v>0</v>
      </c>
      <c r="Z628">
        <f t="shared" si="83"/>
        <v>0</v>
      </c>
    </row>
    <row r="629" spans="2:26">
      <c r="B629" t="str">
        <f t="shared" si="81"/>
        <v>BLUE</v>
      </c>
      <c r="C629" s="6">
        <f t="shared" ref="C629:C692" si="84">C628+1</f>
        <v>333</v>
      </c>
      <c r="I629">
        <f t="shared" si="77"/>
        <v>0</v>
      </c>
      <c r="N629" s="59">
        <f t="shared" si="79"/>
        <v>0</v>
      </c>
      <c r="O629" s="59">
        <f t="shared" si="80"/>
        <v>0</v>
      </c>
      <c r="T629">
        <f t="shared" si="78"/>
        <v>0</v>
      </c>
      <c r="Y629">
        <f t="shared" si="82"/>
        <v>0</v>
      </c>
      <c r="Z629">
        <f t="shared" si="83"/>
        <v>0</v>
      </c>
    </row>
    <row r="630" spans="2:26">
      <c r="B630" t="str">
        <f t="shared" si="81"/>
        <v>BLUE</v>
      </c>
      <c r="C630" s="6">
        <f t="shared" si="84"/>
        <v>334</v>
      </c>
      <c r="I630">
        <f t="shared" si="77"/>
        <v>0</v>
      </c>
      <c r="N630" s="59">
        <f t="shared" si="79"/>
        <v>0</v>
      </c>
      <c r="O630" s="59">
        <f t="shared" si="80"/>
        <v>0</v>
      </c>
      <c r="T630">
        <f t="shared" si="78"/>
        <v>0</v>
      </c>
      <c r="Y630">
        <f t="shared" si="82"/>
        <v>0</v>
      </c>
      <c r="Z630">
        <f t="shared" si="83"/>
        <v>0</v>
      </c>
    </row>
    <row r="631" spans="2:26">
      <c r="B631" t="str">
        <f t="shared" si="81"/>
        <v>BLUE</v>
      </c>
      <c r="C631" s="6">
        <f t="shared" si="84"/>
        <v>335</v>
      </c>
      <c r="I631">
        <f t="shared" si="77"/>
        <v>0</v>
      </c>
      <c r="N631" s="59">
        <f t="shared" si="79"/>
        <v>0</v>
      </c>
      <c r="O631" s="59">
        <f t="shared" si="80"/>
        <v>0</v>
      </c>
      <c r="T631">
        <f t="shared" si="78"/>
        <v>0</v>
      </c>
      <c r="Y631">
        <f t="shared" si="82"/>
        <v>0</v>
      </c>
      <c r="Z631">
        <f t="shared" si="83"/>
        <v>0</v>
      </c>
    </row>
    <row r="632" spans="2:26">
      <c r="B632" t="str">
        <f t="shared" si="81"/>
        <v>BLUE</v>
      </c>
      <c r="C632" s="6">
        <f t="shared" si="84"/>
        <v>336</v>
      </c>
      <c r="I632">
        <f t="shared" si="77"/>
        <v>0</v>
      </c>
      <c r="N632" s="59">
        <f t="shared" si="79"/>
        <v>0</v>
      </c>
      <c r="O632" s="59">
        <f t="shared" si="80"/>
        <v>0</v>
      </c>
      <c r="T632">
        <f t="shared" si="78"/>
        <v>0</v>
      </c>
      <c r="Y632">
        <f t="shared" si="82"/>
        <v>0</v>
      </c>
      <c r="Z632">
        <f t="shared" si="83"/>
        <v>0</v>
      </c>
    </row>
    <row r="633" spans="2:26">
      <c r="B633" t="str">
        <f t="shared" si="81"/>
        <v>BLUE</v>
      </c>
      <c r="C633" s="6">
        <f t="shared" si="84"/>
        <v>337</v>
      </c>
      <c r="I633">
        <f t="shared" si="77"/>
        <v>0</v>
      </c>
      <c r="N633" s="59">
        <f t="shared" si="79"/>
        <v>0</v>
      </c>
      <c r="O633" s="59">
        <f t="shared" si="80"/>
        <v>0</v>
      </c>
      <c r="T633">
        <f t="shared" si="78"/>
        <v>0</v>
      </c>
      <c r="Y633">
        <f t="shared" si="82"/>
        <v>0</v>
      </c>
      <c r="Z633">
        <f t="shared" si="83"/>
        <v>0</v>
      </c>
    </row>
    <row r="634" spans="2:26">
      <c r="B634" t="str">
        <f t="shared" si="81"/>
        <v>BLUE</v>
      </c>
      <c r="C634" s="6">
        <f t="shared" si="84"/>
        <v>338</v>
      </c>
      <c r="I634">
        <f t="shared" si="77"/>
        <v>0</v>
      </c>
      <c r="N634" s="59">
        <f t="shared" si="79"/>
        <v>0</v>
      </c>
      <c r="O634" s="59">
        <f t="shared" si="80"/>
        <v>0</v>
      </c>
      <c r="T634">
        <f t="shared" si="78"/>
        <v>0</v>
      </c>
      <c r="Y634">
        <f t="shared" si="82"/>
        <v>0</v>
      </c>
      <c r="Z634">
        <f t="shared" si="83"/>
        <v>0</v>
      </c>
    </row>
    <row r="635" spans="2:26">
      <c r="B635" t="str">
        <f t="shared" si="81"/>
        <v>BLUE</v>
      </c>
      <c r="C635" s="6">
        <f t="shared" si="84"/>
        <v>339</v>
      </c>
      <c r="I635">
        <f t="shared" si="77"/>
        <v>0</v>
      </c>
      <c r="N635" s="59">
        <f t="shared" si="79"/>
        <v>0</v>
      </c>
      <c r="O635" s="59">
        <f t="shared" si="80"/>
        <v>0</v>
      </c>
      <c r="T635">
        <f t="shared" si="78"/>
        <v>0</v>
      </c>
      <c r="Y635">
        <f t="shared" si="82"/>
        <v>0</v>
      </c>
      <c r="Z635">
        <f t="shared" si="83"/>
        <v>0</v>
      </c>
    </row>
    <row r="636" spans="2:26">
      <c r="B636" t="str">
        <f t="shared" si="81"/>
        <v>BLUE</v>
      </c>
      <c r="C636" s="6">
        <f t="shared" si="84"/>
        <v>340</v>
      </c>
      <c r="I636">
        <f t="shared" si="77"/>
        <v>0</v>
      </c>
      <c r="N636" s="59">
        <f t="shared" si="79"/>
        <v>0</v>
      </c>
      <c r="O636" s="59">
        <f t="shared" si="80"/>
        <v>0</v>
      </c>
      <c r="T636">
        <f t="shared" si="78"/>
        <v>0</v>
      </c>
      <c r="Y636">
        <f t="shared" si="82"/>
        <v>0</v>
      </c>
      <c r="Z636">
        <f t="shared" si="83"/>
        <v>0</v>
      </c>
    </row>
    <row r="637" spans="2:26">
      <c r="B637" t="str">
        <f t="shared" si="81"/>
        <v>BLUE</v>
      </c>
      <c r="C637" s="6">
        <f t="shared" si="84"/>
        <v>341</v>
      </c>
      <c r="I637">
        <f t="shared" si="77"/>
        <v>0</v>
      </c>
      <c r="N637" s="59">
        <f t="shared" si="79"/>
        <v>0</v>
      </c>
      <c r="O637" s="59">
        <f t="shared" si="80"/>
        <v>0</v>
      </c>
      <c r="T637">
        <f t="shared" si="78"/>
        <v>0</v>
      </c>
      <c r="Y637">
        <f t="shared" si="82"/>
        <v>0</v>
      </c>
      <c r="Z637">
        <f t="shared" si="83"/>
        <v>0</v>
      </c>
    </row>
    <row r="638" spans="2:26">
      <c r="B638" t="str">
        <f t="shared" si="81"/>
        <v>BLUE</v>
      </c>
      <c r="C638" s="6">
        <f t="shared" si="84"/>
        <v>342</v>
      </c>
      <c r="I638">
        <f t="shared" ref="I638:I701" si="85">SUM($E638:$H638)</f>
        <v>0</v>
      </c>
      <c r="N638" s="59">
        <f t="shared" si="79"/>
        <v>0</v>
      </c>
      <c r="O638" s="59">
        <f t="shared" si="80"/>
        <v>0</v>
      </c>
      <c r="T638">
        <f t="shared" ref="T638:T701" si="86">SUM($P638:$S638)</f>
        <v>0</v>
      </c>
      <c r="Y638">
        <f t="shared" si="82"/>
        <v>0</v>
      </c>
      <c r="Z638">
        <f t="shared" si="83"/>
        <v>0</v>
      </c>
    </row>
    <row r="639" spans="2:26">
      <c r="B639" t="str">
        <f t="shared" si="81"/>
        <v>BLUE</v>
      </c>
      <c r="C639" s="6">
        <f t="shared" si="84"/>
        <v>343</v>
      </c>
      <c r="I639">
        <f t="shared" si="85"/>
        <v>0</v>
      </c>
      <c r="N639" s="59">
        <f t="shared" si="79"/>
        <v>0</v>
      </c>
      <c r="O639" s="59">
        <f t="shared" si="80"/>
        <v>0</v>
      </c>
      <c r="T639">
        <f t="shared" si="86"/>
        <v>0</v>
      </c>
      <c r="Y639">
        <f t="shared" si="82"/>
        <v>0</v>
      </c>
      <c r="Z639">
        <f t="shared" si="83"/>
        <v>0</v>
      </c>
    </row>
    <row r="640" spans="2:26">
      <c r="B640" t="str">
        <f t="shared" si="81"/>
        <v>BLUE</v>
      </c>
      <c r="C640" s="6">
        <f t="shared" si="84"/>
        <v>344</v>
      </c>
      <c r="I640">
        <f t="shared" si="85"/>
        <v>0</v>
      </c>
      <c r="N640" s="59">
        <f t="shared" si="79"/>
        <v>0</v>
      </c>
      <c r="O640" s="59">
        <f t="shared" si="80"/>
        <v>0</v>
      </c>
      <c r="T640">
        <f t="shared" si="86"/>
        <v>0</v>
      </c>
      <c r="Y640">
        <f t="shared" si="82"/>
        <v>0</v>
      </c>
      <c r="Z640">
        <f t="shared" si="83"/>
        <v>0</v>
      </c>
    </row>
    <row r="641" spans="2:26">
      <c r="B641" t="str">
        <f t="shared" si="81"/>
        <v>BLUE</v>
      </c>
      <c r="C641" s="6">
        <f t="shared" si="84"/>
        <v>345</v>
      </c>
      <c r="I641">
        <f t="shared" si="85"/>
        <v>0</v>
      </c>
      <c r="N641" s="59">
        <f t="shared" si="79"/>
        <v>0</v>
      </c>
      <c r="O641" s="59">
        <f t="shared" si="80"/>
        <v>0</v>
      </c>
      <c r="T641">
        <f t="shared" si="86"/>
        <v>0</v>
      </c>
      <c r="Y641">
        <f t="shared" si="82"/>
        <v>0</v>
      </c>
      <c r="Z641">
        <f t="shared" si="83"/>
        <v>0</v>
      </c>
    </row>
    <row r="642" spans="2:26">
      <c r="B642" t="str">
        <f t="shared" si="81"/>
        <v>BLUE</v>
      </c>
      <c r="C642" s="6">
        <f t="shared" si="84"/>
        <v>346</v>
      </c>
      <c r="I642">
        <f t="shared" si="85"/>
        <v>0</v>
      </c>
      <c r="N642" s="59">
        <f t="shared" si="79"/>
        <v>0</v>
      </c>
      <c r="O642" s="59">
        <f t="shared" si="80"/>
        <v>0</v>
      </c>
      <c r="T642">
        <f t="shared" si="86"/>
        <v>0</v>
      </c>
      <c r="Y642">
        <f t="shared" si="82"/>
        <v>0</v>
      </c>
      <c r="Z642">
        <f t="shared" si="83"/>
        <v>0</v>
      </c>
    </row>
    <row r="643" spans="2:26">
      <c r="B643" t="str">
        <f t="shared" si="81"/>
        <v>BLUE</v>
      </c>
      <c r="C643" s="6">
        <f t="shared" si="84"/>
        <v>347</v>
      </c>
      <c r="I643">
        <f t="shared" si="85"/>
        <v>0</v>
      </c>
      <c r="N643" s="59">
        <f t="shared" si="79"/>
        <v>0</v>
      </c>
      <c r="O643" s="59">
        <f t="shared" si="80"/>
        <v>0</v>
      </c>
      <c r="T643">
        <f t="shared" si="86"/>
        <v>0</v>
      </c>
      <c r="Y643">
        <f t="shared" si="82"/>
        <v>0</v>
      </c>
      <c r="Z643">
        <f t="shared" si="83"/>
        <v>0</v>
      </c>
    </row>
    <row r="644" spans="2:26">
      <c r="B644" t="str">
        <f t="shared" si="81"/>
        <v>BLUE</v>
      </c>
      <c r="C644" s="6">
        <f t="shared" si="84"/>
        <v>348</v>
      </c>
      <c r="I644">
        <f t="shared" si="85"/>
        <v>0</v>
      </c>
      <c r="N644" s="59">
        <f t="shared" si="79"/>
        <v>0</v>
      </c>
      <c r="O644" s="59">
        <f t="shared" si="80"/>
        <v>0</v>
      </c>
      <c r="T644">
        <f t="shared" si="86"/>
        <v>0</v>
      </c>
      <c r="Y644">
        <f t="shared" si="82"/>
        <v>0</v>
      </c>
      <c r="Z644">
        <f t="shared" si="83"/>
        <v>0</v>
      </c>
    </row>
    <row r="645" spans="2:26">
      <c r="B645" t="str">
        <f t="shared" si="81"/>
        <v>BLUE</v>
      </c>
      <c r="C645" s="6">
        <f t="shared" si="84"/>
        <v>349</v>
      </c>
      <c r="I645">
        <f t="shared" si="85"/>
        <v>0</v>
      </c>
      <c r="N645" s="59">
        <f t="shared" si="79"/>
        <v>0</v>
      </c>
      <c r="O645" s="59">
        <f t="shared" si="80"/>
        <v>0</v>
      </c>
      <c r="T645">
        <f t="shared" si="86"/>
        <v>0</v>
      </c>
      <c r="Y645">
        <f t="shared" si="82"/>
        <v>0</v>
      </c>
      <c r="Z645">
        <f t="shared" si="83"/>
        <v>0</v>
      </c>
    </row>
    <row r="646" spans="2:26">
      <c r="B646" t="str">
        <f t="shared" si="81"/>
        <v>BLUE</v>
      </c>
      <c r="C646" s="6">
        <f t="shared" si="84"/>
        <v>350</v>
      </c>
      <c r="I646">
        <f t="shared" si="85"/>
        <v>0</v>
      </c>
      <c r="N646" s="59">
        <f t="shared" si="79"/>
        <v>0</v>
      </c>
      <c r="O646" s="59">
        <f t="shared" si="80"/>
        <v>0</v>
      </c>
      <c r="T646">
        <f t="shared" si="86"/>
        <v>0</v>
      </c>
      <c r="Y646">
        <f t="shared" si="82"/>
        <v>0</v>
      </c>
      <c r="Z646">
        <f t="shared" si="83"/>
        <v>0</v>
      </c>
    </row>
    <row r="647" spans="2:26">
      <c r="B647" t="str">
        <f t="shared" si="81"/>
        <v>BLUE</v>
      </c>
      <c r="C647" s="6">
        <f t="shared" si="84"/>
        <v>351</v>
      </c>
      <c r="I647">
        <f t="shared" si="85"/>
        <v>0</v>
      </c>
      <c r="N647" s="59">
        <f t="shared" si="79"/>
        <v>0</v>
      </c>
      <c r="O647" s="59">
        <f t="shared" si="80"/>
        <v>0</v>
      </c>
      <c r="T647">
        <f t="shared" si="86"/>
        <v>0</v>
      </c>
      <c r="Y647">
        <f t="shared" si="82"/>
        <v>0</v>
      </c>
      <c r="Z647">
        <f t="shared" si="83"/>
        <v>0</v>
      </c>
    </row>
    <row r="648" spans="2:26">
      <c r="B648" t="str">
        <f t="shared" si="81"/>
        <v>BLUE</v>
      </c>
      <c r="C648" s="6">
        <f t="shared" si="84"/>
        <v>352</v>
      </c>
      <c r="I648">
        <f t="shared" si="85"/>
        <v>0</v>
      </c>
      <c r="N648" s="59">
        <f t="shared" si="79"/>
        <v>0</v>
      </c>
      <c r="O648" s="59">
        <f t="shared" si="80"/>
        <v>0</v>
      </c>
      <c r="T648">
        <f t="shared" si="86"/>
        <v>0</v>
      </c>
      <c r="Y648">
        <f t="shared" si="82"/>
        <v>0</v>
      </c>
      <c r="Z648">
        <f t="shared" si="83"/>
        <v>0</v>
      </c>
    </row>
    <row r="649" spans="2:26">
      <c r="B649" t="str">
        <f t="shared" si="81"/>
        <v>BLUE</v>
      </c>
      <c r="C649" s="6">
        <f t="shared" si="84"/>
        <v>353</v>
      </c>
      <c r="I649">
        <f t="shared" si="85"/>
        <v>0</v>
      </c>
      <c r="N649" s="59">
        <f t="shared" ref="N649:N712" si="87">SUM($J649:$M649)</f>
        <v>0</v>
      </c>
      <c r="O649" s="59">
        <f t="shared" ref="O649:O712" si="88">SUM($I649, $N649)</f>
        <v>0</v>
      </c>
      <c r="T649">
        <f t="shared" si="86"/>
        <v>0</v>
      </c>
      <c r="Y649">
        <f t="shared" si="82"/>
        <v>0</v>
      </c>
      <c r="Z649">
        <f t="shared" si="83"/>
        <v>0</v>
      </c>
    </row>
    <row r="650" spans="2:26">
      <c r="B650" t="str">
        <f t="shared" si="81"/>
        <v>BLUE</v>
      </c>
      <c r="C650" s="6">
        <f t="shared" si="84"/>
        <v>354</v>
      </c>
      <c r="I650">
        <f t="shared" si="85"/>
        <v>0</v>
      </c>
      <c r="N650" s="59">
        <f t="shared" si="87"/>
        <v>0</v>
      </c>
      <c r="O650" s="59">
        <f t="shared" si="88"/>
        <v>0</v>
      </c>
      <c r="T650">
        <f t="shared" si="86"/>
        <v>0</v>
      </c>
      <c r="Y650">
        <f t="shared" si="82"/>
        <v>0</v>
      </c>
      <c r="Z650">
        <f t="shared" si="83"/>
        <v>0</v>
      </c>
    </row>
    <row r="651" spans="2:26">
      <c r="B651" t="str">
        <f t="shared" si="81"/>
        <v>BLUE</v>
      </c>
      <c r="C651" s="6">
        <f t="shared" si="84"/>
        <v>355</v>
      </c>
      <c r="I651">
        <f t="shared" si="85"/>
        <v>0</v>
      </c>
      <c r="N651" s="59">
        <f t="shared" si="87"/>
        <v>0</v>
      </c>
      <c r="O651" s="59">
        <f t="shared" si="88"/>
        <v>0</v>
      </c>
      <c r="T651">
        <f t="shared" si="86"/>
        <v>0</v>
      </c>
      <c r="Y651">
        <f t="shared" si="82"/>
        <v>0</v>
      </c>
      <c r="Z651">
        <f t="shared" si="83"/>
        <v>0</v>
      </c>
    </row>
    <row r="652" spans="2:26">
      <c r="B652" t="str">
        <f t="shared" si="81"/>
        <v>BLUE</v>
      </c>
      <c r="C652" s="6">
        <f t="shared" si="84"/>
        <v>356</v>
      </c>
      <c r="I652">
        <f t="shared" si="85"/>
        <v>0</v>
      </c>
      <c r="N652" s="59">
        <f t="shared" si="87"/>
        <v>0</v>
      </c>
      <c r="O652" s="59">
        <f t="shared" si="88"/>
        <v>0</v>
      </c>
      <c r="T652">
        <f t="shared" si="86"/>
        <v>0</v>
      </c>
      <c r="Y652">
        <f t="shared" si="82"/>
        <v>0</v>
      </c>
      <c r="Z652">
        <f t="shared" si="83"/>
        <v>0</v>
      </c>
    </row>
    <row r="653" spans="2:26">
      <c r="B653" t="str">
        <f t="shared" si="81"/>
        <v>BLUE</v>
      </c>
      <c r="C653" s="6">
        <f t="shared" si="84"/>
        <v>357</v>
      </c>
      <c r="I653">
        <f t="shared" si="85"/>
        <v>0</v>
      </c>
      <c r="N653" s="59">
        <f t="shared" si="87"/>
        <v>0</v>
      </c>
      <c r="O653" s="59">
        <f t="shared" si="88"/>
        <v>0</v>
      </c>
      <c r="T653">
        <f t="shared" si="86"/>
        <v>0</v>
      </c>
      <c r="Y653">
        <f t="shared" si="82"/>
        <v>0</v>
      </c>
      <c r="Z653">
        <f t="shared" si="83"/>
        <v>0</v>
      </c>
    </row>
    <row r="654" spans="2:26">
      <c r="B654" t="str">
        <f t="shared" si="81"/>
        <v>BLUE</v>
      </c>
      <c r="C654" s="6">
        <f t="shared" si="84"/>
        <v>358</v>
      </c>
      <c r="I654">
        <f t="shared" si="85"/>
        <v>0</v>
      </c>
      <c r="N654" s="59">
        <f t="shared" si="87"/>
        <v>0</v>
      </c>
      <c r="O654" s="59">
        <f t="shared" si="88"/>
        <v>0</v>
      </c>
      <c r="T654">
        <f t="shared" si="86"/>
        <v>0</v>
      </c>
      <c r="Y654">
        <f t="shared" si="82"/>
        <v>0</v>
      </c>
      <c r="Z654">
        <f t="shared" si="83"/>
        <v>0</v>
      </c>
    </row>
    <row r="655" spans="2:26">
      <c r="B655" t="str">
        <f t="shared" si="81"/>
        <v>BLUE</v>
      </c>
      <c r="C655" s="6">
        <f t="shared" si="84"/>
        <v>359</v>
      </c>
      <c r="I655">
        <f t="shared" si="85"/>
        <v>0</v>
      </c>
      <c r="N655" s="59">
        <f t="shared" si="87"/>
        <v>0</v>
      </c>
      <c r="O655" s="59">
        <f t="shared" si="88"/>
        <v>0</v>
      </c>
      <c r="T655">
        <f t="shared" si="86"/>
        <v>0</v>
      </c>
      <c r="Y655">
        <f t="shared" si="82"/>
        <v>0</v>
      </c>
      <c r="Z655">
        <f t="shared" si="83"/>
        <v>0</v>
      </c>
    </row>
    <row r="656" spans="2:26">
      <c r="B656" t="str">
        <f t="shared" si="81"/>
        <v>BLUE</v>
      </c>
      <c r="C656" s="6">
        <f t="shared" si="84"/>
        <v>360</v>
      </c>
      <c r="I656">
        <f t="shared" si="85"/>
        <v>0</v>
      </c>
      <c r="N656" s="59">
        <f t="shared" si="87"/>
        <v>0</v>
      </c>
      <c r="O656" s="59">
        <f t="shared" si="88"/>
        <v>0</v>
      </c>
      <c r="T656">
        <f t="shared" si="86"/>
        <v>0</v>
      </c>
      <c r="Y656">
        <f t="shared" si="82"/>
        <v>0</v>
      </c>
      <c r="Z656">
        <f t="shared" si="83"/>
        <v>0</v>
      </c>
    </row>
    <row r="657" spans="2:26">
      <c r="B657" t="str">
        <f t="shared" si="81"/>
        <v>BLUE</v>
      </c>
      <c r="C657" s="6">
        <f t="shared" si="84"/>
        <v>361</v>
      </c>
      <c r="I657">
        <f t="shared" si="85"/>
        <v>0</v>
      </c>
      <c r="N657" s="59">
        <f t="shared" si="87"/>
        <v>0</v>
      </c>
      <c r="O657" s="59">
        <f t="shared" si="88"/>
        <v>0</v>
      </c>
      <c r="T657">
        <f t="shared" si="86"/>
        <v>0</v>
      </c>
      <c r="Y657">
        <f t="shared" si="82"/>
        <v>0</v>
      </c>
      <c r="Z657">
        <f t="shared" si="83"/>
        <v>0</v>
      </c>
    </row>
    <row r="658" spans="2:26">
      <c r="B658" t="str">
        <f t="shared" si="81"/>
        <v>BLUE</v>
      </c>
      <c r="C658" s="6">
        <f t="shared" si="84"/>
        <v>362</v>
      </c>
      <c r="I658">
        <f t="shared" si="85"/>
        <v>0</v>
      </c>
      <c r="N658" s="59">
        <f t="shared" si="87"/>
        <v>0</v>
      </c>
      <c r="O658" s="59">
        <f t="shared" si="88"/>
        <v>0</v>
      </c>
      <c r="T658">
        <f t="shared" si="86"/>
        <v>0</v>
      </c>
      <c r="Y658">
        <f t="shared" si="82"/>
        <v>0</v>
      </c>
      <c r="Z658">
        <f t="shared" si="83"/>
        <v>0</v>
      </c>
    </row>
    <row r="659" spans="2:26">
      <c r="B659" t="str">
        <f t="shared" ref="B659:B722" si="89">B658</f>
        <v>BLUE</v>
      </c>
      <c r="C659" s="6">
        <f t="shared" si="84"/>
        <v>363</v>
      </c>
      <c r="I659">
        <f t="shared" si="85"/>
        <v>0</v>
      </c>
      <c r="N659" s="59">
        <f t="shared" si="87"/>
        <v>0</v>
      </c>
      <c r="O659" s="59">
        <f t="shared" si="88"/>
        <v>0</v>
      </c>
      <c r="T659">
        <f t="shared" si="86"/>
        <v>0</v>
      </c>
      <c r="Y659">
        <f t="shared" si="82"/>
        <v>0</v>
      </c>
      <c r="Z659">
        <f t="shared" si="83"/>
        <v>0</v>
      </c>
    </row>
    <row r="660" spans="2:26">
      <c r="B660" t="str">
        <f t="shared" si="89"/>
        <v>BLUE</v>
      </c>
      <c r="C660" s="6">
        <f t="shared" si="84"/>
        <v>364</v>
      </c>
      <c r="I660">
        <f t="shared" si="85"/>
        <v>0</v>
      </c>
      <c r="N660" s="59">
        <f t="shared" si="87"/>
        <v>0</v>
      </c>
      <c r="O660" s="59">
        <f t="shared" si="88"/>
        <v>0</v>
      </c>
      <c r="T660">
        <f t="shared" si="86"/>
        <v>0</v>
      </c>
      <c r="Y660">
        <f t="shared" si="82"/>
        <v>0</v>
      </c>
      <c r="Z660">
        <f t="shared" si="83"/>
        <v>0</v>
      </c>
    </row>
    <row r="661" spans="2:26">
      <c r="B661" t="str">
        <f t="shared" si="89"/>
        <v>BLUE</v>
      </c>
      <c r="C661" s="6">
        <f t="shared" si="84"/>
        <v>365</v>
      </c>
      <c r="I661">
        <f t="shared" si="85"/>
        <v>0</v>
      </c>
      <c r="N661" s="59">
        <f t="shared" si="87"/>
        <v>0</v>
      </c>
      <c r="O661" s="59">
        <f t="shared" si="88"/>
        <v>0</v>
      </c>
      <c r="T661">
        <f t="shared" si="86"/>
        <v>0</v>
      </c>
      <c r="Y661">
        <f t="shared" si="82"/>
        <v>0</v>
      </c>
      <c r="Z661">
        <f t="shared" si="83"/>
        <v>0</v>
      </c>
    </row>
    <row r="662" spans="2:26">
      <c r="B662" t="str">
        <f t="shared" si="89"/>
        <v>BLUE</v>
      </c>
      <c r="C662" s="6">
        <f t="shared" si="84"/>
        <v>366</v>
      </c>
      <c r="I662">
        <f t="shared" si="85"/>
        <v>0</v>
      </c>
      <c r="N662" s="59">
        <f t="shared" si="87"/>
        <v>0</v>
      </c>
      <c r="O662" s="59">
        <f t="shared" si="88"/>
        <v>0</v>
      </c>
      <c r="T662">
        <f t="shared" si="86"/>
        <v>0</v>
      </c>
      <c r="Y662">
        <f t="shared" si="82"/>
        <v>0</v>
      </c>
      <c r="Z662">
        <f t="shared" si="83"/>
        <v>0</v>
      </c>
    </row>
    <row r="663" spans="2:26">
      <c r="B663" t="str">
        <f t="shared" si="89"/>
        <v>BLUE</v>
      </c>
      <c r="C663" s="6">
        <f t="shared" si="84"/>
        <v>367</v>
      </c>
      <c r="I663">
        <f t="shared" si="85"/>
        <v>0</v>
      </c>
      <c r="N663" s="59">
        <f t="shared" si="87"/>
        <v>0</v>
      </c>
      <c r="O663" s="59">
        <f t="shared" si="88"/>
        <v>0</v>
      </c>
      <c r="T663">
        <f t="shared" si="86"/>
        <v>0</v>
      </c>
      <c r="Y663">
        <f t="shared" si="82"/>
        <v>0</v>
      </c>
      <c r="Z663">
        <f t="shared" si="83"/>
        <v>0</v>
      </c>
    </row>
    <row r="664" spans="2:26">
      <c r="B664" t="str">
        <f t="shared" si="89"/>
        <v>BLUE</v>
      </c>
      <c r="C664" s="6">
        <f t="shared" si="84"/>
        <v>368</v>
      </c>
      <c r="I664">
        <f t="shared" si="85"/>
        <v>0</v>
      </c>
      <c r="N664" s="59">
        <f t="shared" si="87"/>
        <v>0</v>
      </c>
      <c r="O664" s="59">
        <f t="shared" si="88"/>
        <v>0</v>
      </c>
      <c r="T664">
        <f t="shared" si="86"/>
        <v>0</v>
      </c>
      <c r="Y664">
        <f t="shared" si="82"/>
        <v>0</v>
      </c>
      <c r="Z664">
        <f t="shared" si="83"/>
        <v>0</v>
      </c>
    </row>
    <row r="665" spans="2:26">
      <c r="B665" t="str">
        <f t="shared" si="89"/>
        <v>BLUE</v>
      </c>
      <c r="C665" s="6">
        <f t="shared" si="84"/>
        <v>369</v>
      </c>
      <c r="I665">
        <f t="shared" si="85"/>
        <v>0</v>
      </c>
      <c r="N665" s="59">
        <f t="shared" si="87"/>
        <v>0</v>
      </c>
      <c r="O665" s="59">
        <f t="shared" si="88"/>
        <v>0</v>
      </c>
      <c r="T665">
        <f t="shared" si="86"/>
        <v>0</v>
      </c>
      <c r="Y665">
        <f t="shared" si="82"/>
        <v>0</v>
      </c>
      <c r="Z665">
        <f t="shared" si="83"/>
        <v>0</v>
      </c>
    </row>
    <row r="666" spans="2:26">
      <c r="B666" t="str">
        <f t="shared" si="89"/>
        <v>BLUE</v>
      </c>
      <c r="C666" s="6">
        <f t="shared" si="84"/>
        <v>370</v>
      </c>
      <c r="I666">
        <f t="shared" si="85"/>
        <v>0</v>
      </c>
      <c r="N666" s="59">
        <f t="shared" si="87"/>
        <v>0</v>
      </c>
      <c r="O666" s="59">
        <f t="shared" si="88"/>
        <v>0</v>
      </c>
      <c r="T666">
        <f t="shared" si="86"/>
        <v>0</v>
      </c>
      <c r="Y666">
        <f t="shared" si="82"/>
        <v>0</v>
      </c>
      <c r="Z666">
        <f t="shared" si="83"/>
        <v>0</v>
      </c>
    </row>
    <row r="667" spans="2:26">
      <c r="B667" t="str">
        <f t="shared" si="89"/>
        <v>BLUE</v>
      </c>
      <c r="C667" s="6">
        <f t="shared" si="84"/>
        <v>371</v>
      </c>
      <c r="I667">
        <f t="shared" si="85"/>
        <v>0</v>
      </c>
      <c r="N667" s="59">
        <f t="shared" si="87"/>
        <v>0</v>
      </c>
      <c r="O667" s="59">
        <f t="shared" si="88"/>
        <v>0</v>
      </c>
      <c r="T667">
        <f t="shared" si="86"/>
        <v>0</v>
      </c>
      <c r="Y667">
        <f t="shared" si="82"/>
        <v>0</v>
      </c>
      <c r="Z667">
        <f t="shared" si="83"/>
        <v>0</v>
      </c>
    </row>
    <row r="668" spans="2:26">
      <c r="B668" t="str">
        <f t="shared" si="89"/>
        <v>BLUE</v>
      </c>
      <c r="C668" s="6">
        <f t="shared" si="84"/>
        <v>372</v>
      </c>
      <c r="I668">
        <f t="shared" si="85"/>
        <v>0</v>
      </c>
      <c r="N668" s="59">
        <f t="shared" si="87"/>
        <v>0</v>
      </c>
      <c r="O668" s="59">
        <f t="shared" si="88"/>
        <v>0</v>
      </c>
      <c r="T668">
        <f t="shared" si="86"/>
        <v>0</v>
      </c>
      <c r="Y668">
        <f t="shared" si="82"/>
        <v>0</v>
      </c>
      <c r="Z668">
        <f t="shared" si="83"/>
        <v>0</v>
      </c>
    </row>
    <row r="669" spans="2:26">
      <c r="B669" t="str">
        <f t="shared" si="89"/>
        <v>BLUE</v>
      </c>
      <c r="C669" s="6">
        <f t="shared" si="84"/>
        <v>373</v>
      </c>
      <c r="I669">
        <f t="shared" si="85"/>
        <v>0</v>
      </c>
      <c r="N669" s="59">
        <f t="shared" si="87"/>
        <v>0</v>
      </c>
      <c r="O669" s="59">
        <f t="shared" si="88"/>
        <v>0</v>
      </c>
      <c r="T669">
        <f t="shared" si="86"/>
        <v>0</v>
      </c>
      <c r="Y669">
        <f t="shared" si="82"/>
        <v>0</v>
      </c>
      <c r="Z669">
        <f t="shared" si="83"/>
        <v>0</v>
      </c>
    </row>
    <row r="670" spans="2:26">
      <c r="B670" t="str">
        <f t="shared" si="89"/>
        <v>BLUE</v>
      </c>
      <c r="C670" s="6">
        <f t="shared" si="84"/>
        <v>374</v>
      </c>
      <c r="I670">
        <f t="shared" si="85"/>
        <v>0</v>
      </c>
      <c r="N670" s="59">
        <f t="shared" si="87"/>
        <v>0</v>
      </c>
      <c r="O670" s="59">
        <f t="shared" si="88"/>
        <v>0</v>
      </c>
      <c r="T670">
        <f t="shared" si="86"/>
        <v>0</v>
      </c>
      <c r="Y670">
        <f t="shared" si="82"/>
        <v>0</v>
      </c>
      <c r="Z670">
        <f t="shared" si="83"/>
        <v>0</v>
      </c>
    </row>
    <row r="671" spans="2:26">
      <c r="B671" t="str">
        <f t="shared" si="89"/>
        <v>BLUE</v>
      </c>
      <c r="C671" s="6">
        <f t="shared" si="84"/>
        <v>375</v>
      </c>
      <c r="I671">
        <f t="shared" si="85"/>
        <v>0</v>
      </c>
      <c r="N671" s="59">
        <f t="shared" si="87"/>
        <v>0</v>
      </c>
      <c r="O671" s="59">
        <f t="shared" si="88"/>
        <v>0</v>
      </c>
      <c r="T671">
        <f t="shared" si="86"/>
        <v>0</v>
      </c>
      <c r="Y671">
        <f t="shared" si="82"/>
        <v>0</v>
      </c>
      <c r="Z671">
        <f t="shared" si="83"/>
        <v>0</v>
      </c>
    </row>
    <row r="672" spans="2:26">
      <c r="B672" t="str">
        <f t="shared" si="89"/>
        <v>BLUE</v>
      </c>
      <c r="C672" s="6">
        <f t="shared" si="84"/>
        <v>376</v>
      </c>
      <c r="I672">
        <f t="shared" si="85"/>
        <v>0</v>
      </c>
      <c r="N672" s="59">
        <f t="shared" si="87"/>
        <v>0</v>
      </c>
      <c r="O672" s="59">
        <f t="shared" si="88"/>
        <v>0</v>
      </c>
      <c r="T672">
        <f t="shared" si="86"/>
        <v>0</v>
      </c>
      <c r="Y672">
        <f t="shared" si="82"/>
        <v>0</v>
      </c>
      <c r="Z672">
        <f t="shared" si="83"/>
        <v>0</v>
      </c>
    </row>
    <row r="673" spans="2:26">
      <c r="B673" t="str">
        <f t="shared" si="89"/>
        <v>BLUE</v>
      </c>
      <c r="C673" s="6">
        <f t="shared" si="84"/>
        <v>377</v>
      </c>
      <c r="I673">
        <f t="shared" si="85"/>
        <v>0</v>
      </c>
      <c r="N673" s="59">
        <f t="shared" si="87"/>
        <v>0</v>
      </c>
      <c r="O673" s="59">
        <f t="shared" si="88"/>
        <v>0</v>
      </c>
      <c r="T673">
        <f t="shared" si="86"/>
        <v>0</v>
      </c>
      <c r="Y673">
        <f t="shared" si="82"/>
        <v>0</v>
      </c>
      <c r="Z673">
        <f t="shared" si="83"/>
        <v>0</v>
      </c>
    </row>
    <row r="674" spans="2:26">
      <c r="B674" t="str">
        <f t="shared" si="89"/>
        <v>BLUE</v>
      </c>
      <c r="C674" s="6">
        <f t="shared" si="84"/>
        <v>378</v>
      </c>
      <c r="I674">
        <f t="shared" si="85"/>
        <v>0</v>
      </c>
      <c r="N674" s="59">
        <f t="shared" si="87"/>
        <v>0</v>
      </c>
      <c r="O674" s="59">
        <f t="shared" si="88"/>
        <v>0</v>
      </c>
      <c r="T674">
        <f t="shared" si="86"/>
        <v>0</v>
      </c>
      <c r="Y674">
        <f t="shared" si="82"/>
        <v>0</v>
      </c>
      <c r="Z674">
        <f t="shared" si="83"/>
        <v>0</v>
      </c>
    </row>
    <row r="675" spans="2:26">
      <c r="B675" t="str">
        <f t="shared" si="89"/>
        <v>BLUE</v>
      </c>
      <c r="C675" s="6">
        <f t="shared" si="84"/>
        <v>379</v>
      </c>
      <c r="I675">
        <f t="shared" si="85"/>
        <v>0</v>
      </c>
      <c r="N675" s="59">
        <f t="shared" si="87"/>
        <v>0</v>
      </c>
      <c r="O675" s="59">
        <f t="shared" si="88"/>
        <v>0</v>
      </c>
      <c r="T675">
        <f t="shared" si="86"/>
        <v>0</v>
      </c>
      <c r="Y675">
        <f t="shared" si="82"/>
        <v>0</v>
      </c>
      <c r="Z675">
        <f t="shared" si="83"/>
        <v>0</v>
      </c>
    </row>
    <row r="676" spans="2:26">
      <c r="B676" t="str">
        <f t="shared" si="89"/>
        <v>BLUE</v>
      </c>
      <c r="C676" s="6">
        <f t="shared" si="84"/>
        <v>380</v>
      </c>
      <c r="I676">
        <f t="shared" si="85"/>
        <v>0</v>
      </c>
      <c r="N676" s="59">
        <f t="shared" si="87"/>
        <v>0</v>
      </c>
      <c r="O676" s="59">
        <f t="shared" si="88"/>
        <v>0</v>
      </c>
      <c r="T676">
        <f t="shared" si="86"/>
        <v>0</v>
      </c>
      <c r="Y676">
        <f t="shared" si="82"/>
        <v>0</v>
      </c>
      <c r="Z676">
        <f t="shared" si="83"/>
        <v>0</v>
      </c>
    </row>
    <row r="677" spans="2:26">
      <c r="B677" t="str">
        <f t="shared" si="89"/>
        <v>BLUE</v>
      </c>
      <c r="C677" s="6">
        <f t="shared" si="84"/>
        <v>381</v>
      </c>
      <c r="I677">
        <f t="shared" si="85"/>
        <v>0</v>
      </c>
      <c r="N677" s="59">
        <f t="shared" si="87"/>
        <v>0</v>
      </c>
      <c r="O677" s="59">
        <f t="shared" si="88"/>
        <v>0</v>
      </c>
      <c r="T677">
        <f t="shared" si="86"/>
        <v>0</v>
      </c>
      <c r="Y677">
        <f t="shared" si="82"/>
        <v>0</v>
      </c>
      <c r="Z677">
        <f t="shared" si="83"/>
        <v>0</v>
      </c>
    </row>
    <row r="678" spans="2:26">
      <c r="B678" t="str">
        <f t="shared" si="89"/>
        <v>BLUE</v>
      </c>
      <c r="C678" s="6">
        <f t="shared" si="84"/>
        <v>382</v>
      </c>
      <c r="I678">
        <f t="shared" si="85"/>
        <v>0</v>
      </c>
      <c r="N678" s="59">
        <f t="shared" si="87"/>
        <v>0</v>
      </c>
      <c r="O678" s="59">
        <f t="shared" si="88"/>
        <v>0</v>
      </c>
      <c r="T678">
        <f t="shared" si="86"/>
        <v>0</v>
      </c>
      <c r="Y678">
        <f t="shared" si="82"/>
        <v>0</v>
      </c>
      <c r="Z678">
        <f t="shared" si="83"/>
        <v>0</v>
      </c>
    </row>
    <row r="679" spans="2:26">
      <c r="B679" t="str">
        <f t="shared" si="89"/>
        <v>BLUE</v>
      </c>
      <c r="C679" s="6">
        <f t="shared" si="84"/>
        <v>383</v>
      </c>
      <c r="I679">
        <f t="shared" si="85"/>
        <v>0</v>
      </c>
      <c r="N679" s="59">
        <f t="shared" si="87"/>
        <v>0</v>
      </c>
      <c r="O679" s="59">
        <f t="shared" si="88"/>
        <v>0</v>
      </c>
      <c r="T679">
        <f t="shared" si="86"/>
        <v>0</v>
      </c>
      <c r="Y679">
        <f t="shared" si="82"/>
        <v>0</v>
      </c>
      <c r="Z679">
        <f t="shared" si="83"/>
        <v>0</v>
      </c>
    </row>
    <row r="680" spans="2:26">
      <c r="B680" t="str">
        <f t="shared" si="89"/>
        <v>BLUE</v>
      </c>
      <c r="C680" s="6">
        <f t="shared" si="84"/>
        <v>384</v>
      </c>
      <c r="I680">
        <f t="shared" si="85"/>
        <v>0</v>
      </c>
      <c r="N680" s="59">
        <f t="shared" si="87"/>
        <v>0</v>
      </c>
      <c r="O680" s="59">
        <f t="shared" si="88"/>
        <v>0</v>
      </c>
      <c r="T680">
        <f t="shared" si="86"/>
        <v>0</v>
      </c>
      <c r="Y680">
        <f t="shared" si="82"/>
        <v>0</v>
      </c>
      <c r="Z680">
        <f t="shared" si="83"/>
        <v>0</v>
      </c>
    </row>
    <row r="681" spans="2:26">
      <c r="B681" t="str">
        <f t="shared" si="89"/>
        <v>BLUE</v>
      </c>
      <c r="C681" s="6">
        <f t="shared" si="84"/>
        <v>385</v>
      </c>
      <c r="I681">
        <f t="shared" si="85"/>
        <v>0</v>
      </c>
      <c r="N681" s="59">
        <f t="shared" si="87"/>
        <v>0</v>
      </c>
      <c r="O681" s="59">
        <f t="shared" si="88"/>
        <v>0</v>
      </c>
      <c r="T681">
        <f t="shared" si="86"/>
        <v>0</v>
      </c>
      <c r="Y681">
        <f t="shared" si="82"/>
        <v>0</v>
      </c>
      <c r="Z681">
        <f t="shared" si="83"/>
        <v>0</v>
      </c>
    </row>
    <row r="682" spans="2:26">
      <c r="B682" t="str">
        <f t="shared" si="89"/>
        <v>BLUE</v>
      </c>
      <c r="C682" s="6">
        <f t="shared" si="84"/>
        <v>386</v>
      </c>
      <c r="I682">
        <f t="shared" si="85"/>
        <v>0</v>
      </c>
      <c r="N682" s="59">
        <f t="shared" si="87"/>
        <v>0</v>
      </c>
      <c r="O682" s="59">
        <f t="shared" si="88"/>
        <v>0</v>
      </c>
      <c r="T682">
        <f t="shared" si="86"/>
        <v>0</v>
      </c>
      <c r="Y682">
        <f t="shared" si="82"/>
        <v>0</v>
      </c>
      <c r="Z682">
        <f t="shared" si="83"/>
        <v>0</v>
      </c>
    </row>
    <row r="683" spans="2:26">
      <c r="B683" t="str">
        <f t="shared" si="89"/>
        <v>BLUE</v>
      </c>
      <c r="C683" s="6">
        <f t="shared" si="84"/>
        <v>387</v>
      </c>
      <c r="I683">
        <f t="shared" si="85"/>
        <v>0</v>
      </c>
      <c r="N683" s="59">
        <f t="shared" si="87"/>
        <v>0</v>
      </c>
      <c r="O683" s="59">
        <f t="shared" si="88"/>
        <v>0</v>
      </c>
      <c r="T683">
        <f t="shared" si="86"/>
        <v>0</v>
      </c>
      <c r="Y683">
        <f t="shared" si="82"/>
        <v>0</v>
      </c>
      <c r="Z683">
        <f t="shared" si="83"/>
        <v>0</v>
      </c>
    </row>
    <row r="684" spans="2:26">
      <c r="B684" t="str">
        <f t="shared" si="89"/>
        <v>BLUE</v>
      </c>
      <c r="C684" s="6">
        <f t="shared" si="84"/>
        <v>388</v>
      </c>
      <c r="I684">
        <f t="shared" si="85"/>
        <v>0</v>
      </c>
      <c r="N684" s="59">
        <f t="shared" si="87"/>
        <v>0</v>
      </c>
      <c r="O684" s="59">
        <f t="shared" si="88"/>
        <v>0</v>
      </c>
      <c r="T684">
        <f t="shared" si="86"/>
        <v>0</v>
      </c>
      <c r="Y684">
        <f t="shared" si="82"/>
        <v>0</v>
      </c>
      <c r="Z684">
        <f t="shared" si="83"/>
        <v>0</v>
      </c>
    </row>
    <row r="685" spans="2:26">
      <c r="B685" t="str">
        <f t="shared" si="89"/>
        <v>BLUE</v>
      </c>
      <c r="C685" s="6">
        <f t="shared" si="84"/>
        <v>389</v>
      </c>
      <c r="I685">
        <f t="shared" si="85"/>
        <v>0</v>
      </c>
      <c r="N685" s="59">
        <f t="shared" si="87"/>
        <v>0</v>
      </c>
      <c r="O685" s="59">
        <f t="shared" si="88"/>
        <v>0</v>
      </c>
      <c r="T685">
        <f t="shared" si="86"/>
        <v>0</v>
      </c>
      <c r="Y685">
        <f t="shared" si="82"/>
        <v>0</v>
      </c>
      <c r="Z685">
        <f t="shared" si="83"/>
        <v>0</v>
      </c>
    </row>
    <row r="686" spans="2:26">
      <c r="B686" t="str">
        <f t="shared" si="89"/>
        <v>BLUE</v>
      </c>
      <c r="C686" s="6">
        <f t="shared" si="84"/>
        <v>390</v>
      </c>
      <c r="I686">
        <f t="shared" si="85"/>
        <v>0</v>
      </c>
      <c r="N686" s="59">
        <f t="shared" si="87"/>
        <v>0</v>
      </c>
      <c r="O686" s="59">
        <f t="shared" si="88"/>
        <v>0</v>
      </c>
      <c r="T686">
        <f t="shared" si="86"/>
        <v>0</v>
      </c>
      <c r="Y686">
        <f t="shared" ref="Y686:Y749" si="90">SUM($U686:$X686)</f>
        <v>0</v>
      </c>
      <c r="Z686">
        <f t="shared" ref="Z686:Z749" si="91">SUM($T686,$Y686)</f>
        <v>0</v>
      </c>
    </row>
    <row r="687" spans="2:26">
      <c r="B687" t="str">
        <f t="shared" si="89"/>
        <v>BLUE</v>
      </c>
      <c r="C687" s="6">
        <f t="shared" si="84"/>
        <v>391</v>
      </c>
      <c r="I687">
        <f t="shared" si="85"/>
        <v>0</v>
      </c>
      <c r="N687" s="59">
        <f t="shared" si="87"/>
        <v>0</v>
      </c>
      <c r="O687" s="59">
        <f t="shared" si="88"/>
        <v>0</v>
      </c>
      <c r="T687">
        <f t="shared" si="86"/>
        <v>0</v>
      </c>
      <c r="Y687">
        <f t="shared" si="90"/>
        <v>0</v>
      </c>
      <c r="Z687">
        <f t="shared" si="91"/>
        <v>0</v>
      </c>
    </row>
    <row r="688" spans="2:26">
      <c r="B688" t="str">
        <f t="shared" si="89"/>
        <v>BLUE</v>
      </c>
      <c r="C688" s="6">
        <f t="shared" si="84"/>
        <v>392</v>
      </c>
      <c r="I688">
        <f t="shared" si="85"/>
        <v>0</v>
      </c>
      <c r="N688" s="59">
        <f t="shared" si="87"/>
        <v>0</v>
      </c>
      <c r="O688" s="59">
        <f t="shared" si="88"/>
        <v>0</v>
      </c>
      <c r="T688">
        <f t="shared" si="86"/>
        <v>0</v>
      </c>
      <c r="Y688">
        <f t="shared" si="90"/>
        <v>0</v>
      </c>
      <c r="Z688">
        <f t="shared" si="91"/>
        <v>0</v>
      </c>
    </row>
    <row r="689" spans="2:26">
      <c r="B689" t="str">
        <f t="shared" si="89"/>
        <v>BLUE</v>
      </c>
      <c r="C689" s="6">
        <f t="shared" si="84"/>
        <v>393</v>
      </c>
      <c r="I689">
        <f t="shared" si="85"/>
        <v>0</v>
      </c>
      <c r="N689" s="59">
        <f t="shared" si="87"/>
        <v>0</v>
      </c>
      <c r="O689" s="59">
        <f t="shared" si="88"/>
        <v>0</v>
      </c>
      <c r="T689">
        <f t="shared" si="86"/>
        <v>0</v>
      </c>
      <c r="Y689">
        <f t="shared" si="90"/>
        <v>0</v>
      </c>
      <c r="Z689">
        <f t="shared" si="91"/>
        <v>0</v>
      </c>
    </row>
    <row r="690" spans="2:26">
      <c r="B690" t="str">
        <f t="shared" si="89"/>
        <v>BLUE</v>
      </c>
      <c r="C690" s="6">
        <f t="shared" si="84"/>
        <v>394</v>
      </c>
      <c r="I690">
        <f t="shared" si="85"/>
        <v>0</v>
      </c>
      <c r="N690" s="59">
        <f t="shared" si="87"/>
        <v>0</v>
      </c>
      <c r="O690" s="59">
        <f t="shared" si="88"/>
        <v>0</v>
      </c>
      <c r="T690">
        <f t="shared" si="86"/>
        <v>0</v>
      </c>
      <c r="Y690">
        <f t="shared" si="90"/>
        <v>0</v>
      </c>
      <c r="Z690">
        <f t="shared" si="91"/>
        <v>0</v>
      </c>
    </row>
    <row r="691" spans="2:26">
      <c r="B691" t="str">
        <f t="shared" si="89"/>
        <v>BLUE</v>
      </c>
      <c r="C691" s="6">
        <f t="shared" si="84"/>
        <v>395</v>
      </c>
      <c r="I691">
        <f t="shared" si="85"/>
        <v>0</v>
      </c>
      <c r="N691" s="59">
        <f t="shared" si="87"/>
        <v>0</v>
      </c>
      <c r="O691" s="59">
        <f t="shared" si="88"/>
        <v>0</v>
      </c>
      <c r="T691">
        <f t="shared" si="86"/>
        <v>0</v>
      </c>
      <c r="Y691">
        <f t="shared" si="90"/>
        <v>0</v>
      </c>
      <c r="Z691">
        <f t="shared" si="91"/>
        <v>0</v>
      </c>
    </row>
    <row r="692" spans="2:26">
      <c r="B692" t="str">
        <f t="shared" si="89"/>
        <v>BLUE</v>
      </c>
      <c r="C692" s="6">
        <f t="shared" si="84"/>
        <v>396</v>
      </c>
      <c r="I692">
        <f t="shared" si="85"/>
        <v>0</v>
      </c>
      <c r="N692" s="59">
        <f t="shared" si="87"/>
        <v>0</v>
      </c>
      <c r="O692" s="59">
        <f t="shared" si="88"/>
        <v>0</v>
      </c>
      <c r="T692">
        <f t="shared" si="86"/>
        <v>0</v>
      </c>
      <c r="Y692">
        <f t="shared" si="90"/>
        <v>0</v>
      </c>
      <c r="Z692">
        <f t="shared" si="91"/>
        <v>0</v>
      </c>
    </row>
    <row r="693" spans="2:26">
      <c r="B693" t="str">
        <f t="shared" si="89"/>
        <v>BLUE</v>
      </c>
      <c r="C693" s="6">
        <f t="shared" ref="C693:C756" si="92">C692+1</f>
        <v>397</v>
      </c>
      <c r="I693">
        <f t="shared" si="85"/>
        <v>0</v>
      </c>
      <c r="N693" s="59">
        <f t="shared" si="87"/>
        <v>0</v>
      </c>
      <c r="O693" s="59">
        <f t="shared" si="88"/>
        <v>0</v>
      </c>
      <c r="T693">
        <f t="shared" si="86"/>
        <v>0</v>
      </c>
      <c r="Y693">
        <f t="shared" si="90"/>
        <v>0</v>
      </c>
      <c r="Z693">
        <f t="shared" si="91"/>
        <v>0</v>
      </c>
    </row>
    <row r="694" spans="2:26">
      <c r="B694" t="str">
        <f t="shared" si="89"/>
        <v>BLUE</v>
      </c>
      <c r="C694" s="6">
        <f t="shared" si="92"/>
        <v>398</v>
      </c>
      <c r="I694">
        <f t="shared" si="85"/>
        <v>0</v>
      </c>
      <c r="N694" s="59">
        <f t="shared" si="87"/>
        <v>0</v>
      </c>
      <c r="O694" s="59">
        <f t="shared" si="88"/>
        <v>0</v>
      </c>
      <c r="T694">
        <f t="shared" si="86"/>
        <v>0</v>
      </c>
      <c r="Y694">
        <f t="shared" si="90"/>
        <v>0</v>
      </c>
      <c r="Z694">
        <f t="shared" si="91"/>
        <v>0</v>
      </c>
    </row>
    <row r="695" spans="2:26">
      <c r="B695" t="str">
        <f t="shared" si="89"/>
        <v>BLUE</v>
      </c>
      <c r="C695" s="6">
        <f t="shared" si="92"/>
        <v>399</v>
      </c>
      <c r="I695">
        <f t="shared" si="85"/>
        <v>0</v>
      </c>
      <c r="N695" s="59">
        <f t="shared" si="87"/>
        <v>0</v>
      </c>
      <c r="O695" s="59">
        <f t="shared" si="88"/>
        <v>0</v>
      </c>
      <c r="T695">
        <f t="shared" si="86"/>
        <v>0</v>
      </c>
      <c r="Y695">
        <f t="shared" si="90"/>
        <v>0</v>
      </c>
      <c r="Z695">
        <f t="shared" si="91"/>
        <v>0</v>
      </c>
    </row>
    <row r="696" spans="2:26">
      <c r="B696" t="str">
        <f t="shared" si="89"/>
        <v>BLUE</v>
      </c>
      <c r="C696" s="6">
        <f t="shared" si="92"/>
        <v>400</v>
      </c>
      <c r="I696">
        <f t="shared" si="85"/>
        <v>0</v>
      </c>
      <c r="N696" s="59">
        <f t="shared" si="87"/>
        <v>0</v>
      </c>
      <c r="O696" s="59">
        <f t="shared" si="88"/>
        <v>0</v>
      </c>
      <c r="T696">
        <f t="shared" si="86"/>
        <v>0</v>
      </c>
      <c r="Y696">
        <f t="shared" si="90"/>
        <v>0</v>
      </c>
      <c r="Z696">
        <f t="shared" si="91"/>
        <v>0</v>
      </c>
    </row>
    <row r="697" spans="2:26">
      <c r="B697" t="str">
        <f t="shared" si="89"/>
        <v>BLUE</v>
      </c>
      <c r="C697" s="6">
        <f t="shared" si="92"/>
        <v>401</v>
      </c>
      <c r="I697">
        <f t="shared" si="85"/>
        <v>0</v>
      </c>
      <c r="N697" s="59">
        <f t="shared" si="87"/>
        <v>0</v>
      </c>
      <c r="O697" s="59">
        <f t="shared" si="88"/>
        <v>0</v>
      </c>
      <c r="T697">
        <f t="shared" si="86"/>
        <v>0</v>
      </c>
      <c r="Y697">
        <f t="shared" si="90"/>
        <v>0</v>
      </c>
      <c r="Z697">
        <f t="shared" si="91"/>
        <v>0</v>
      </c>
    </row>
    <row r="698" spans="2:26">
      <c r="B698" t="str">
        <f t="shared" si="89"/>
        <v>BLUE</v>
      </c>
      <c r="C698" s="6">
        <f t="shared" si="92"/>
        <v>402</v>
      </c>
      <c r="I698">
        <f t="shared" si="85"/>
        <v>0</v>
      </c>
      <c r="N698" s="59">
        <f t="shared" si="87"/>
        <v>0</v>
      </c>
      <c r="O698" s="59">
        <f t="shared" si="88"/>
        <v>0</v>
      </c>
      <c r="T698">
        <f t="shared" si="86"/>
        <v>0</v>
      </c>
      <c r="Y698">
        <f t="shared" si="90"/>
        <v>0</v>
      </c>
      <c r="Z698">
        <f t="shared" si="91"/>
        <v>0</v>
      </c>
    </row>
    <row r="699" spans="2:26">
      <c r="B699" t="str">
        <f t="shared" si="89"/>
        <v>BLUE</v>
      </c>
      <c r="C699" s="6">
        <f t="shared" si="92"/>
        <v>403</v>
      </c>
      <c r="I699">
        <f t="shared" si="85"/>
        <v>0</v>
      </c>
      <c r="N699" s="59">
        <f t="shared" si="87"/>
        <v>0</v>
      </c>
      <c r="O699" s="59">
        <f t="shared" si="88"/>
        <v>0</v>
      </c>
      <c r="T699">
        <f t="shared" si="86"/>
        <v>0</v>
      </c>
      <c r="Y699">
        <f t="shared" si="90"/>
        <v>0</v>
      </c>
      <c r="Z699">
        <f t="shared" si="91"/>
        <v>0</v>
      </c>
    </row>
    <row r="700" spans="2:26">
      <c r="B700" t="str">
        <f t="shared" si="89"/>
        <v>BLUE</v>
      </c>
      <c r="C700" s="6">
        <f t="shared" si="92"/>
        <v>404</v>
      </c>
      <c r="I700">
        <f t="shared" si="85"/>
        <v>0</v>
      </c>
      <c r="N700" s="59">
        <f t="shared" si="87"/>
        <v>0</v>
      </c>
      <c r="O700" s="59">
        <f t="shared" si="88"/>
        <v>0</v>
      </c>
      <c r="T700">
        <f t="shared" si="86"/>
        <v>0</v>
      </c>
      <c r="Y700">
        <f t="shared" si="90"/>
        <v>0</v>
      </c>
      <c r="Z700">
        <f t="shared" si="91"/>
        <v>0</v>
      </c>
    </row>
    <row r="701" spans="2:26">
      <c r="B701" t="str">
        <f t="shared" si="89"/>
        <v>BLUE</v>
      </c>
      <c r="C701" s="6">
        <f t="shared" si="92"/>
        <v>405</v>
      </c>
      <c r="I701">
        <f t="shared" si="85"/>
        <v>0</v>
      </c>
      <c r="N701" s="59">
        <f t="shared" si="87"/>
        <v>0</v>
      </c>
      <c r="O701" s="59">
        <f t="shared" si="88"/>
        <v>0</v>
      </c>
      <c r="T701">
        <f t="shared" si="86"/>
        <v>0</v>
      </c>
      <c r="Y701">
        <f t="shared" si="90"/>
        <v>0</v>
      </c>
      <c r="Z701">
        <f t="shared" si="91"/>
        <v>0</v>
      </c>
    </row>
    <row r="702" spans="2:26">
      <c r="B702" t="str">
        <f t="shared" si="89"/>
        <v>BLUE</v>
      </c>
      <c r="C702" s="6">
        <f t="shared" si="92"/>
        <v>406</v>
      </c>
      <c r="I702">
        <f t="shared" ref="I702:I765" si="93">SUM($E702:$H702)</f>
        <v>0</v>
      </c>
      <c r="N702" s="59">
        <f t="shared" si="87"/>
        <v>0</v>
      </c>
      <c r="O702" s="59">
        <f t="shared" si="88"/>
        <v>0</v>
      </c>
      <c r="T702">
        <f t="shared" ref="T702:T765" si="94">SUM($P702:$S702)</f>
        <v>0</v>
      </c>
      <c r="Y702">
        <f t="shared" si="90"/>
        <v>0</v>
      </c>
      <c r="Z702">
        <f t="shared" si="91"/>
        <v>0</v>
      </c>
    </row>
    <row r="703" spans="2:26">
      <c r="B703" t="str">
        <f t="shared" si="89"/>
        <v>BLUE</v>
      </c>
      <c r="C703" s="6">
        <f t="shared" si="92"/>
        <v>407</v>
      </c>
      <c r="I703">
        <f t="shared" si="93"/>
        <v>0</v>
      </c>
      <c r="N703" s="59">
        <f t="shared" si="87"/>
        <v>0</v>
      </c>
      <c r="O703" s="59">
        <f t="shared" si="88"/>
        <v>0</v>
      </c>
      <c r="T703">
        <f t="shared" si="94"/>
        <v>0</v>
      </c>
      <c r="Y703">
        <f t="shared" si="90"/>
        <v>0</v>
      </c>
      <c r="Z703">
        <f t="shared" si="91"/>
        <v>0</v>
      </c>
    </row>
    <row r="704" spans="2:26">
      <c r="B704" t="str">
        <f t="shared" si="89"/>
        <v>BLUE</v>
      </c>
      <c r="C704" s="6">
        <f t="shared" si="92"/>
        <v>408</v>
      </c>
      <c r="I704">
        <f t="shared" si="93"/>
        <v>0</v>
      </c>
      <c r="N704" s="59">
        <f t="shared" si="87"/>
        <v>0</v>
      </c>
      <c r="O704" s="59">
        <f t="shared" si="88"/>
        <v>0</v>
      </c>
      <c r="T704">
        <f t="shared" si="94"/>
        <v>0</v>
      </c>
      <c r="Y704">
        <f t="shared" si="90"/>
        <v>0</v>
      </c>
      <c r="Z704">
        <f t="shared" si="91"/>
        <v>0</v>
      </c>
    </row>
    <row r="705" spans="2:26">
      <c r="B705" t="str">
        <f t="shared" si="89"/>
        <v>BLUE</v>
      </c>
      <c r="C705" s="6">
        <f t="shared" si="92"/>
        <v>409</v>
      </c>
      <c r="I705">
        <f t="shared" si="93"/>
        <v>0</v>
      </c>
      <c r="N705" s="59">
        <f t="shared" si="87"/>
        <v>0</v>
      </c>
      <c r="O705" s="59">
        <f t="shared" si="88"/>
        <v>0</v>
      </c>
      <c r="T705">
        <f t="shared" si="94"/>
        <v>0</v>
      </c>
      <c r="Y705">
        <f t="shared" si="90"/>
        <v>0</v>
      </c>
      <c r="Z705">
        <f t="shared" si="91"/>
        <v>0</v>
      </c>
    </row>
    <row r="706" spans="2:26">
      <c r="B706" t="str">
        <f t="shared" si="89"/>
        <v>BLUE</v>
      </c>
      <c r="C706" s="6">
        <f t="shared" si="92"/>
        <v>410</v>
      </c>
      <c r="I706">
        <f t="shared" si="93"/>
        <v>0</v>
      </c>
      <c r="N706" s="59">
        <f t="shared" si="87"/>
        <v>0</v>
      </c>
      <c r="O706" s="59">
        <f t="shared" si="88"/>
        <v>0</v>
      </c>
      <c r="T706">
        <f t="shared" si="94"/>
        <v>0</v>
      </c>
      <c r="Y706">
        <f t="shared" si="90"/>
        <v>0</v>
      </c>
      <c r="Z706">
        <f t="shared" si="91"/>
        <v>0</v>
      </c>
    </row>
    <row r="707" spans="2:26">
      <c r="B707" t="str">
        <f t="shared" si="89"/>
        <v>BLUE</v>
      </c>
      <c r="C707" s="6">
        <f t="shared" si="92"/>
        <v>411</v>
      </c>
      <c r="I707">
        <f t="shared" si="93"/>
        <v>0</v>
      </c>
      <c r="N707" s="59">
        <f t="shared" si="87"/>
        <v>0</v>
      </c>
      <c r="O707" s="59">
        <f t="shared" si="88"/>
        <v>0</v>
      </c>
      <c r="T707">
        <f t="shared" si="94"/>
        <v>0</v>
      </c>
      <c r="Y707">
        <f t="shared" si="90"/>
        <v>0</v>
      </c>
      <c r="Z707">
        <f t="shared" si="91"/>
        <v>0</v>
      </c>
    </row>
    <row r="708" spans="2:26">
      <c r="B708" t="str">
        <f t="shared" si="89"/>
        <v>BLUE</v>
      </c>
      <c r="C708" s="6">
        <f t="shared" si="92"/>
        <v>412</v>
      </c>
      <c r="I708">
        <f t="shared" si="93"/>
        <v>0</v>
      </c>
      <c r="N708" s="59">
        <f t="shared" si="87"/>
        <v>0</v>
      </c>
      <c r="O708" s="59">
        <f t="shared" si="88"/>
        <v>0</v>
      </c>
      <c r="T708">
        <f t="shared" si="94"/>
        <v>0</v>
      </c>
      <c r="Y708">
        <f t="shared" si="90"/>
        <v>0</v>
      </c>
      <c r="Z708">
        <f t="shared" si="91"/>
        <v>0</v>
      </c>
    </row>
    <row r="709" spans="2:26">
      <c r="B709" t="str">
        <f t="shared" si="89"/>
        <v>BLUE</v>
      </c>
      <c r="C709" s="6">
        <f t="shared" si="92"/>
        <v>413</v>
      </c>
      <c r="I709">
        <f t="shared" si="93"/>
        <v>0</v>
      </c>
      <c r="N709" s="59">
        <f t="shared" si="87"/>
        <v>0</v>
      </c>
      <c r="O709" s="59">
        <f t="shared" si="88"/>
        <v>0</v>
      </c>
      <c r="T709">
        <f t="shared" si="94"/>
        <v>0</v>
      </c>
      <c r="Y709">
        <f t="shared" si="90"/>
        <v>0</v>
      </c>
      <c r="Z709">
        <f t="shared" si="91"/>
        <v>0</v>
      </c>
    </row>
    <row r="710" spans="2:26">
      <c r="B710" t="str">
        <f t="shared" si="89"/>
        <v>BLUE</v>
      </c>
      <c r="C710" s="6">
        <f t="shared" si="92"/>
        <v>414</v>
      </c>
      <c r="I710">
        <f t="shared" si="93"/>
        <v>0</v>
      </c>
      <c r="N710" s="59">
        <f t="shared" si="87"/>
        <v>0</v>
      </c>
      <c r="O710" s="59">
        <f t="shared" si="88"/>
        <v>0</v>
      </c>
      <c r="T710">
        <f t="shared" si="94"/>
        <v>0</v>
      </c>
      <c r="Y710">
        <f t="shared" si="90"/>
        <v>0</v>
      </c>
      <c r="Z710">
        <f t="shared" si="91"/>
        <v>0</v>
      </c>
    </row>
    <row r="711" spans="2:26">
      <c r="B711" t="str">
        <f t="shared" si="89"/>
        <v>BLUE</v>
      </c>
      <c r="C711" s="6">
        <f t="shared" si="92"/>
        <v>415</v>
      </c>
      <c r="I711">
        <f t="shared" si="93"/>
        <v>0</v>
      </c>
      <c r="N711" s="59">
        <f t="shared" si="87"/>
        <v>0</v>
      </c>
      <c r="O711" s="59">
        <f t="shared" si="88"/>
        <v>0</v>
      </c>
      <c r="T711">
        <f t="shared" si="94"/>
        <v>0</v>
      </c>
      <c r="Y711">
        <f t="shared" si="90"/>
        <v>0</v>
      </c>
      <c r="Z711">
        <f t="shared" si="91"/>
        <v>0</v>
      </c>
    </row>
    <row r="712" spans="2:26">
      <c r="B712" t="str">
        <f t="shared" si="89"/>
        <v>BLUE</v>
      </c>
      <c r="C712" s="6">
        <f t="shared" si="92"/>
        <v>416</v>
      </c>
      <c r="I712">
        <f t="shared" si="93"/>
        <v>0</v>
      </c>
      <c r="N712" s="59">
        <f t="shared" si="87"/>
        <v>0</v>
      </c>
      <c r="O712" s="59">
        <f t="shared" si="88"/>
        <v>0</v>
      </c>
      <c r="T712">
        <f t="shared" si="94"/>
        <v>0</v>
      </c>
      <c r="Y712">
        <f t="shared" si="90"/>
        <v>0</v>
      </c>
      <c r="Z712">
        <f t="shared" si="91"/>
        <v>0</v>
      </c>
    </row>
    <row r="713" spans="2:26">
      <c r="B713" t="str">
        <f t="shared" si="89"/>
        <v>BLUE</v>
      </c>
      <c r="C713" s="6">
        <f t="shared" si="92"/>
        <v>417</v>
      </c>
      <c r="I713">
        <f t="shared" si="93"/>
        <v>0</v>
      </c>
      <c r="N713" s="59">
        <f t="shared" ref="N713:N776" si="95">SUM($J713:$M713)</f>
        <v>0</v>
      </c>
      <c r="O713" s="59">
        <f t="shared" ref="O713:O776" si="96">SUM($I713, $N713)</f>
        <v>0</v>
      </c>
      <c r="T713">
        <f t="shared" si="94"/>
        <v>0</v>
      </c>
      <c r="Y713">
        <f t="shared" si="90"/>
        <v>0</v>
      </c>
      <c r="Z713">
        <f t="shared" si="91"/>
        <v>0</v>
      </c>
    </row>
    <row r="714" spans="2:26">
      <c r="B714" t="str">
        <f t="shared" si="89"/>
        <v>BLUE</v>
      </c>
      <c r="C714" s="6">
        <f t="shared" si="92"/>
        <v>418</v>
      </c>
      <c r="I714">
        <f t="shared" si="93"/>
        <v>0</v>
      </c>
      <c r="N714" s="59">
        <f t="shared" si="95"/>
        <v>0</v>
      </c>
      <c r="O714" s="59">
        <f t="shared" si="96"/>
        <v>0</v>
      </c>
      <c r="T714">
        <f t="shared" si="94"/>
        <v>0</v>
      </c>
      <c r="Y714">
        <f t="shared" si="90"/>
        <v>0</v>
      </c>
      <c r="Z714">
        <f t="shared" si="91"/>
        <v>0</v>
      </c>
    </row>
    <row r="715" spans="2:26">
      <c r="B715" t="str">
        <f t="shared" si="89"/>
        <v>BLUE</v>
      </c>
      <c r="C715" s="6">
        <f t="shared" si="92"/>
        <v>419</v>
      </c>
      <c r="I715">
        <f t="shared" si="93"/>
        <v>0</v>
      </c>
      <c r="N715" s="59">
        <f t="shared" si="95"/>
        <v>0</v>
      </c>
      <c r="O715" s="59">
        <f t="shared" si="96"/>
        <v>0</v>
      </c>
      <c r="T715">
        <f t="shared" si="94"/>
        <v>0</v>
      </c>
      <c r="Y715">
        <f t="shared" si="90"/>
        <v>0</v>
      </c>
      <c r="Z715">
        <f t="shared" si="91"/>
        <v>0</v>
      </c>
    </row>
    <row r="716" spans="2:26">
      <c r="B716" t="str">
        <f t="shared" si="89"/>
        <v>BLUE</v>
      </c>
      <c r="C716" s="6">
        <f t="shared" si="92"/>
        <v>420</v>
      </c>
      <c r="I716">
        <f t="shared" si="93"/>
        <v>0</v>
      </c>
      <c r="N716" s="59">
        <f t="shared" si="95"/>
        <v>0</v>
      </c>
      <c r="O716" s="59">
        <f t="shared" si="96"/>
        <v>0</v>
      </c>
      <c r="T716">
        <f t="shared" si="94"/>
        <v>0</v>
      </c>
      <c r="Y716">
        <f t="shared" si="90"/>
        <v>0</v>
      </c>
      <c r="Z716">
        <f t="shared" si="91"/>
        <v>0</v>
      </c>
    </row>
    <row r="717" spans="2:26">
      <c r="B717" t="str">
        <f t="shared" si="89"/>
        <v>BLUE</v>
      </c>
      <c r="C717" s="6">
        <f t="shared" si="92"/>
        <v>421</v>
      </c>
      <c r="I717">
        <f t="shared" si="93"/>
        <v>0</v>
      </c>
      <c r="N717" s="59">
        <f t="shared" si="95"/>
        <v>0</v>
      </c>
      <c r="O717" s="59">
        <f t="shared" si="96"/>
        <v>0</v>
      </c>
      <c r="T717">
        <f t="shared" si="94"/>
        <v>0</v>
      </c>
      <c r="Y717">
        <f t="shared" si="90"/>
        <v>0</v>
      </c>
      <c r="Z717">
        <f t="shared" si="91"/>
        <v>0</v>
      </c>
    </row>
    <row r="718" spans="2:26">
      <c r="B718" t="str">
        <f t="shared" si="89"/>
        <v>BLUE</v>
      </c>
      <c r="C718" s="6">
        <f t="shared" si="92"/>
        <v>422</v>
      </c>
      <c r="I718">
        <f t="shared" si="93"/>
        <v>0</v>
      </c>
      <c r="N718" s="59">
        <f t="shared" si="95"/>
        <v>0</v>
      </c>
      <c r="O718" s="59">
        <f t="shared" si="96"/>
        <v>0</v>
      </c>
      <c r="T718">
        <f t="shared" si="94"/>
        <v>0</v>
      </c>
      <c r="Y718">
        <f t="shared" si="90"/>
        <v>0</v>
      </c>
      <c r="Z718">
        <f t="shared" si="91"/>
        <v>0</v>
      </c>
    </row>
    <row r="719" spans="2:26">
      <c r="B719" t="str">
        <f t="shared" si="89"/>
        <v>BLUE</v>
      </c>
      <c r="C719" s="6">
        <f t="shared" si="92"/>
        <v>423</v>
      </c>
      <c r="I719">
        <f t="shared" si="93"/>
        <v>0</v>
      </c>
      <c r="N719" s="59">
        <f t="shared" si="95"/>
        <v>0</v>
      </c>
      <c r="O719" s="59">
        <f t="shared" si="96"/>
        <v>0</v>
      </c>
      <c r="T719">
        <f t="shared" si="94"/>
        <v>0</v>
      </c>
      <c r="Y719">
        <f t="shared" si="90"/>
        <v>0</v>
      </c>
      <c r="Z719">
        <f t="shared" si="91"/>
        <v>0</v>
      </c>
    </row>
    <row r="720" spans="2:26">
      <c r="B720" t="str">
        <f t="shared" si="89"/>
        <v>BLUE</v>
      </c>
      <c r="C720" s="6">
        <f t="shared" si="92"/>
        <v>424</v>
      </c>
      <c r="I720">
        <f t="shared" si="93"/>
        <v>0</v>
      </c>
      <c r="N720" s="59">
        <f t="shared" si="95"/>
        <v>0</v>
      </c>
      <c r="O720" s="59">
        <f t="shared" si="96"/>
        <v>0</v>
      </c>
      <c r="T720">
        <f t="shared" si="94"/>
        <v>0</v>
      </c>
      <c r="Y720">
        <f t="shared" si="90"/>
        <v>0</v>
      </c>
      <c r="Z720">
        <f t="shared" si="91"/>
        <v>0</v>
      </c>
    </row>
    <row r="721" spans="2:26">
      <c r="B721" t="str">
        <f t="shared" si="89"/>
        <v>BLUE</v>
      </c>
      <c r="C721" s="6">
        <f t="shared" si="92"/>
        <v>425</v>
      </c>
      <c r="I721">
        <f t="shared" si="93"/>
        <v>0</v>
      </c>
      <c r="N721" s="59">
        <f t="shared" si="95"/>
        <v>0</v>
      </c>
      <c r="O721" s="59">
        <f t="shared" si="96"/>
        <v>0</v>
      </c>
      <c r="T721">
        <f t="shared" si="94"/>
        <v>0</v>
      </c>
      <c r="Y721">
        <f t="shared" si="90"/>
        <v>0</v>
      </c>
      <c r="Z721">
        <f t="shared" si="91"/>
        <v>0</v>
      </c>
    </row>
    <row r="722" spans="2:26">
      <c r="B722" t="str">
        <f t="shared" si="89"/>
        <v>BLUE</v>
      </c>
      <c r="C722" s="6">
        <f t="shared" si="92"/>
        <v>426</v>
      </c>
      <c r="I722">
        <f t="shared" si="93"/>
        <v>0</v>
      </c>
      <c r="N722" s="59">
        <f t="shared" si="95"/>
        <v>0</v>
      </c>
      <c r="O722" s="59">
        <f t="shared" si="96"/>
        <v>0</v>
      </c>
      <c r="T722">
        <f t="shared" si="94"/>
        <v>0</v>
      </c>
      <c r="Y722">
        <f t="shared" si="90"/>
        <v>0</v>
      </c>
      <c r="Z722">
        <f t="shared" si="91"/>
        <v>0</v>
      </c>
    </row>
    <row r="723" spans="2:26">
      <c r="B723" t="str">
        <f t="shared" ref="B723:B786" si="97">B722</f>
        <v>BLUE</v>
      </c>
      <c r="C723" s="6">
        <f t="shared" si="92"/>
        <v>427</v>
      </c>
      <c r="I723">
        <f t="shared" si="93"/>
        <v>0</v>
      </c>
      <c r="N723" s="59">
        <f t="shared" si="95"/>
        <v>0</v>
      </c>
      <c r="O723" s="59">
        <f t="shared" si="96"/>
        <v>0</v>
      </c>
      <c r="T723">
        <f t="shared" si="94"/>
        <v>0</v>
      </c>
      <c r="Y723">
        <f t="shared" si="90"/>
        <v>0</v>
      </c>
      <c r="Z723">
        <f t="shared" si="91"/>
        <v>0</v>
      </c>
    </row>
    <row r="724" spans="2:26">
      <c r="B724" t="str">
        <f t="shared" si="97"/>
        <v>BLUE</v>
      </c>
      <c r="C724" s="6">
        <f t="shared" si="92"/>
        <v>428</v>
      </c>
      <c r="I724">
        <f t="shared" si="93"/>
        <v>0</v>
      </c>
      <c r="N724" s="59">
        <f t="shared" si="95"/>
        <v>0</v>
      </c>
      <c r="O724" s="59">
        <f t="shared" si="96"/>
        <v>0</v>
      </c>
      <c r="T724">
        <f t="shared" si="94"/>
        <v>0</v>
      </c>
      <c r="Y724">
        <f t="shared" si="90"/>
        <v>0</v>
      </c>
      <c r="Z724">
        <f t="shared" si="91"/>
        <v>0</v>
      </c>
    </row>
    <row r="725" spans="2:26">
      <c r="B725" t="str">
        <f t="shared" si="97"/>
        <v>BLUE</v>
      </c>
      <c r="C725" s="6">
        <f t="shared" si="92"/>
        <v>429</v>
      </c>
      <c r="I725">
        <f t="shared" si="93"/>
        <v>0</v>
      </c>
      <c r="N725" s="59">
        <f t="shared" si="95"/>
        <v>0</v>
      </c>
      <c r="O725" s="59">
        <f t="shared" si="96"/>
        <v>0</v>
      </c>
      <c r="T725">
        <f t="shared" si="94"/>
        <v>0</v>
      </c>
      <c r="Y725">
        <f t="shared" si="90"/>
        <v>0</v>
      </c>
      <c r="Z725">
        <f t="shared" si="91"/>
        <v>0</v>
      </c>
    </row>
    <row r="726" spans="2:26">
      <c r="B726" t="str">
        <f t="shared" si="97"/>
        <v>BLUE</v>
      </c>
      <c r="C726" s="6">
        <f t="shared" si="92"/>
        <v>430</v>
      </c>
      <c r="I726">
        <f t="shared" si="93"/>
        <v>0</v>
      </c>
      <c r="N726" s="59">
        <f t="shared" si="95"/>
        <v>0</v>
      </c>
      <c r="O726" s="59">
        <f t="shared" si="96"/>
        <v>0</v>
      </c>
      <c r="T726">
        <f t="shared" si="94"/>
        <v>0</v>
      </c>
      <c r="Y726">
        <f t="shared" si="90"/>
        <v>0</v>
      </c>
      <c r="Z726">
        <f t="shared" si="91"/>
        <v>0</v>
      </c>
    </row>
    <row r="727" spans="2:26">
      <c r="B727" t="str">
        <f t="shared" si="97"/>
        <v>BLUE</v>
      </c>
      <c r="C727" s="6">
        <f t="shared" si="92"/>
        <v>431</v>
      </c>
      <c r="I727">
        <f t="shared" si="93"/>
        <v>0</v>
      </c>
      <c r="N727" s="59">
        <f t="shared" si="95"/>
        <v>0</v>
      </c>
      <c r="O727" s="59">
        <f t="shared" si="96"/>
        <v>0</v>
      </c>
      <c r="T727">
        <f t="shared" si="94"/>
        <v>0</v>
      </c>
      <c r="Y727">
        <f t="shared" si="90"/>
        <v>0</v>
      </c>
      <c r="Z727">
        <f t="shared" si="91"/>
        <v>0</v>
      </c>
    </row>
    <row r="728" spans="2:26">
      <c r="B728" t="str">
        <f t="shared" si="97"/>
        <v>BLUE</v>
      </c>
      <c r="C728" s="6">
        <f t="shared" si="92"/>
        <v>432</v>
      </c>
      <c r="I728">
        <f t="shared" si="93"/>
        <v>0</v>
      </c>
      <c r="N728" s="59">
        <f t="shared" si="95"/>
        <v>0</v>
      </c>
      <c r="O728" s="59">
        <f t="shared" si="96"/>
        <v>0</v>
      </c>
      <c r="T728">
        <f t="shared" si="94"/>
        <v>0</v>
      </c>
      <c r="Y728">
        <f t="shared" si="90"/>
        <v>0</v>
      </c>
      <c r="Z728">
        <f t="shared" si="91"/>
        <v>0</v>
      </c>
    </row>
    <row r="729" spans="2:26">
      <c r="B729" t="str">
        <f t="shared" si="97"/>
        <v>BLUE</v>
      </c>
      <c r="C729" s="6">
        <f t="shared" si="92"/>
        <v>433</v>
      </c>
      <c r="I729">
        <f t="shared" si="93"/>
        <v>0</v>
      </c>
      <c r="N729" s="59">
        <f t="shared" si="95"/>
        <v>0</v>
      </c>
      <c r="O729" s="59">
        <f t="shared" si="96"/>
        <v>0</v>
      </c>
      <c r="T729">
        <f t="shared" si="94"/>
        <v>0</v>
      </c>
      <c r="Y729">
        <f t="shared" si="90"/>
        <v>0</v>
      </c>
      <c r="Z729">
        <f t="shared" si="91"/>
        <v>0</v>
      </c>
    </row>
    <row r="730" spans="2:26">
      <c r="B730" t="str">
        <f t="shared" si="97"/>
        <v>BLUE</v>
      </c>
      <c r="C730" s="6">
        <f t="shared" si="92"/>
        <v>434</v>
      </c>
      <c r="I730">
        <f t="shared" si="93"/>
        <v>0</v>
      </c>
      <c r="N730" s="59">
        <f t="shared" si="95"/>
        <v>0</v>
      </c>
      <c r="O730" s="59">
        <f t="shared" si="96"/>
        <v>0</v>
      </c>
      <c r="T730">
        <f t="shared" si="94"/>
        <v>0</v>
      </c>
      <c r="Y730">
        <f t="shared" si="90"/>
        <v>0</v>
      </c>
      <c r="Z730">
        <f t="shared" si="91"/>
        <v>0</v>
      </c>
    </row>
    <row r="731" spans="2:26">
      <c r="B731" t="str">
        <f t="shared" si="97"/>
        <v>BLUE</v>
      </c>
      <c r="C731" s="6">
        <f t="shared" si="92"/>
        <v>435</v>
      </c>
      <c r="I731">
        <f t="shared" si="93"/>
        <v>0</v>
      </c>
      <c r="N731" s="59">
        <f t="shared" si="95"/>
        <v>0</v>
      </c>
      <c r="O731" s="59">
        <f t="shared" si="96"/>
        <v>0</v>
      </c>
      <c r="T731">
        <f t="shared" si="94"/>
        <v>0</v>
      </c>
      <c r="Y731">
        <f t="shared" si="90"/>
        <v>0</v>
      </c>
      <c r="Z731">
        <f t="shared" si="91"/>
        <v>0</v>
      </c>
    </row>
    <row r="732" spans="2:26">
      <c r="B732" t="str">
        <f t="shared" si="97"/>
        <v>BLUE</v>
      </c>
      <c r="C732" s="6">
        <f t="shared" si="92"/>
        <v>436</v>
      </c>
      <c r="I732">
        <f t="shared" si="93"/>
        <v>0</v>
      </c>
      <c r="N732" s="59">
        <f t="shared" si="95"/>
        <v>0</v>
      </c>
      <c r="O732" s="59">
        <f t="shared" si="96"/>
        <v>0</v>
      </c>
      <c r="T732">
        <f t="shared" si="94"/>
        <v>0</v>
      </c>
      <c r="Y732">
        <f t="shared" si="90"/>
        <v>0</v>
      </c>
      <c r="Z732">
        <f t="shared" si="91"/>
        <v>0</v>
      </c>
    </row>
    <row r="733" spans="2:26">
      <c r="B733" t="str">
        <f t="shared" si="97"/>
        <v>BLUE</v>
      </c>
      <c r="C733" s="6">
        <f t="shared" si="92"/>
        <v>437</v>
      </c>
      <c r="I733">
        <f t="shared" si="93"/>
        <v>0</v>
      </c>
      <c r="N733" s="59">
        <f t="shared" si="95"/>
        <v>0</v>
      </c>
      <c r="O733" s="59">
        <f t="shared" si="96"/>
        <v>0</v>
      </c>
      <c r="T733">
        <f t="shared" si="94"/>
        <v>0</v>
      </c>
      <c r="Y733">
        <f t="shared" si="90"/>
        <v>0</v>
      </c>
      <c r="Z733">
        <f t="shared" si="91"/>
        <v>0</v>
      </c>
    </row>
    <row r="734" spans="2:26">
      <c r="B734" t="str">
        <f t="shared" si="97"/>
        <v>BLUE</v>
      </c>
      <c r="C734" s="6">
        <f t="shared" si="92"/>
        <v>438</v>
      </c>
      <c r="I734">
        <f t="shared" si="93"/>
        <v>0</v>
      </c>
      <c r="N734" s="59">
        <f t="shared" si="95"/>
        <v>0</v>
      </c>
      <c r="O734" s="59">
        <f t="shared" si="96"/>
        <v>0</v>
      </c>
      <c r="T734">
        <f t="shared" si="94"/>
        <v>0</v>
      </c>
      <c r="Y734">
        <f t="shared" si="90"/>
        <v>0</v>
      </c>
      <c r="Z734">
        <f t="shared" si="91"/>
        <v>0</v>
      </c>
    </row>
    <row r="735" spans="2:26">
      <c r="B735" t="str">
        <f t="shared" si="97"/>
        <v>BLUE</v>
      </c>
      <c r="C735" s="6">
        <f t="shared" si="92"/>
        <v>439</v>
      </c>
      <c r="I735">
        <f t="shared" si="93"/>
        <v>0</v>
      </c>
      <c r="N735" s="59">
        <f t="shared" si="95"/>
        <v>0</v>
      </c>
      <c r="O735" s="59">
        <f t="shared" si="96"/>
        <v>0</v>
      </c>
      <c r="T735">
        <f t="shared" si="94"/>
        <v>0</v>
      </c>
      <c r="Y735">
        <f t="shared" si="90"/>
        <v>0</v>
      </c>
      <c r="Z735">
        <f t="shared" si="91"/>
        <v>0</v>
      </c>
    </row>
    <row r="736" spans="2:26">
      <c r="B736" t="str">
        <f t="shared" si="97"/>
        <v>BLUE</v>
      </c>
      <c r="C736" s="6">
        <f t="shared" si="92"/>
        <v>440</v>
      </c>
      <c r="I736">
        <f t="shared" si="93"/>
        <v>0</v>
      </c>
      <c r="N736" s="59">
        <f t="shared" si="95"/>
        <v>0</v>
      </c>
      <c r="O736" s="59">
        <f t="shared" si="96"/>
        <v>0</v>
      </c>
      <c r="T736">
        <f t="shared" si="94"/>
        <v>0</v>
      </c>
      <c r="Y736">
        <f t="shared" si="90"/>
        <v>0</v>
      </c>
      <c r="Z736">
        <f t="shared" si="91"/>
        <v>0</v>
      </c>
    </row>
    <row r="737" spans="2:26">
      <c r="B737" t="str">
        <f t="shared" si="97"/>
        <v>BLUE</v>
      </c>
      <c r="C737" s="6">
        <f t="shared" si="92"/>
        <v>441</v>
      </c>
      <c r="I737">
        <f t="shared" si="93"/>
        <v>0</v>
      </c>
      <c r="N737" s="59">
        <f t="shared" si="95"/>
        <v>0</v>
      </c>
      <c r="O737" s="59">
        <f t="shared" si="96"/>
        <v>0</v>
      </c>
      <c r="T737">
        <f t="shared" si="94"/>
        <v>0</v>
      </c>
      <c r="Y737">
        <f t="shared" si="90"/>
        <v>0</v>
      </c>
      <c r="Z737">
        <f t="shared" si="91"/>
        <v>0</v>
      </c>
    </row>
    <row r="738" spans="2:26">
      <c r="B738" t="str">
        <f t="shared" si="97"/>
        <v>BLUE</v>
      </c>
      <c r="C738" s="6">
        <f t="shared" si="92"/>
        <v>442</v>
      </c>
      <c r="I738">
        <f t="shared" si="93"/>
        <v>0</v>
      </c>
      <c r="N738" s="59">
        <f t="shared" si="95"/>
        <v>0</v>
      </c>
      <c r="O738" s="59">
        <f t="shared" si="96"/>
        <v>0</v>
      </c>
      <c r="T738">
        <f t="shared" si="94"/>
        <v>0</v>
      </c>
      <c r="Y738">
        <f t="shared" si="90"/>
        <v>0</v>
      </c>
      <c r="Z738">
        <f t="shared" si="91"/>
        <v>0</v>
      </c>
    </row>
    <row r="739" spans="2:26">
      <c r="B739" t="str">
        <f t="shared" si="97"/>
        <v>BLUE</v>
      </c>
      <c r="C739" s="6">
        <f t="shared" si="92"/>
        <v>443</v>
      </c>
      <c r="I739">
        <f t="shared" si="93"/>
        <v>0</v>
      </c>
      <c r="N739" s="59">
        <f t="shared" si="95"/>
        <v>0</v>
      </c>
      <c r="O739" s="59">
        <f t="shared" si="96"/>
        <v>0</v>
      </c>
      <c r="T739">
        <f t="shared" si="94"/>
        <v>0</v>
      </c>
      <c r="Y739">
        <f t="shared" si="90"/>
        <v>0</v>
      </c>
      <c r="Z739">
        <f t="shared" si="91"/>
        <v>0</v>
      </c>
    </row>
    <row r="740" spans="2:26">
      <c r="B740" t="str">
        <f t="shared" si="97"/>
        <v>BLUE</v>
      </c>
      <c r="C740" s="6">
        <f t="shared" si="92"/>
        <v>444</v>
      </c>
      <c r="I740">
        <f t="shared" si="93"/>
        <v>0</v>
      </c>
      <c r="N740" s="59">
        <f t="shared" si="95"/>
        <v>0</v>
      </c>
      <c r="O740" s="59">
        <f t="shared" si="96"/>
        <v>0</v>
      </c>
      <c r="T740">
        <f t="shared" si="94"/>
        <v>0</v>
      </c>
      <c r="Y740">
        <f t="shared" si="90"/>
        <v>0</v>
      </c>
      <c r="Z740">
        <f t="shared" si="91"/>
        <v>0</v>
      </c>
    </row>
    <row r="741" spans="2:26">
      <c r="B741" t="str">
        <f t="shared" si="97"/>
        <v>BLUE</v>
      </c>
      <c r="C741" s="6">
        <f t="shared" si="92"/>
        <v>445</v>
      </c>
      <c r="I741">
        <f t="shared" si="93"/>
        <v>0</v>
      </c>
      <c r="N741" s="59">
        <f t="shared" si="95"/>
        <v>0</v>
      </c>
      <c r="O741" s="59">
        <f t="shared" si="96"/>
        <v>0</v>
      </c>
      <c r="T741">
        <f t="shared" si="94"/>
        <v>0</v>
      </c>
      <c r="Y741">
        <f t="shared" si="90"/>
        <v>0</v>
      </c>
      <c r="Z741">
        <f t="shared" si="91"/>
        <v>0</v>
      </c>
    </row>
    <row r="742" spans="2:26">
      <c r="B742" t="str">
        <f t="shared" si="97"/>
        <v>BLUE</v>
      </c>
      <c r="C742" s="6">
        <f t="shared" si="92"/>
        <v>446</v>
      </c>
      <c r="I742">
        <f t="shared" si="93"/>
        <v>0</v>
      </c>
      <c r="N742" s="59">
        <f t="shared" si="95"/>
        <v>0</v>
      </c>
      <c r="O742" s="59">
        <f t="shared" si="96"/>
        <v>0</v>
      </c>
      <c r="T742">
        <f t="shared" si="94"/>
        <v>0</v>
      </c>
      <c r="Y742">
        <f t="shared" si="90"/>
        <v>0</v>
      </c>
      <c r="Z742">
        <f t="shared" si="91"/>
        <v>0</v>
      </c>
    </row>
    <row r="743" spans="2:26">
      <c r="B743" t="str">
        <f t="shared" si="97"/>
        <v>BLUE</v>
      </c>
      <c r="C743" s="6">
        <f t="shared" si="92"/>
        <v>447</v>
      </c>
      <c r="I743">
        <f t="shared" si="93"/>
        <v>0</v>
      </c>
      <c r="N743" s="59">
        <f t="shared" si="95"/>
        <v>0</v>
      </c>
      <c r="O743" s="59">
        <f t="shared" si="96"/>
        <v>0</v>
      </c>
      <c r="T743">
        <f t="shared" si="94"/>
        <v>0</v>
      </c>
      <c r="Y743">
        <f t="shared" si="90"/>
        <v>0</v>
      </c>
      <c r="Z743">
        <f t="shared" si="91"/>
        <v>0</v>
      </c>
    </row>
    <row r="744" spans="2:26">
      <c r="B744" t="str">
        <f t="shared" si="97"/>
        <v>BLUE</v>
      </c>
      <c r="C744" s="6">
        <f t="shared" si="92"/>
        <v>448</v>
      </c>
      <c r="I744">
        <f t="shared" si="93"/>
        <v>0</v>
      </c>
      <c r="N744" s="59">
        <f t="shared" si="95"/>
        <v>0</v>
      </c>
      <c r="O744" s="59">
        <f t="shared" si="96"/>
        <v>0</v>
      </c>
      <c r="T744">
        <f t="shared" si="94"/>
        <v>0</v>
      </c>
      <c r="Y744">
        <f t="shared" si="90"/>
        <v>0</v>
      </c>
      <c r="Z744">
        <f t="shared" si="91"/>
        <v>0</v>
      </c>
    </row>
    <row r="745" spans="2:26">
      <c r="B745" t="str">
        <f t="shared" si="97"/>
        <v>BLUE</v>
      </c>
      <c r="C745" s="6">
        <f t="shared" si="92"/>
        <v>449</v>
      </c>
      <c r="I745">
        <f t="shared" si="93"/>
        <v>0</v>
      </c>
      <c r="N745" s="59">
        <f t="shared" si="95"/>
        <v>0</v>
      </c>
      <c r="O745" s="59">
        <f t="shared" si="96"/>
        <v>0</v>
      </c>
      <c r="T745">
        <f t="shared" si="94"/>
        <v>0</v>
      </c>
      <c r="Y745">
        <f t="shared" si="90"/>
        <v>0</v>
      </c>
      <c r="Z745">
        <f t="shared" si="91"/>
        <v>0</v>
      </c>
    </row>
    <row r="746" spans="2:26">
      <c r="B746" t="str">
        <f t="shared" si="97"/>
        <v>BLUE</v>
      </c>
      <c r="C746" s="6">
        <f t="shared" si="92"/>
        <v>450</v>
      </c>
      <c r="I746">
        <f t="shared" si="93"/>
        <v>0</v>
      </c>
      <c r="N746" s="59">
        <f t="shared" si="95"/>
        <v>0</v>
      </c>
      <c r="O746" s="59">
        <f t="shared" si="96"/>
        <v>0</v>
      </c>
      <c r="T746">
        <f t="shared" si="94"/>
        <v>0</v>
      </c>
      <c r="Y746">
        <f t="shared" si="90"/>
        <v>0</v>
      </c>
      <c r="Z746">
        <f t="shared" si="91"/>
        <v>0</v>
      </c>
    </row>
    <row r="747" spans="2:26">
      <c r="B747" t="str">
        <f t="shared" si="97"/>
        <v>BLUE</v>
      </c>
      <c r="C747" s="6">
        <f t="shared" si="92"/>
        <v>451</v>
      </c>
      <c r="I747">
        <f t="shared" si="93"/>
        <v>0</v>
      </c>
      <c r="N747" s="59">
        <f t="shared" si="95"/>
        <v>0</v>
      </c>
      <c r="O747" s="59">
        <f t="shared" si="96"/>
        <v>0</v>
      </c>
      <c r="T747">
        <f t="shared" si="94"/>
        <v>0</v>
      </c>
      <c r="Y747">
        <f t="shared" si="90"/>
        <v>0</v>
      </c>
      <c r="Z747">
        <f t="shared" si="91"/>
        <v>0</v>
      </c>
    </row>
    <row r="748" spans="2:26">
      <c r="B748" t="str">
        <f t="shared" si="97"/>
        <v>BLUE</v>
      </c>
      <c r="C748" s="6">
        <f t="shared" si="92"/>
        <v>452</v>
      </c>
      <c r="I748">
        <f t="shared" si="93"/>
        <v>0</v>
      </c>
      <c r="N748" s="59">
        <f t="shared" si="95"/>
        <v>0</v>
      </c>
      <c r="O748" s="59">
        <f t="shared" si="96"/>
        <v>0</v>
      </c>
      <c r="T748">
        <f t="shared" si="94"/>
        <v>0</v>
      </c>
      <c r="Y748">
        <f t="shared" si="90"/>
        <v>0</v>
      </c>
      <c r="Z748">
        <f t="shared" si="91"/>
        <v>0</v>
      </c>
    </row>
    <row r="749" spans="2:26">
      <c r="B749" t="str">
        <f t="shared" si="97"/>
        <v>BLUE</v>
      </c>
      <c r="C749" s="6">
        <f t="shared" si="92"/>
        <v>453</v>
      </c>
      <c r="I749">
        <f t="shared" si="93"/>
        <v>0</v>
      </c>
      <c r="N749" s="59">
        <f t="shared" si="95"/>
        <v>0</v>
      </c>
      <c r="O749" s="59">
        <f t="shared" si="96"/>
        <v>0</v>
      </c>
      <c r="T749">
        <f t="shared" si="94"/>
        <v>0</v>
      </c>
      <c r="Y749">
        <f t="shared" si="90"/>
        <v>0</v>
      </c>
      <c r="Z749">
        <f t="shared" si="91"/>
        <v>0</v>
      </c>
    </row>
    <row r="750" spans="2:26">
      <c r="B750" t="str">
        <f t="shared" si="97"/>
        <v>BLUE</v>
      </c>
      <c r="C750" s="6">
        <f t="shared" si="92"/>
        <v>454</v>
      </c>
      <c r="I750">
        <f t="shared" si="93"/>
        <v>0</v>
      </c>
      <c r="N750" s="59">
        <f t="shared" si="95"/>
        <v>0</v>
      </c>
      <c r="O750" s="59">
        <f t="shared" si="96"/>
        <v>0</v>
      </c>
      <c r="T750">
        <f t="shared" si="94"/>
        <v>0</v>
      </c>
      <c r="Y750">
        <f t="shared" ref="Y750:Y813" si="98">SUM($U750:$X750)</f>
        <v>0</v>
      </c>
      <c r="Z750">
        <f t="shared" ref="Z750:Z813" si="99">SUM($T750,$Y750)</f>
        <v>0</v>
      </c>
    </row>
    <row r="751" spans="2:26">
      <c r="B751" t="str">
        <f t="shared" si="97"/>
        <v>BLUE</v>
      </c>
      <c r="C751" s="6">
        <f t="shared" si="92"/>
        <v>455</v>
      </c>
      <c r="I751">
        <f t="shared" si="93"/>
        <v>0</v>
      </c>
      <c r="N751" s="59">
        <f t="shared" si="95"/>
        <v>0</v>
      </c>
      <c r="O751" s="59">
        <f t="shared" si="96"/>
        <v>0</v>
      </c>
      <c r="T751">
        <f t="shared" si="94"/>
        <v>0</v>
      </c>
      <c r="Y751">
        <f t="shared" si="98"/>
        <v>0</v>
      </c>
      <c r="Z751">
        <f t="shared" si="99"/>
        <v>0</v>
      </c>
    </row>
    <row r="752" spans="2:26">
      <c r="B752" t="str">
        <f t="shared" si="97"/>
        <v>BLUE</v>
      </c>
      <c r="C752" s="6">
        <f t="shared" si="92"/>
        <v>456</v>
      </c>
      <c r="I752">
        <f t="shared" si="93"/>
        <v>0</v>
      </c>
      <c r="N752" s="59">
        <f t="shared" si="95"/>
        <v>0</v>
      </c>
      <c r="O752" s="59">
        <f t="shared" si="96"/>
        <v>0</v>
      </c>
      <c r="T752">
        <f t="shared" si="94"/>
        <v>0</v>
      </c>
      <c r="Y752">
        <f t="shared" si="98"/>
        <v>0</v>
      </c>
      <c r="Z752">
        <f t="shared" si="99"/>
        <v>0</v>
      </c>
    </row>
    <row r="753" spans="2:26">
      <c r="B753" t="str">
        <f t="shared" si="97"/>
        <v>BLUE</v>
      </c>
      <c r="C753" s="6">
        <f t="shared" si="92"/>
        <v>457</v>
      </c>
      <c r="I753">
        <f t="shared" si="93"/>
        <v>0</v>
      </c>
      <c r="N753" s="59">
        <f t="shared" si="95"/>
        <v>0</v>
      </c>
      <c r="O753" s="59">
        <f t="shared" si="96"/>
        <v>0</v>
      </c>
      <c r="T753">
        <f t="shared" si="94"/>
        <v>0</v>
      </c>
      <c r="Y753">
        <f t="shared" si="98"/>
        <v>0</v>
      </c>
      <c r="Z753">
        <f t="shared" si="99"/>
        <v>0</v>
      </c>
    </row>
    <row r="754" spans="2:26">
      <c r="B754" t="str">
        <f t="shared" si="97"/>
        <v>BLUE</v>
      </c>
      <c r="C754" s="6">
        <f t="shared" si="92"/>
        <v>458</v>
      </c>
      <c r="I754">
        <f t="shared" si="93"/>
        <v>0</v>
      </c>
      <c r="N754" s="59">
        <f t="shared" si="95"/>
        <v>0</v>
      </c>
      <c r="O754" s="59">
        <f t="shared" si="96"/>
        <v>0</v>
      </c>
      <c r="T754">
        <f t="shared" si="94"/>
        <v>0</v>
      </c>
      <c r="Y754">
        <f t="shared" si="98"/>
        <v>0</v>
      </c>
      <c r="Z754">
        <f t="shared" si="99"/>
        <v>0</v>
      </c>
    </row>
    <row r="755" spans="2:26">
      <c r="B755" t="str">
        <f t="shared" si="97"/>
        <v>BLUE</v>
      </c>
      <c r="C755" s="6">
        <f t="shared" si="92"/>
        <v>459</v>
      </c>
      <c r="I755">
        <f t="shared" si="93"/>
        <v>0</v>
      </c>
      <c r="N755" s="59">
        <f t="shared" si="95"/>
        <v>0</v>
      </c>
      <c r="O755" s="59">
        <f t="shared" si="96"/>
        <v>0</v>
      </c>
      <c r="T755">
        <f t="shared" si="94"/>
        <v>0</v>
      </c>
      <c r="Y755">
        <f t="shared" si="98"/>
        <v>0</v>
      </c>
      <c r="Z755">
        <f t="shared" si="99"/>
        <v>0</v>
      </c>
    </row>
    <row r="756" spans="2:26">
      <c r="B756" t="str">
        <f t="shared" si="97"/>
        <v>BLUE</v>
      </c>
      <c r="C756" s="6">
        <f t="shared" si="92"/>
        <v>460</v>
      </c>
      <c r="I756">
        <f t="shared" si="93"/>
        <v>0</v>
      </c>
      <c r="N756" s="59">
        <f t="shared" si="95"/>
        <v>0</v>
      </c>
      <c r="O756" s="59">
        <f t="shared" si="96"/>
        <v>0</v>
      </c>
      <c r="T756">
        <f t="shared" si="94"/>
        <v>0</v>
      </c>
      <c r="Y756">
        <f t="shared" si="98"/>
        <v>0</v>
      </c>
      <c r="Z756">
        <f t="shared" si="99"/>
        <v>0</v>
      </c>
    </row>
    <row r="757" spans="2:26">
      <c r="B757" t="str">
        <f t="shared" si="97"/>
        <v>BLUE</v>
      </c>
      <c r="C757" s="6">
        <f t="shared" ref="C757:C820" si="100">C756+1</f>
        <v>461</v>
      </c>
      <c r="I757">
        <f t="shared" si="93"/>
        <v>0</v>
      </c>
      <c r="N757" s="59">
        <f t="shared" si="95"/>
        <v>0</v>
      </c>
      <c r="O757" s="59">
        <f t="shared" si="96"/>
        <v>0</v>
      </c>
      <c r="T757">
        <f t="shared" si="94"/>
        <v>0</v>
      </c>
      <c r="Y757">
        <f t="shared" si="98"/>
        <v>0</v>
      </c>
      <c r="Z757">
        <f t="shared" si="99"/>
        <v>0</v>
      </c>
    </row>
    <row r="758" spans="2:26">
      <c r="B758" t="str">
        <f t="shared" si="97"/>
        <v>BLUE</v>
      </c>
      <c r="C758" s="6">
        <f t="shared" si="100"/>
        <v>462</v>
      </c>
      <c r="I758">
        <f t="shared" si="93"/>
        <v>0</v>
      </c>
      <c r="N758" s="59">
        <f t="shared" si="95"/>
        <v>0</v>
      </c>
      <c r="O758" s="59">
        <f t="shared" si="96"/>
        <v>0</v>
      </c>
      <c r="T758">
        <f t="shared" si="94"/>
        <v>0</v>
      </c>
      <c r="Y758">
        <f t="shared" si="98"/>
        <v>0</v>
      </c>
      <c r="Z758">
        <f t="shared" si="99"/>
        <v>0</v>
      </c>
    </row>
    <row r="759" spans="2:26">
      <c r="B759" t="str">
        <f t="shared" si="97"/>
        <v>BLUE</v>
      </c>
      <c r="C759" s="6">
        <f t="shared" si="100"/>
        <v>463</v>
      </c>
      <c r="I759">
        <f t="shared" si="93"/>
        <v>0</v>
      </c>
      <c r="N759" s="59">
        <f t="shared" si="95"/>
        <v>0</v>
      </c>
      <c r="O759" s="59">
        <f t="shared" si="96"/>
        <v>0</v>
      </c>
      <c r="T759">
        <f t="shared" si="94"/>
        <v>0</v>
      </c>
      <c r="Y759">
        <f t="shared" si="98"/>
        <v>0</v>
      </c>
      <c r="Z759">
        <f t="shared" si="99"/>
        <v>0</v>
      </c>
    </row>
    <row r="760" spans="2:26">
      <c r="B760" t="str">
        <f t="shared" si="97"/>
        <v>BLUE</v>
      </c>
      <c r="C760" s="6">
        <f t="shared" si="100"/>
        <v>464</v>
      </c>
      <c r="I760">
        <f t="shared" si="93"/>
        <v>0</v>
      </c>
      <c r="N760" s="59">
        <f t="shared" si="95"/>
        <v>0</v>
      </c>
      <c r="O760" s="59">
        <f t="shared" si="96"/>
        <v>0</v>
      </c>
      <c r="T760">
        <f t="shared" si="94"/>
        <v>0</v>
      </c>
      <c r="Y760">
        <f t="shared" si="98"/>
        <v>0</v>
      </c>
      <c r="Z760">
        <f t="shared" si="99"/>
        <v>0</v>
      </c>
    </row>
    <row r="761" spans="2:26">
      <c r="B761" t="str">
        <f t="shared" si="97"/>
        <v>BLUE</v>
      </c>
      <c r="C761" s="6">
        <f t="shared" si="100"/>
        <v>465</v>
      </c>
      <c r="I761">
        <f t="shared" si="93"/>
        <v>0</v>
      </c>
      <c r="N761" s="59">
        <f t="shared" si="95"/>
        <v>0</v>
      </c>
      <c r="O761" s="59">
        <f t="shared" si="96"/>
        <v>0</v>
      </c>
      <c r="T761">
        <f t="shared" si="94"/>
        <v>0</v>
      </c>
      <c r="Y761">
        <f t="shared" si="98"/>
        <v>0</v>
      </c>
      <c r="Z761">
        <f t="shared" si="99"/>
        <v>0</v>
      </c>
    </row>
    <row r="762" spans="2:26">
      <c r="B762" t="str">
        <f t="shared" si="97"/>
        <v>BLUE</v>
      </c>
      <c r="C762" s="6">
        <f t="shared" si="100"/>
        <v>466</v>
      </c>
      <c r="I762">
        <f t="shared" si="93"/>
        <v>0</v>
      </c>
      <c r="N762" s="59">
        <f t="shared" si="95"/>
        <v>0</v>
      </c>
      <c r="O762" s="59">
        <f t="shared" si="96"/>
        <v>0</v>
      </c>
      <c r="T762">
        <f t="shared" si="94"/>
        <v>0</v>
      </c>
      <c r="Y762">
        <f t="shared" si="98"/>
        <v>0</v>
      </c>
      <c r="Z762">
        <f t="shared" si="99"/>
        <v>0</v>
      </c>
    </row>
    <row r="763" spans="2:26">
      <c r="B763" t="str">
        <f t="shared" si="97"/>
        <v>BLUE</v>
      </c>
      <c r="C763" s="6">
        <f t="shared" si="100"/>
        <v>467</v>
      </c>
      <c r="I763">
        <f t="shared" si="93"/>
        <v>0</v>
      </c>
      <c r="N763" s="59">
        <f t="shared" si="95"/>
        <v>0</v>
      </c>
      <c r="O763" s="59">
        <f t="shared" si="96"/>
        <v>0</v>
      </c>
      <c r="T763">
        <f t="shared" si="94"/>
        <v>0</v>
      </c>
      <c r="Y763">
        <f t="shared" si="98"/>
        <v>0</v>
      </c>
      <c r="Z763">
        <f t="shared" si="99"/>
        <v>0</v>
      </c>
    </row>
    <row r="764" spans="2:26">
      <c r="B764" t="str">
        <f t="shared" si="97"/>
        <v>BLUE</v>
      </c>
      <c r="C764" s="6">
        <f t="shared" si="100"/>
        <v>468</v>
      </c>
      <c r="I764">
        <f t="shared" si="93"/>
        <v>0</v>
      </c>
      <c r="N764" s="59">
        <f t="shared" si="95"/>
        <v>0</v>
      </c>
      <c r="O764" s="59">
        <f t="shared" si="96"/>
        <v>0</v>
      </c>
      <c r="T764">
        <f t="shared" si="94"/>
        <v>0</v>
      </c>
      <c r="Y764">
        <f t="shared" si="98"/>
        <v>0</v>
      </c>
      <c r="Z764">
        <f t="shared" si="99"/>
        <v>0</v>
      </c>
    </row>
    <row r="765" spans="2:26">
      <c r="B765" t="str">
        <f t="shared" si="97"/>
        <v>BLUE</v>
      </c>
      <c r="C765" s="6">
        <f t="shared" si="100"/>
        <v>469</v>
      </c>
      <c r="I765">
        <f t="shared" si="93"/>
        <v>0</v>
      </c>
      <c r="N765" s="59">
        <f t="shared" si="95"/>
        <v>0</v>
      </c>
      <c r="O765" s="59">
        <f t="shared" si="96"/>
        <v>0</v>
      </c>
      <c r="T765">
        <f t="shared" si="94"/>
        <v>0</v>
      </c>
      <c r="Y765">
        <f t="shared" si="98"/>
        <v>0</v>
      </c>
      <c r="Z765">
        <f t="shared" si="99"/>
        <v>0</v>
      </c>
    </row>
    <row r="766" spans="2:26">
      <c r="B766" t="str">
        <f t="shared" si="97"/>
        <v>BLUE</v>
      </c>
      <c r="C766" s="6">
        <f t="shared" si="100"/>
        <v>470</v>
      </c>
      <c r="I766">
        <f t="shared" ref="I766:I829" si="101">SUM($E766:$H766)</f>
        <v>0</v>
      </c>
      <c r="N766" s="59">
        <f t="shared" si="95"/>
        <v>0</v>
      </c>
      <c r="O766" s="59">
        <f t="shared" si="96"/>
        <v>0</v>
      </c>
      <c r="T766">
        <f t="shared" ref="T766:T829" si="102">SUM($P766:$S766)</f>
        <v>0</v>
      </c>
      <c r="Y766">
        <f t="shared" si="98"/>
        <v>0</v>
      </c>
      <c r="Z766">
        <f t="shared" si="99"/>
        <v>0</v>
      </c>
    </row>
    <row r="767" spans="2:26">
      <c r="B767" t="str">
        <f t="shared" si="97"/>
        <v>BLUE</v>
      </c>
      <c r="C767" s="6">
        <f t="shared" si="100"/>
        <v>471</v>
      </c>
      <c r="I767">
        <f t="shared" si="101"/>
        <v>0</v>
      </c>
      <c r="N767" s="59">
        <f t="shared" si="95"/>
        <v>0</v>
      </c>
      <c r="O767" s="59">
        <f t="shared" si="96"/>
        <v>0</v>
      </c>
      <c r="T767">
        <f t="shared" si="102"/>
        <v>0</v>
      </c>
      <c r="Y767">
        <f t="shared" si="98"/>
        <v>0</v>
      </c>
      <c r="Z767">
        <f t="shared" si="99"/>
        <v>0</v>
      </c>
    </row>
    <row r="768" spans="2:26">
      <c r="B768" t="str">
        <f t="shared" si="97"/>
        <v>BLUE</v>
      </c>
      <c r="C768" s="6">
        <f t="shared" si="100"/>
        <v>472</v>
      </c>
      <c r="I768">
        <f t="shared" si="101"/>
        <v>0</v>
      </c>
      <c r="N768" s="59">
        <f t="shared" si="95"/>
        <v>0</v>
      </c>
      <c r="O768" s="59">
        <f t="shared" si="96"/>
        <v>0</v>
      </c>
      <c r="T768">
        <f t="shared" si="102"/>
        <v>0</v>
      </c>
      <c r="Y768">
        <f t="shared" si="98"/>
        <v>0</v>
      </c>
      <c r="Z768">
        <f t="shared" si="99"/>
        <v>0</v>
      </c>
    </row>
    <row r="769" spans="2:26">
      <c r="B769" t="str">
        <f t="shared" si="97"/>
        <v>BLUE</v>
      </c>
      <c r="C769" s="6">
        <f t="shared" si="100"/>
        <v>473</v>
      </c>
      <c r="I769">
        <f t="shared" si="101"/>
        <v>0</v>
      </c>
      <c r="N769" s="59">
        <f t="shared" si="95"/>
        <v>0</v>
      </c>
      <c r="O769" s="59">
        <f t="shared" si="96"/>
        <v>0</v>
      </c>
      <c r="T769">
        <f t="shared" si="102"/>
        <v>0</v>
      </c>
      <c r="Y769">
        <f t="shared" si="98"/>
        <v>0</v>
      </c>
      <c r="Z769">
        <f t="shared" si="99"/>
        <v>0</v>
      </c>
    </row>
    <row r="770" spans="2:26">
      <c r="B770" t="str">
        <f t="shared" si="97"/>
        <v>BLUE</v>
      </c>
      <c r="C770" s="6">
        <f t="shared" si="100"/>
        <v>474</v>
      </c>
      <c r="I770">
        <f t="shared" si="101"/>
        <v>0</v>
      </c>
      <c r="N770" s="59">
        <f t="shared" si="95"/>
        <v>0</v>
      </c>
      <c r="O770" s="59">
        <f t="shared" si="96"/>
        <v>0</v>
      </c>
      <c r="T770">
        <f t="shared" si="102"/>
        <v>0</v>
      </c>
      <c r="Y770">
        <f t="shared" si="98"/>
        <v>0</v>
      </c>
      <c r="Z770">
        <f t="shared" si="99"/>
        <v>0</v>
      </c>
    </row>
    <row r="771" spans="2:26">
      <c r="B771" t="str">
        <f t="shared" si="97"/>
        <v>BLUE</v>
      </c>
      <c r="C771" s="6">
        <f t="shared" si="100"/>
        <v>475</v>
      </c>
      <c r="I771">
        <f t="shared" si="101"/>
        <v>0</v>
      </c>
      <c r="N771" s="59">
        <f t="shared" si="95"/>
        <v>0</v>
      </c>
      <c r="O771" s="59">
        <f t="shared" si="96"/>
        <v>0</v>
      </c>
      <c r="T771">
        <f t="shared" si="102"/>
        <v>0</v>
      </c>
      <c r="Y771">
        <f t="shared" si="98"/>
        <v>0</v>
      </c>
      <c r="Z771">
        <f t="shared" si="99"/>
        <v>0</v>
      </c>
    </row>
    <row r="772" spans="2:26">
      <c r="B772" t="str">
        <f t="shared" si="97"/>
        <v>BLUE</v>
      </c>
      <c r="C772" s="6">
        <f t="shared" si="100"/>
        <v>476</v>
      </c>
      <c r="I772">
        <f t="shared" si="101"/>
        <v>0</v>
      </c>
      <c r="N772" s="59">
        <f t="shared" si="95"/>
        <v>0</v>
      </c>
      <c r="O772" s="59">
        <f t="shared" si="96"/>
        <v>0</v>
      </c>
      <c r="T772">
        <f t="shared" si="102"/>
        <v>0</v>
      </c>
      <c r="Y772">
        <f t="shared" si="98"/>
        <v>0</v>
      </c>
      <c r="Z772">
        <f t="shared" si="99"/>
        <v>0</v>
      </c>
    </row>
    <row r="773" spans="2:26">
      <c r="B773" t="str">
        <f t="shared" si="97"/>
        <v>BLUE</v>
      </c>
      <c r="C773" s="6">
        <f t="shared" si="100"/>
        <v>477</v>
      </c>
      <c r="I773">
        <f t="shared" si="101"/>
        <v>0</v>
      </c>
      <c r="N773" s="59">
        <f t="shared" si="95"/>
        <v>0</v>
      </c>
      <c r="O773" s="59">
        <f t="shared" si="96"/>
        <v>0</v>
      </c>
      <c r="T773">
        <f t="shared" si="102"/>
        <v>0</v>
      </c>
      <c r="Y773">
        <f t="shared" si="98"/>
        <v>0</v>
      </c>
      <c r="Z773">
        <f t="shared" si="99"/>
        <v>0</v>
      </c>
    </row>
    <row r="774" spans="2:26">
      <c r="B774" t="str">
        <f t="shared" si="97"/>
        <v>BLUE</v>
      </c>
      <c r="C774" s="6">
        <f t="shared" si="100"/>
        <v>478</v>
      </c>
      <c r="I774">
        <f t="shared" si="101"/>
        <v>0</v>
      </c>
      <c r="N774" s="59">
        <f t="shared" si="95"/>
        <v>0</v>
      </c>
      <c r="O774" s="59">
        <f t="shared" si="96"/>
        <v>0</v>
      </c>
      <c r="T774">
        <f t="shared" si="102"/>
        <v>0</v>
      </c>
      <c r="Y774">
        <f t="shared" si="98"/>
        <v>0</v>
      </c>
      <c r="Z774">
        <f t="shared" si="99"/>
        <v>0</v>
      </c>
    </row>
    <row r="775" spans="2:26">
      <c r="B775" t="str">
        <f t="shared" si="97"/>
        <v>BLUE</v>
      </c>
      <c r="C775" s="6">
        <f t="shared" si="100"/>
        <v>479</v>
      </c>
      <c r="I775">
        <f t="shared" si="101"/>
        <v>0</v>
      </c>
      <c r="N775" s="59">
        <f t="shared" si="95"/>
        <v>0</v>
      </c>
      <c r="O775" s="59">
        <f t="shared" si="96"/>
        <v>0</v>
      </c>
      <c r="T775">
        <f t="shared" si="102"/>
        <v>0</v>
      </c>
      <c r="Y775">
        <f t="shared" si="98"/>
        <v>0</v>
      </c>
      <c r="Z775">
        <f t="shared" si="99"/>
        <v>0</v>
      </c>
    </row>
    <row r="776" spans="2:26">
      <c r="B776" t="str">
        <f t="shared" si="97"/>
        <v>BLUE</v>
      </c>
      <c r="C776" s="6">
        <f t="shared" si="100"/>
        <v>480</v>
      </c>
      <c r="I776">
        <f t="shared" si="101"/>
        <v>0</v>
      </c>
      <c r="N776" s="59">
        <f t="shared" si="95"/>
        <v>0</v>
      </c>
      <c r="O776" s="59">
        <f t="shared" si="96"/>
        <v>0</v>
      </c>
      <c r="T776">
        <f t="shared" si="102"/>
        <v>0</v>
      </c>
      <c r="Y776">
        <f t="shared" si="98"/>
        <v>0</v>
      </c>
      <c r="Z776">
        <f t="shared" si="99"/>
        <v>0</v>
      </c>
    </row>
    <row r="777" spans="2:26">
      <c r="B777" t="str">
        <f t="shared" si="97"/>
        <v>BLUE</v>
      </c>
      <c r="C777" s="6">
        <f t="shared" si="100"/>
        <v>481</v>
      </c>
      <c r="I777">
        <f t="shared" si="101"/>
        <v>0</v>
      </c>
      <c r="N777" s="59">
        <f t="shared" ref="N777:N840" si="103">SUM($J777:$M777)</f>
        <v>0</v>
      </c>
      <c r="O777" s="59">
        <f t="shared" ref="O777:O840" si="104">SUM($I777, $N777)</f>
        <v>0</v>
      </c>
      <c r="T777">
        <f t="shared" si="102"/>
        <v>0</v>
      </c>
      <c r="Y777">
        <f t="shared" si="98"/>
        <v>0</v>
      </c>
      <c r="Z777">
        <f t="shared" si="99"/>
        <v>0</v>
      </c>
    </row>
    <row r="778" spans="2:26">
      <c r="B778" t="str">
        <f t="shared" si="97"/>
        <v>BLUE</v>
      </c>
      <c r="C778" s="6">
        <f t="shared" si="100"/>
        <v>482</v>
      </c>
      <c r="I778">
        <f t="shared" si="101"/>
        <v>0</v>
      </c>
      <c r="N778" s="59">
        <f t="shared" si="103"/>
        <v>0</v>
      </c>
      <c r="O778" s="59">
        <f t="shared" si="104"/>
        <v>0</v>
      </c>
      <c r="T778">
        <f t="shared" si="102"/>
        <v>0</v>
      </c>
      <c r="Y778">
        <f t="shared" si="98"/>
        <v>0</v>
      </c>
      <c r="Z778">
        <f t="shared" si="99"/>
        <v>0</v>
      </c>
    </row>
    <row r="779" spans="2:26">
      <c r="B779" t="str">
        <f t="shared" si="97"/>
        <v>BLUE</v>
      </c>
      <c r="C779" s="6">
        <f t="shared" si="100"/>
        <v>483</v>
      </c>
      <c r="I779">
        <f t="shared" si="101"/>
        <v>0</v>
      </c>
      <c r="N779" s="59">
        <f t="shared" si="103"/>
        <v>0</v>
      </c>
      <c r="O779" s="59">
        <f t="shared" si="104"/>
        <v>0</v>
      </c>
      <c r="T779">
        <f t="shared" si="102"/>
        <v>0</v>
      </c>
      <c r="Y779">
        <f t="shared" si="98"/>
        <v>0</v>
      </c>
      <c r="Z779">
        <f t="shared" si="99"/>
        <v>0</v>
      </c>
    </row>
    <row r="780" spans="2:26">
      <c r="B780" t="str">
        <f t="shared" si="97"/>
        <v>BLUE</v>
      </c>
      <c r="C780" s="6">
        <f t="shared" si="100"/>
        <v>484</v>
      </c>
      <c r="I780">
        <f t="shared" si="101"/>
        <v>0</v>
      </c>
      <c r="N780" s="59">
        <f t="shared" si="103"/>
        <v>0</v>
      </c>
      <c r="O780" s="59">
        <f t="shared" si="104"/>
        <v>0</v>
      </c>
      <c r="T780">
        <f t="shared" si="102"/>
        <v>0</v>
      </c>
      <c r="Y780">
        <f t="shared" si="98"/>
        <v>0</v>
      </c>
      <c r="Z780">
        <f t="shared" si="99"/>
        <v>0</v>
      </c>
    </row>
    <row r="781" spans="2:26">
      <c r="B781" t="str">
        <f t="shared" si="97"/>
        <v>BLUE</v>
      </c>
      <c r="C781" s="6">
        <f t="shared" si="100"/>
        <v>485</v>
      </c>
      <c r="I781">
        <f t="shared" si="101"/>
        <v>0</v>
      </c>
      <c r="N781" s="59">
        <f t="shared" si="103"/>
        <v>0</v>
      </c>
      <c r="O781" s="59">
        <f t="shared" si="104"/>
        <v>0</v>
      </c>
      <c r="T781">
        <f t="shared" si="102"/>
        <v>0</v>
      </c>
      <c r="Y781">
        <f t="shared" si="98"/>
        <v>0</v>
      </c>
      <c r="Z781">
        <f t="shared" si="99"/>
        <v>0</v>
      </c>
    </row>
    <row r="782" spans="2:26">
      <c r="B782" t="str">
        <f t="shared" si="97"/>
        <v>BLUE</v>
      </c>
      <c r="C782" s="6">
        <f t="shared" si="100"/>
        <v>486</v>
      </c>
      <c r="I782">
        <f t="shared" si="101"/>
        <v>0</v>
      </c>
      <c r="N782" s="59">
        <f t="shared" si="103"/>
        <v>0</v>
      </c>
      <c r="O782" s="59">
        <f t="shared" si="104"/>
        <v>0</v>
      </c>
      <c r="T782">
        <f t="shared" si="102"/>
        <v>0</v>
      </c>
      <c r="Y782">
        <f t="shared" si="98"/>
        <v>0</v>
      </c>
      <c r="Z782">
        <f t="shared" si="99"/>
        <v>0</v>
      </c>
    </row>
    <row r="783" spans="2:26">
      <c r="B783" t="str">
        <f t="shared" si="97"/>
        <v>BLUE</v>
      </c>
      <c r="C783" s="6">
        <f t="shared" si="100"/>
        <v>487</v>
      </c>
      <c r="I783">
        <f t="shared" si="101"/>
        <v>0</v>
      </c>
      <c r="N783" s="59">
        <f t="shared" si="103"/>
        <v>0</v>
      </c>
      <c r="O783" s="59">
        <f t="shared" si="104"/>
        <v>0</v>
      </c>
      <c r="T783">
        <f t="shared" si="102"/>
        <v>0</v>
      </c>
      <c r="Y783">
        <f t="shared" si="98"/>
        <v>0</v>
      </c>
      <c r="Z783">
        <f t="shared" si="99"/>
        <v>0</v>
      </c>
    </row>
    <row r="784" spans="2:26">
      <c r="B784" t="str">
        <f t="shared" si="97"/>
        <v>BLUE</v>
      </c>
      <c r="C784" s="6">
        <f t="shared" si="100"/>
        <v>488</v>
      </c>
      <c r="I784">
        <f t="shared" si="101"/>
        <v>0</v>
      </c>
      <c r="N784" s="59">
        <f t="shared" si="103"/>
        <v>0</v>
      </c>
      <c r="O784" s="59">
        <f t="shared" si="104"/>
        <v>0</v>
      </c>
      <c r="T784">
        <f t="shared" si="102"/>
        <v>0</v>
      </c>
      <c r="Y784">
        <f t="shared" si="98"/>
        <v>0</v>
      </c>
      <c r="Z784">
        <f t="shared" si="99"/>
        <v>0</v>
      </c>
    </row>
    <row r="785" spans="2:26">
      <c r="B785" t="str">
        <f t="shared" si="97"/>
        <v>BLUE</v>
      </c>
      <c r="C785" s="6">
        <f t="shared" si="100"/>
        <v>489</v>
      </c>
      <c r="I785">
        <f t="shared" si="101"/>
        <v>0</v>
      </c>
      <c r="N785" s="59">
        <f t="shared" si="103"/>
        <v>0</v>
      </c>
      <c r="O785" s="59">
        <f t="shared" si="104"/>
        <v>0</v>
      </c>
      <c r="T785">
        <f t="shared" si="102"/>
        <v>0</v>
      </c>
      <c r="Y785">
        <f t="shared" si="98"/>
        <v>0</v>
      </c>
      <c r="Z785">
        <f t="shared" si="99"/>
        <v>0</v>
      </c>
    </row>
    <row r="786" spans="2:26">
      <c r="B786" t="str">
        <f t="shared" si="97"/>
        <v>BLUE</v>
      </c>
      <c r="C786" s="6">
        <f t="shared" si="100"/>
        <v>490</v>
      </c>
      <c r="I786">
        <f t="shared" si="101"/>
        <v>0</v>
      </c>
      <c r="N786" s="59">
        <f t="shared" si="103"/>
        <v>0</v>
      </c>
      <c r="O786" s="59">
        <f t="shared" si="104"/>
        <v>0</v>
      </c>
      <c r="T786">
        <f t="shared" si="102"/>
        <v>0</v>
      </c>
      <c r="Y786">
        <f t="shared" si="98"/>
        <v>0</v>
      </c>
      <c r="Z786">
        <f t="shared" si="99"/>
        <v>0</v>
      </c>
    </row>
    <row r="787" spans="2:26">
      <c r="B787" t="str">
        <f t="shared" ref="B787:B850" si="105">B786</f>
        <v>BLUE</v>
      </c>
      <c r="C787" s="6">
        <f t="shared" si="100"/>
        <v>491</v>
      </c>
      <c r="I787">
        <f t="shared" si="101"/>
        <v>0</v>
      </c>
      <c r="N787" s="59">
        <f t="shared" si="103"/>
        <v>0</v>
      </c>
      <c r="O787" s="59">
        <f t="shared" si="104"/>
        <v>0</v>
      </c>
      <c r="T787">
        <f t="shared" si="102"/>
        <v>0</v>
      </c>
      <c r="Y787">
        <f t="shared" si="98"/>
        <v>0</v>
      </c>
      <c r="Z787">
        <f t="shared" si="99"/>
        <v>0</v>
      </c>
    </row>
    <row r="788" spans="2:26">
      <c r="B788" t="str">
        <f t="shared" si="105"/>
        <v>BLUE</v>
      </c>
      <c r="C788" s="6">
        <f t="shared" si="100"/>
        <v>492</v>
      </c>
      <c r="I788">
        <f t="shared" si="101"/>
        <v>0</v>
      </c>
      <c r="N788" s="59">
        <f t="shared" si="103"/>
        <v>0</v>
      </c>
      <c r="O788" s="59">
        <f t="shared" si="104"/>
        <v>0</v>
      </c>
      <c r="T788">
        <f t="shared" si="102"/>
        <v>0</v>
      </c>
      <c r="Y788">
        <f t="shared" si="98"/>
        <v>0</v>
      </c>
      <c r="Z788">
        <f t="shared" si="99"/>
        <v>0</v>
      </c>
    </row>
    <row r="789" spans="2:26">
      <c r="B789" t="str">
        <f t="shared" si="105"/>
        <v>BLUE</v>
      </c>
      <c r="C789" s="6">
        <f t="shared" si="100"/>
        <v>493</v>
      </c>
      <c r="I789">
        <f t="shared" si="101"/>
        <v>0</v>
      </c>
      <c r="N789" s="59">
        <f t="shared" si="103"/>
        <v>0</v>
      </c>
      <c r="O789" s="59">
        <f t="shared" si="104"/>
        <v>0</v>
      </c>
      <c r="T789">
        <f t="shared" si="102"/>
        <v>0</v>
      </c>
      <c r="Y789">
        <f t="shared" si="98"/>
        <v>0</v>
      </c>
      <c r="Z789">
        <f t="shared" si="99"/>
        <v>0</v>
      </c>
    </row>
    <row r="790" spans="2:26">
      <c r="B790" t="str">
        <f t="shared" si="105"/>
        <v>BLUE</v>
      </c>
      <c r="C790" s="6">
        <f t="shared" si="100"/>
        <v>494</v>
      </c>
      <c r="I790">
        <f t="shared" si="101"/>
        <v>0</v>
      </c>
      <c r="N790" s="59">
        <f t="shared" si="103"/>
        <v>0</v>
      </c>
      <c r="O790" s="59">
        <f t="shared" si="104"/>
        <v>0</v>
      </c>
      <c r="T790">
        <f t="shared" si="102"/>
        <v>0</v>
      </c>
      <c r="Y790">
        <f t="shared" si="98"/>
        <v>0</v>
      </c>
      <c r="Z790">
        <f t="shared" si="99"/>
        <v>0</v>
      </c>
    </row>
    <row r="791" spans="2:26">
      <c r="B791" t="str">
        <f t="shared" si="105"/>
        <v>BLUE</v>
      </c>
      <c r="C791" s="6">
        <f t="shared" si="100"/>
        <v>495</v>
      </c>
      <c r="I791">
        <f t="shared" si="101"/>
        <v>0</v>
      </c>
      <c r="N791" s="59">
        <f t="shared" si="103"/>
        <v>0</v>
      </c>
      <c r="O791" s="59">
        <f t="shared" si="104"/>
        <v>0</v>
      </c>
      <c r="T791">
        <f t="shared" si="102"/>
        <v>0</v>
      </c>
      <c r="Y791">
        <f t="shared" si="98"/>
        <v>0</v>
      </c>
      <c r="Z791">
        <f t="shared" si="99"/>
        <v>0</v>
      </c>
    </row>
    <row r="792" spans="2:26">
      <c r="B792" t="str">
        <f t="shared" si="105"/>
        <v>BLUE</v>
      </c>
      <c r="C792" s="6">
        <f t="shared" si="100"/>
        <v>496</v>
      </c>
      <c r="I792">
        <f t="shared" si="101"/>
        <v>0</v>
      </c>
      <c r="N792" s="59">
        <f t="shared" si="103"/>
        <v>0</v>
      </c>
      <c r="O792" s="59">
        <f t="shared" si="104"/>
        <v>0</v>
      </c>
      <c r="T792">
        <f t="shared" si="102"/>
        <v>0</v>
      </c>
      <c r="Y792">
        <f t="shared" si="98"/>
        <v>0</v>
      </c>
      <c r="Z792">
        <f t="shared" si="99"/>
        <v>0</v>
      </c>
    </row>
    <row r="793" spans="2:26">
      <c r="B793" t="str">
        <f t="shared" si="105"/>
        <v>BLUE</v>
      </c>
      <c r="C793" s="6">
        <f t="shared" si="100"/>
        <v>497</v>
      </c>
      <c r="I793">
        <f t="shared" si="101"/>
        <v>0</v>
      </c>
      <c r="N793" s="59">
        <f t="shared" si="103"/>
        <v>0</v>
      </c>
      <c r="O793" s="59">
        <f t="shared" si="104"/>
        <v>0</v>
      </c>
      <c r="T793">
        <f t="shared" si="102"/>
        <v>0</v>
      </c>
      <c r="Y793">
        <f t="shared" si="98"/>
        <v>0</v>
      </c>
      <c r="Z793">
        <f t="shared" si="99"/>
        <v>0</v>
      </c>
    </row>
    <row r="794" spans="2:26">
      <c r="B794" t="str">
        <f t="shared" si="105"/>
        <v>BLUE</v>
      </c>
      <c r="C794" s="6">
        <f t="shared" si="100"/>
        <v>498</v>
      </c>
      <c r="I794">
        <f t="shared" si="101"/>
        <v>0</v>
      </c>
      <c r="N794" s="59">
        <f t="shared" si="103"/>
        <v>0</v>
      </c>
      <c r="O794" s="59">
        <f t="shared" si="104"/>
        <v>0</v>
      </c>
      <c r="T794">
        <f t="shared" si="102"/>
        <v>0</v>
      </c>
      <c r="Y794">
        <f t="shared" si="98"/>
        <v>0</v>
      </c>
      <c r="Z794">
        <f t="shared" si="99"/>
        <v>0</v>
      </c>
    </row>
    <row r="795" spans="2:26">
      <c r="B795" t="str">
        <f t="shared" si="105"/>
        <v>BLUE</v>
      </c>
      <c r="C795" s="6">
        <f t="shared" si="100"/>
        <v>499</v>
      </c>
      <c r="I795">
        <f t="shared" si="101"/>
        <v>0</v>
      </c>
      <c r="N795" s="59">
        <f t="shared" si="103"/>
        <v>0</v>
      </c>
      <c r="O795" s="59">
        <f t="shared" si="104"/>
        <v>0</v>
      </c>
      <c r="T795">
        <f t="shared" si="102"/>
        <v>0</v>
      </c>
      <c r="Y795">
        <f t="shared" si="98"/>
        <v>0</v>
      </c>
      <c r="Z795">
        <f t="shared" si="99"/>
        <v>0</v>
      </c>
    </row>
    <row r="796" spans="2:26">
      <c r="B796" t="str">
        <f t="shared" si="105"/>
        <v>BLUE</v>
      </c>
      <c r="C796" s="6">
        <f t="shared" si="100"/>
        <v>500</v>
      </c>
      <c r="I796">
        <f t="shared" si="101"/>
        <v>0</v>
      </c>
      <c r="N796" s="59">
        <f t="shared" si="103"/>
        <v>0</v>
      </c>
      <c r="O796" s="59">
        <f t="shared" si="104"/>
        <v>0</v>
      </c>
      <c r="T796">
        <f t="shared" si="102"/>
        <v>0</v>
      </c>
      <c r="Y796">
        <f t="shared" si="98"/>
        <v>0</v>
      </c>
      <c r="Z796">
        <f t="shared" si="99"/>
        <v>0</v>
      </c>
    </row>
    <row r="797" spans="2:26">
      <c r="B797" t="str">
        <f t="shared" si="105"/>
        <v>BLUE</v>
      </c>
      <c r="C797" s="6">
        <f t="shared" si="100"/>
        <v>501</v>
      </c>
      <c r="I797">
        <f t="shared" si="101"/>
        <v>0</v>
      </c>
      <c r="N797" s="59">
        <f t="shared" si="103"/>
        <v>0</v>
      </c>
      <c r="O797" s="59">
        <f t="shared" si="104"/>
        <v>0</v>
      </c>
      <c r="T797">
        <f t="shared" si="102"/>
        <v>0</v>
      </c>
      <c r="Y797">
        <f t="shared" si="98"/>
        <v>0</v>
      </c>
      <c r="Z797">
        <f t="shared" si="99"/>
        <v>0</v>
      </c>
    </row>
    <row r="798" spans="2:26">
      <c r="B798" t="str">
        <f t="shared" si="105"/>
        <v>BLUE</v>
      </c>
      <c r="C798" s="6">
        <f t="shared" si="100"/>
        <v>502</v>
      </c>
      <c r="I798">
        <f t="shared" si="101"/>
        <v>0</v>
      </c>
      <c r="N798" s="59">
        <f t="shared" si="103"/>
        <v>0</v>
      </c>
      <c r="O798" s="59">
        <f t="shared" si="104"/>
        <v>0</v>
      </c>
      <c r="T798">
        <f t="shared" si="102"/>
        <v>0</v>
      </c>
      <c r="Y798">
        <f t="shared" si="98"/>
        <v>0</v>
      </c>
      <c r="Z798">
        <f t="shared" si="99"/>
        <v>0</v>
      </c>
    </row>
    <row r="799" spans="2:26">
      <c r="B799" t="str">
        <f t="shared" si="105"/>
        <v>BLUE</v>
      </c>
      <c r="C799" s="6">
        <f t="shared" si="100"/>
        <v>503</v>
      </c>
      <c r="I799">
        <f t="shared" si="101"/>
        <v>0</v>
      </c>
      <c r="N799" s="59">
        <f t="shared" si="103"/>
        <v>0</v>
      </c>
      <c r="O799" s="59">
        <f t="shared" si="104"/>
        <v>0</v>
      </c>
      <c r="T799">
        <f t="shared" si="102"/>
        <v>0</v>
      </c>
      <c r="Y799">
        <f t="shared" si="98"/>
        <v>0</v>
      </c>
      <c r="Z799">
        <f t="shared" si="99"/>
        <v>0</v>
      </c>
    </row>
    <row r="800" spans="2:26">
      <c r="B800" t="str">
        <f t="shared" si="105"/>
        <v>BLUE</v>
      </c>
      <c r="C800" s="6">
        <f t="shared" si="100"/>
        <v>504</v>
      </c>
      <c r="I800">
        <f t="shared" si="101"/>
        <v>0</v>
      </c>
      <c r="N800" s="59">
        <f t="shared" si="103"/>
        <v>0</v>
      </c>
      <c r="O800" s="59">
        <f t="shared" si="104"/>
        <v>0</v>
      </c>
      <c r="T800">
        <f t="shared" si="102"/>
        <v>0</v>
      </c>
      <c r="Y800">
        <f t="shared" si="98"/>
        <v>0</v>
      </c>
      <c r="Z800">
        <f t="shared" si="99"/>
        <v>0</v>
      </c>
    </row>
    <row r="801" spans="2:26">
      <c r="B801" t="str">
        <f t="shared" si="105"/>
        <v>BLUE</v>
      </c>
      <c r="C801" s="6">
        <f t="shared" si="100"/>
        <v>505</v>
      </c>
      <c r="I801">
        <f t="shared" si="101"/>
        <v>0</v>
      </c>
      <c r="N801" s="59">
        <f t="shared" si="103"/>
        <v>0</v>
      </c>
      <c r="O801" s="59">
        <f t="shared" si="104"/>
        <v>0</v>
      </c>
      <c r="T801">
        <f t="shared" si="102"/>
        <v>0</v>
      </c>
      <c r="Y801">
        <f t="shared" si="98"/>
        <v>0</v>
      </c>
      <c r="Z801">
        <f t="shared" si="99"/>
        <v>0</v>
      </c>
    </row>
    <row r="802" spans="2:26">
      <c r="B802" t="str">
        <f t="shared" si="105"/>
        <v>BLUE</v>
      </c>
      <c r="C802" s="6">
        <f t="shared" si="100"/>
        <v>506</v>
      </c>
      <c r="I802">
        <f t="shared" si="101"/>
        <v>0</v>
      </c>
      <c r="N802" s="59">
        <f t="shared" si="103"/>
        <v>0</v>
      </c>
      <c r="O802" s="59">
        <f t="shared" si="104"/>
        <v>0</v>
      </c>
      <c r="T802">
        <f t="shared" si="102"/>
        <v>0</v>
      </c>
      <c r="Y802">
        <f t="shared" si="98"/>
        <v>0</v>
      </c>
      <c r="Z802">
        <f t="shared" si="99"/>
        <v>0</v>
      </c>
    </row>
    <row r="803" spans="2:26">
      <c r="B803" t="str">
        <f t="shared" si="105"/>
        <v>BLUE</v>
      </c>
      <c r="C803" s="6">
        <f t="shared" si="100"/>
        <v>507</v>
      </c>
      <c r="I803">
        <f t="shared" si="101"/>
        <v>0</v>
      </c>
      <c r="N803" s="59">
        <f t="shared" si="103"/>
        <v>0</v>
      </c>
      <c r="O803" s="59">
        <f t="shared" si="104"/>
        <v>0</v>
      </c>
      <c r="T803">
        <f t="shared" si="102"/>
        <v>0</v>
      </c>
      <c r="Y803">
        <f t="shared" si="98"/>
        <v>0</v>
      </c>
      <c r="Z803">
        <f t="shared" si="99"/>
        <v>0</v>
      </c>
    </row>
    <row r="804" spans="2:26">
      <c r="B804" t="str">
        <f t="shared" si="105"/>
        <v>BLUE</v>
      </c>
      <c r="C804" s="6">
        <f t="shared" si="100"/>
        <v>508</v>
      </c>
      <c r="I804">
        <f t="shared" si="101"/>
        <v>0</v>
      </c>
      <c r="N804" s="59">
        <f t="shared" si="103"/>
        <v>0</v>
      </c>
      <c r="O804" s="59">
        <f t="shared" si="104"/>
        <v>0</v>
      </c>
      <c r="T804">
        <f t="shared" si="102"/>
        <v>0</v>
      </c>
      <c r="Y804">
        <f t="shared" si="98"/>
        <v>0</v>
      </c>
      <c r="Z804">
        <f t="shared" si="99"/>
        <v>0</v>
      </c>
    </row>
    <row r="805" spans="2:26">
      <c r="B805" t="str">
        <f t="shared" si="105"/>
        <v>BLUE</v>
      </c>
      <c r="C805" s="6">
        <f t="shared" si="100"/>
        <v>509</v>
      </c>
      <c r="I805">
        <f t="shared" si="101"/>
        <v>0</v>
      </c>
      <c r="N805" s="59">
        <f t="shared" si="103"/>
        <v>0</v>
      </c>
      <c r="O805" s="59">
        <f t="shared" si="104"/>
        <v>0</v>
      </c>
      <c r="T805">
        <f t="shared" si="102"/>
        <v>0</v>
      </c>
      <c r="Y805">
        <f t="shared" si="98"/>
        <v>0</v>
      </c>
      <c r="Z805">
        <f t="shared" si="99"/>
        <v>0</v>
      </c>
    </row>
    <row r="806" spans="2:26">
      <c r="B806" t="str">
        <f t="shared" si="105"/>
        <v>BLUE</v>
      </c>
      <c r="C806" s="6">
        <f t="shared" si="100"/>
        <v>510</v>
      </c>
      <c r="I806">
        <f t="shared" si="101"/>
        <v>0</v>
      </c>
      <c r="N806" s="59">
        <f t="shared" si="103"/>
        <v>0</v>
      </c>
      <c r="O806" s="59">
        <f t="shared" si="104"/>
        <v>0</v>
      </c>
      <c r="T806">
        <f t="shared" si="102"/>
        <v>0</v>
      </c>
      <c r="Y806">
        <f t="shared" si="98"/>
        <v>0</v>
      </c>
      <c r="Z806">
        <f t="shared" si="99"/>
        <v>0</v>
      </c>
    </row>
    <row r="807" spans="2:26">
      <c r="B807" t="str">
        <f t="shared" si="105"/>
        <v>BLUE</v>
      </c>
      <c r="C807" s="6">
        <f t="shared" si="100"/>
        <v>511</v>
      </c>
      <c r="I807">
        <f t="shared" si="101"/>
        <v>0</v>
      </c>
      <c r="N807" s="59">
        <f t="shared" si="103"/>
        <v>0</v>
      </c>
      <c r="O807" s="59">
        <f t="shared" si="104"/>
        <v>0</v>
      </c>
      <c r="T807">
        <f t="shared" si="102"/>
        <v>0</v>
      </c>
      <c r="Y807">
        <f t="shared" si="98"/>
        <v>0</v>
      </c>
      <c r="Z807">
        <f t="shared" si="99"/>
        <v>0</v>
      </c>
    </row>
    <row r="808" spans="2:26">
      <c r="B808" t="str">
        <f t="shared" si="105"/>
        <v>BLUE</v>
      </c>
      <c r="C808" s="6">
        <f t="shared" si="100"/>
        <v>512</v>
      </c>
      <c r="I808">
        <f t="shared" si="101"/>
        <v>0</v>
      </c>
      <c r="N808" s="59">
        <f t="shared" si="103"/>
        <v>0</v>
      </c>
      <c r="O808" s="59">
        <f t="shared" si="104"/>
        <v>0</v>
      </c>
      <c r="T808">
        <f t="shared" si="102"/>
        <v>0</v>
      </c>
      <c r="Y808">
        <f t="shared" si="98"/>
        <v>0</v>
      </c>
      <c r="Z808">
        <f t="shared" si="99"/>
        <v>0</v>
      </c>
    </row>
    <row r="809" spans="2:26">
      <c r="B809" t="str">
        <f t="shared" si="105"/>
        <v>BLUE</v>
      </c>
      <c r="C809" s="6">
        <f t="shared" si="100"/>
        <v>513</v>
      </c>
      <c r="I809">
        <f t="shared" si="101"/>
        <v>0</v>
      </c>
      <c r="N809" s="59">
        <f t="shared" si="103"/>
        <v>0</v>
      </c>
      <c r="O809" s="59">
        <f t="shared" si="104"/>
        <v>0</v>
      </c>
      <c r="T809">
        <f t="shared" si="102"/>
        <v>0</v>
      </c>
      <c r="Y809">
        <f t="shared" si="98"/>
        <v>0</v>
      </c>
      <c r="Z809">
        <f t="shared" si="99"/>
        <v>0</v>
      </c>
    </row>
    <row r="810" spans="2:26">
      <c r="B810" t="str">
        <f t="shared" si="105"/>
        <v>BLUE</v>
      </c>
      <c r="C810" s="6">
        <f t="shared" si="100"/>
        <v>514</v>
      </c>
      <c r="I810">
        <f t="shared" si="101"/>
        <v>0</v>
      </c>
      <c r="N810" s="59">
        <f t="shared" si="103"/>
        <v>0</v>
      </c>
      <c r="O810" s="59">
        <f t="shared" si="104"/>
        <v>0</v>
      </c>
      <c r="T810">
        <f t="shared" si="102"/>
        <v>0</v>
      </c>
      <c r="Y810">
        <f t="shared" si="98"/>
        <v>0</v>
      </c>
      <c r="Z810">
        <f t="shared" si="99"/>
        <v>0</v>
      </c>
    </row>
    <row r="811" spans="2:26">
      <c r="B811" t="str">
        <f t="shared" si="105"/>
        <v>BLUE</v>
      </c>
      <c r="C811" s="6">
        <f t="shared" si="100"/>
        <v>515</v>
      </c>
      <c r="I811">
        <f t="shared" si="101"/>
        <v>0</v>
      </c>
      <c r="N811" s="59">
        <f t="shared" si="103"/>
        <v>0</v>
      </c>
      <c r="O811" s="59">
        <f t="shared" si="104"/>
        <v>0</v>
      </c>
      <c r="T811">
        <f t="shared" si="102"/>
        <v>0</v>
      </c>
      <c r="Y811">
        <f t="shared" si="98"/>
        <v>0</v>
      </c>
      <c r="Z811">
        <f t="shared" si="99"/>
        <v>0</v>
      </c>
    </row>
    <row r="812" spans="2:26">
      <c r="B812" t="str">
        <f t="shared" si="105"/>
        <v>BLUE</v>
      </c>
      <c r="C812" s="6">
        <f t="shared" si="100"/>
        <v>516</v>
      </c>
      <c r="I812">
        <f t="shared" si="101"/>
        <v>0</v>
      </c>
      <c r="N812" s="59">
        <f t="shared" si="103"/>
        <v>0</v>
      </c>
      <c r="O812" s="59">
        <f t="shared" si="104"/>
        <v>0</v>
      </c>
      <c r="T812">
        <f t="shared" si="102"/>
        <v>0</v>
      </c>
      <c r="Y812">
        <f t="shared" si="98"/>
        <v>0</v>
      </c>
      <c r="Z812">
        <f t="shared" si="99"/>
        <v>0</v>
      </c>
    </row>
    <row r="813" spans="2:26">
      <c r="B813" t="str">
        <f t="shared" si="105"/>
        <v>BLUE</v>
      </c>
      <c r="C813" s="6">
        <f t="shared" si="100"/>
        <v>517</v>
      </c>
      <c r="I813">
        <f t="shared" si="101"/>
        <v>0</v>
      </c>
      <c r="N813" s="59">
        <f t="shared" si="103"/>
        <v>0</v>
      </c>
      <c r="O813" s="59">
        <f t="shared" si="104"/>
        <v>0</v>
      </c>
      <c r="T813">
        <f t="shared" si="102"/>
        <v>0</v>
      </c>
      <c r="Y813">
        <f t="shared" si="98"/>
        <v>0</v>
      </c>
      <c r="Z813">
        <f t="shared" si="99"/>
        <v>0</v>
      </c>
    </row>
    <row r="814" spans="2:26">
      <c r="B814" t="str">
        <f t="shared" si="105"/>
        <v>BLUE</v>
      </c>
      <c r="C814" s="6">
        <f t="shared" si="100"/>
        <v>518</v>
      </c>
      <c r="I814">
        <f t="shared" si="101"/>
        <v>0</v>
      </c>
      <c r="N814" s="59">
        <f t="shared" si="103"/>
        <v>0</v>
      </c>
      <c r="O814" s="59">
        <f t="shared" si="104"/>
        <v>0</v>
      </c>
      <c r="T814">
        <f t="shared" si="102"/>
        <v>0</v>
      </c>
      <c r="Y814">
        <f t="shared" ref="Y814:Y877" si="106">SUM($U814:$X814)</f>
        <v>0</v>
      </c>
      <c r="Z814">
        <f t="shared" ref="Z814:Z877" si="107">SUM($T814,$Y814)</f>
        <v>0</v>
      </c>
    </row>
    <row r="815" spans="2:26">
      <c r="B815" t="str">
        <f t="shared" si="105"/>
        <v>BLUE</v>
      </c>
      <c r="C815" s="6">
        <f t="shared" si="100"/>
        <v>519</v>
      </c>
      <c r="I815">
        <f t="shared" si="101"/>
        <v>0</v>
      </c>
      <c r="N815" s="59">
        <f t="shared" si="103"/>
        <v>0</v>
      </c>
      <c r="O815" s="59">
        <f t="shared" si="104"/>
        <v>0</v>
      </c>
      <c r="T815">
        <f t="shared" si="102"/>
        <v>0</v>
      </c>
      <c r="Y815">
        <f t="shared" si="106"/>
        <v>0</v>
      </c>
      <c r="Z815">
        <f t="shared" si="107"/>
        <v>0</v>
      </c>
    </row>
    <row r="816" spans="2:26">
      <c r="B816" t="str">
        <f t="shared" si="105"/>
        <v>BLUE</v>
      </c>
      <c r="C816" s="6">
        <f t="shared" si="100"/>
        <v>520</v>
      </c>
      <c r="I816">
        <f t="shared" si="101"/>
        <v>0</v>
      </c>
      <c r="N816" s="59">
        <f t="shared" si="103"/>
        <v>0</v>
      </c>
      <c r="O816" s="59">
        <f t="shared" si="104"/>
        <v>0</v>
      </c>
      <c r="T816">
        <f t="shared" si="102"/>
        <v>0</v>
      </c>
      <c r="Y816">
        <f t="shared" si="106"/>
        <v>0</v>
      </c>
      <c r="Z816">
        <f t="shared" si="107"/>
        <v>0</v>
      </c>
    </row>
    <row r="817" spans="2:26">
      <c r="B817" t="str">
        <f t="shared" si="105"/>
        <v>BLUE</v>
      </c>
      <c r="C817" s="6">
        <f t="shared" si="100"/>
        <v>521</v>
      </c>
      <c r="I817">
        <f t="shared" si="101"/>
        <v>0</v>
      </c>
      <c r="N817" s="59">
        <f t="shared" si="103"/>
        <v>0</v>
      </c>
      <c r="O817" s="59">
        <f t="shared" si="104"/>
        <v>0</v>
      </c>
      <c r="T817">
        <f t="shared" si="102"/>
        <v>0</v>
      </c>
      <c r="Y817">
        <f t="shared" si="106"/>
        <v>0</v>
      </c>
      <c r="Z817">
        <f t="shared" si="107"/>
        <v>0</v>
      </c>
    </row>
    <row r="818" spans="2:26">
      <c r="B818" t="str">
        <f t="shared" si="105"/>
        <v>BLUE</v>
      </c>
      <c r="C818" s="6">
        <f t="shared" si="100"/>
        <v>522</v>
      </c>
      <c r="I818">
        <f t="shared" si="101"/>
        <v>0</v>
      </c>
      <c r="N818" s="59">
        <f t="shared" si="103"/>
        <v>0</v>
      </c>
      <c r="O818" s="59">
        <f t="shared" si="104"/>
        <v>0</v>
      </c>
      <c r="T818">
        <f t="shared" si="102"/>
        <v>0</v>
      </c>
      <c r="Y818">
        <f t="shared" si="106"/>
        <v>0</v>
      </c>
      <c r="Z818">
        <f t="shared" si="107"/>
        <v>0</v>
      </c>
    </row>
    <row r="819" spans="2:26">
      <c r="B819" t="str">
        <f t="shared" si="105"/>
        <v>BLUE</v>
      </c>
      <c r="C819" s="6">
        <f t="shared" si="100"/>
        <v>523</v>
      </c>
      <c r="I819">
        <f t="shared" si="101"/>
        <v>0</v>
      </c>
      <c r="N819" s="59">
        <f t="shared" si="103"/>
        <v>0</v>
      </c>
      <c r="O819" s="59">
        <f t="shared" si="104"/>
        <v>0</v>
      </c>
      <c r="T819">
        <f t="shared" si="102"/>
        <v>0</v>
      </c>
      <c r="Y819">
        <f t="shared" si="106"/>
        <v>0</v>
      </c>
      <c r="Z819">
        <f t="shared" si="107"/>
        <v>0</v>
      </c>
    </row>
    <row r="820" spans="2:26">
      <c r="B820" t="str">
        <f t="shared" si="105"/>
        <v>BLUE</v>
      </c>
      <c r="C820" s="6">
        <f t="shared" si="100"/>
        <v>524</v>
      </c>
      <c r="I820">
        <f t="shared" si="101"/>
        <v>0</v>
      </c>
      <c r="N820" s="59">
        <f t="shared" si="103"/>
        <v>0</v>
      </c>
      <c r="O820" s="59">
        <f t="shared" si="104"/>
        <v>0</v>
      </c>
      <c r="T820">
        <f t="shared" si="102"/>
        <v>0</v>
      </c>
      <c r="Y820">
        <f t="shared" si="106"/>
        <v>0</v>
      </c>
      <c r="Z820">
        <f t="shared" si="107"/>
        <v>0</v>
      </c>
    </row>
    <row r="821" spans="2:26">
      <c r="B821" t="str">
        <f t="shared" si="105"/>
        <v>BLUE</v>
      </c>
      <c r="C821" s="6">
        <f t="shared" ref="C821:C884" si="108">C820+1</f>
        <v>525</v>
      </c>
      <c r="I821">
        <f t="shared" si="101"/>
        <v>0</v>
      </c>
      <c r="N821" s="59">
        <f t="shared" si="103"/>
        <v>0</v>
      </c>
      <c r="O821" s="59">
        <f t="shared" si="104"/>
        <v>0</v>
      </c>
      <c r="T821">
        <f t="shared" si="102"/>
        <v>0</v>
      </c>
      <c r="Y821">
        <f t="shared" si="106"/>
        <v>0</v>
      </c>
      <c r="Z821">
        <f t="shared" si="107"/>
        <v>0</v>
      </c>
    </row>
    <row r="822" spans="2:26">
      <c r="B822" t="str">
        <f t="shared" si="105"/>
        <v>BLUE</v>
      </c>
      <c r="C822" s="6">
        <f t="shared" si="108"/>
        <v>526</v>
      </c>
      <c r="I822">
        <f t="shared" si="101"/>
        <v>0</v>
      </c>
      <c r="N822" s="59">
        <f t="shared" si="103"/>
        <v>0</v>
      </c>
      <c r="O822" s="59">
        <f t="shared" si="104"/>
        <v>0</v>
      </c>
      <c r="T822">
        <f t="shared" si="102"/>
        <v>0</v>
      </c>
      <c r="Y822">
        <f t="shared" si="106"/>
        <v>0</v>
      </c>
      <c r="Z822">
        <f t="shared" si="107"/>
        <v>0</v>
      </c>
    </row>
    <row r="823" spans="2:26">
      <c r="B823" t="str">
        <f t="shared" si="105"/>
        <v>BLUE</v>
      </c>
      <c r="C823" s="6">
        <f t="shared" si="108"/>
        <v>527</v>
      </c>
      <c r="I823">
        <f t="shared" si="101"/>
        <v>0</v>
      </c>
      <c r="N823" s="59">
        <f t="shared" si="103"/>
        <v>0</v>
      </c>
      <c r="O823" s="59">
        <f t="shared" si="104"/>
        <v>0</v>
      </c>
      <c r="T823">
        <f t="shared" si="102"/>
        <v>0</v>
      </c>
      <c r="Y823">
        <f t="shared" si="106"/>
        <v>0</v>
      </c>
      <c r="Z823">
        <f t="shared" si="107"/>
        <v>0</v>
      </c>
    </row>
    <row r="824" spans="2:26">
      <c r="B824" t="str">
        <f t="shared" si="105"/>
        <v>BLUE</v>
      </c>
      <c r="C824" s="6">
        <f t="shared" si="108"/>
        <v>528</v>
      </c>
      <c r="I824">
        <f t="shared" si="101"/>
        <v>0</v>
      </c>
      <c r="N824" s="59">
        <f t="shared" si="103"/>
        <v>0</v>
      </c>
      <c r="O824" s="59">
        <f t="shared" si="104"/>
        <v>0</v>
      </c>
      <c r="T824">
        <f t="shared" si="102"/>
        <v>0</v>
      </c>
      <c r="Y824">
        <f t="shared" si="106"/>
        <v>0</v>
      </c>
      <c r="Z824">
        <f t="shared" si="107"/>
        <v>0</v>
      </c>
    </row>
    <row r="825" spans="2:26">
      <c r="B825" t="str">
        <f t="shared" si="105"/>
        <v>BLUE</v>
      </c>
      <c r="C825" s="6">
        <f t="shared" si="108"/>
        <v>529</v>
      </c>
      <c r="I825">
        <f t="shared" si="101"/>
        <v>0</v>
      </c>
      <c r="N825" s="59">
        <f t="shared" si="103"/>
        <v>0</v>
      </c>
      <c r="O825" s="59">
        <f t="shared" si="104"/>
        <v>0</v>
      </c>
      <c r="T825">
        <f t="shared" si="102"/>
        <v>0</v>
      </c>
      <c r="Y825">
        <f t="shared" si="106"/>
        <v>0</v>
      </c>
      <c r="Z825">
        <f t="shared" si="107"/>
        <v>0</v>
      </c>
    </row>
    <row r="826" spans="2:26">
      <c r="B826" t="str">
        <f t="shared" si="105"/>
        <v>BLUE</v>
      </c>
      <c r="C826" s="6">
        <f t="shared" si="108"/>
        <v>530</v>
      </c>
      <c r="I826">
        <f t="shared" si="101"/>
        <v>0</v>
      </c>
      <c r="N826" s="59">
        <f t="shared" si="103"/>
        <v>0</v>
      </c>
      <c r="O826" s="59">
        <f t="shared" si="104"/>
        <v>0</v>
      </c>
      <c r="T826">
        <f t="shared" si="102"/>
        <v>0</v>
      </c>
      <c r="Y826">
        <f t="shared" si="106"/>
        <v>0</v>
      </c>
      <c r="Z826">
        <f t="shared" si="107"/>
        <v>0</v>
      </c>
    </row>
    <row r="827" spans="2:26">
      <c r="B827" t="str">
        <f t="shared" si="105"/>
        <v>BLUE</v>
      </c>
      <c r="C827" s="6">
        <f t="shared" si="108"/>
        <v>531</v>
      </c>
      <c r="I827">
        <f t="shared" si="101"/>
        <v>0</v>
      </c>
      <c r="N827" s="59">
        <f t="shared" si="103"/>
        <v>0</v>
      </c>
      <c r="O827" s="59">
        <f t="shared" si="104"/>
        <v>0</v>
      </c>
      <c r="T827">
        <f t="shared" si="102"/>
        <v>0</v>
      </c>
      <c r="Y827">
        <f t="shared" si="106"/>
        <v>0</v>
      </c>
      <c r="Z827">
        <f t="shared" si="107"/>
        <v>0</v>
      </c>
    </row>
    <row r="828" spans="2:26">
      <c r="B828" t="str">
        <f t="shared" si="105"/>
        <v>BLUE</v>
      </c>
      <c r="C828" s="6">
        <f t="shared" si="108"/>
        <v>532</v>
      </c>
      <c r="I828">
        <f t="shared" si="101"/>
        <v>0</v>
      </c>
      <c r="N828" s="59">
        <f t="shared" si="103"/>
        <v>0</v>
      </c>
      <c r="O828" s="59">
        <f t="shared" si="104"/>
        <v>0</v>
      </c>
      <c r="T828">
        <f t="shared" si="102"/>
        <v>0</v>
      </c>
      <c r="Y828">
        <f t="shared" si="106"/>
        <v>0</v>
      </c>
      <c r="Z828">
        <f t="shared" si="107"/>
        <v>0</v>
      </c>
    </row>
    <row r="829" spans="2:26">
      <c r="B829" t="str">
        <f t="shared" si="105"/>
        <v>BLUE</v>
      </c>
      <c r="C829" s="6">
        <f t="shared" si="108"/>
        <v>533</v>
      </c>
      <c r="I829">
        <f t="shared" si="101"/>
        <v>0</v>
      </c>
      <c r="N829" s="59">
        <f t="shared" si="103"/>
        <v>0</v>
      </c>
      <c r="O829" s="59">
        <f t="shared" si="104"/>
        <v>0</v>
      </c>
      <c r="T829">
        <f t="shared" si="102"/>
        <v>0</v>
      </c>
      <c r="Y829">
        <f t="shared" si="106"/>
        <v>0</v>
      </c>
      <c r="Z829">
        <f t="shared" si="107"/>
        <v>0</v>
      </c>
    </row>
    <row r="830" spans="2:26">
      <c r="B830" t="str">
        <f t="shared" si="105"/>
        <v>BLUE</v>
      </c>
      <c r="C830" s="6">
        <f t="shared" si="108"/>
        <v>534</v>
      </c>
      <c r="I830">
        <f t="shared" ref="I830:I893" si="109">SUM($E830:$H830)</f>
        <v>0</v>
      </c>
      <c r="N830" s="59">
        <f t="shared" si="103"/>
        <v>0</v>
      </c>
      <c r="O830" s="59">
        <f t="shared" si="104"/>
        <v>0</v>
      </c>
      <c r="T830">
        <f t="shared" ref="T830:T893" si="110">SUM($P830:$S830)</f>
        <v>0</v>
      </c>
      <c r="Y830">
        <f t="shared" si="106"/>
        <v>0</v>
      </c>
      <c r="Z830">
        <f t="shared" si="107"/>
        <v>0</v>
      </c>
    </row>
    <row r="831" spans="2:26">
      <c r="B831" t="str">
        <f t="shared" si="105"/>
        <v>BLUE</v>
      </c>
      <c r="C831" s="6">
        <f t="shared" si="108"/>
        <v>535</v>
      </c>
      <c r="I831">
        <f t="shared" si="109"/>
        <v>0</v>
      </c>
      <c r="N831" s="59">
        <f t="shared" si="103"/>
        <v>0</v>
      </c>
      <c r="O831" s="59">
        <f t="shared" si="104"/>
        <v>0</v>
      </c>
      <c r="T831">
        <f t="shared" si="110"/>
        <v>0</v>
      </c>
      <c r="Y831">
        <f t="shared" si="106"/>
        <v>0</v>
      </c>
      <c r="Z831">
        <f t="shared" si="107"/>
        <v>0</v>
      </c>
    </row>
    <row r="832" spans="2:26">
      <c r="B832" t="str">
        <f t="shared" si="105"/>
        <v>BLUE</v>
      </c>
      <c r="C832" s="6">
        <f t="shared" si="108"/>
        <v>536</v>
      </c>
      <c r="I832">
        <f t="shared" si="109"/>
        <v>0</v>
      </c>
      <c r="N832" s="59">
        <f t="shared" si="103"/>
        <v>0</v>
      </c>
      <c r="O832" s="59">
        <f t="shared" si="104"/>
        <v>0</v>
      </c>
      <c r="T832">
        <f t="shared" si="110"/>
        <v>0</v>
      </c>
      <c r="Y832">
        <f t="shared" si="106"/>
        <v>0</v>
      </c>
      <c r="Z832">
        <f t="shared" si="107"/>
        <v>0</v>
      </c>
    </row>
    <row r="833" spans="2:26">
      <c r="B833" t="str">
        <f t="shared" si="105"/>
        <v>BLUE</v>
      </c>
      <c r="C833" s="6">
        <f t="shared" si="108"/>
        <v>537</v>
      </c>
      <c r="I833">
        <f t="shared" si="109"/>
        <v>0</v>
      </c>
      <c r="N833" s="59">
        <f t="shared" si="103"/>
        <v>0</v>
      </c>
      <c r="O833" s="59">
        <f t="shared" si="104"/>
        <v>0</v>
      </c>
      <c r="T833">
        <f t="shared" si="110"/>
        <v>0</v>
      </c>
      <c r="Y833">
        <f t="shared" si="106"/>
        <v>0</v>
      </c>
      <c r="Z833">
        <f t="shared" si="107"/>
        <v>0</v>
      </c>
    </row>
    <row r="834" spans="2:26">
      <c r="B834" t="str">
        <f t="shared" si="105"/>
        <v>BLUE</v>
      </c>
      <c r="C834" s="6">
        <f t="shared" si="108"/>
        <v>538</v>
      </c>
      <c r="I834">
        <f t="shared" si="109"/>
        <v>0</v>
      </c>
      <c r="N834" s="59">
        <f t="shared" si="103"/>
        <v>0</v>
      </c>
      <c r="O834" s="59">
        <f t="shared" si="104"/>
        <v>0</v>
      </c>
      <c r="T834">
        <f t="shared" si="110"/>
        <v>0</v>
      </c>
      <c r="Y834">
        <f t="shared" si="106"/>
        <v>0</v>
      </c>
      <c r="Z834">
        <f t="shared" si="107"/>
        <v>0</v>
      </c>
    </row>
    <row r="835" spans="2:26">
      <c r="B835" t="str">
        <f t="shared" si="105"/>
        <v>BLUE</v>
      </c>
      <c r="C835" s="6">
        <f t="shared" si="108"/>
        <v>539</v>
      </c>
      <c r="I835">
        <f t="shared" si="109"/>
        <v>0</v>
      </c>
      <c r="N835" s="59">
        <f t="shared" si="103"/>
        <v>0</v>
      </c>
      <c r="O835" s="59">
        <f t="shared" si="104"/>
        <v>0</v>
      </c>
      <c r="T835">
        <f t="shared" si="110"/>
        <v>0</v>
      </c>
      <c r="Y835">
        <f t="shared" si="106"/>
        <v>0</v>
      </c>
      <c r="Z835">
        <f t="shared" si="107"/>
        <v>0</v>
      </c>
    </row>
    <row r="836" spans="2:26">
      <c r="B836" t="str">
        <f t="shared" si="105"/>
        <v>BLUE</v>
      </c>
      <c r="C836" s="6">
        <f t="shared" si="108"/>
        <v>540</v>
      </c>
      <c r="I836">
        <f t="shared" si="109"/>
        <v>0</v>
      </c>
      <c r="N836" s="59">
        <f t="shared" si="103"/>
        <v>0</v>
      </c>
      <c r="O836" s="59">
        <f t="shared" si="104"/>
        <v>0</v>
      </c>
      <c r="T836">
        <f t="shared" si="110"/>
        <v>0</v>
      </c>
      <c r="Y836">
        <f t="shared" si="106"/>
        <v>0</v>
      </c>
      <c r="Z836">
        <f t="shared" si="107"/>
        <v>0</v>
      </c>
    </row>
    <row r="837" spans="2:26">
      <c r="B837" t="str">
        <f t="shared" si="105"/>
        <v>BLUE</v>
      </c>
      <c r="C837" s="6">
        <f t="shared" si="108"/>
        <v>541</v>
      </c>
      <c r="I837">
        <f t="shared" si="109"/>
        <v>0</v>
      </c>
      <c r="N837" s="59">
        <f t="shared" si="103"/>
        <v>0</v>
      </c>
      <c r="O837" s="59">
        <f t="shared" si="104"/>
        <v>0</v>
      </c>
      <c r="T837">
        <f t="shared" si="110"/>
        <v>0</v>
      </c>
      <c r="Y837">
        <f t="shared" si="106"/>
        <v>0</v>
      </c>
      <c r="Z837">
        <f t="shared" si="107"/>
        <v>0</v>
      </c>
    </row>
    <row r="838" spans="2:26">
      <c r="B838" t="str">
        <f t="shared" si="105"/>
        <v>BLUE</v>
      </c>
      <c r="C838" s="6">
        <f t="shared" si="108"/>
        <v>542</v>
      </c>
      <c r="I838">
        <f t="shared" si="109"/>
        <v>0</v>
      </c>
      <c r="N838" s="59">
        <f t="shared" si="103"/>
        <v>0</v>
      </c>
      <c r="O838" s="59">
        <f t="shared" si="104"/>
        <v>0</v>
      </c>
      <c r="T838">
        <f t="shared" si="110"/>
        <v>0</v>
      </c>
      <c r="Y838">
        <f t="shared" si="106"/>
        <v>0</v>
      </c>
      <c r="Z838">
        <f t="shared" si="107"/>
        <v>0</v>
      </c>
    </row>
    <row r="839" spans="2:26">
      <c r="B839" t="str">
        <f t="shared" si="105"/>
        <v>BLUE</v>
      </c>
      <c r="C839" s="6">
        <f t="shared" si="108"/>
        <v>543</v>
      </c>
      <c r="I839">
        <f t="shared" si="109"/>
        <v>0</v>
      </c>
      <c r="N839" s="59">
        <f t="shared" si="103"/>
        <v>0</v>
      </c>
      <c r="O839" s="59">
        <f t="shared" si="104"/>
        <v>0</v>
      </c>
      <c r="T839">
        <f t="shared" si="110"/>
        <v>0</v>
      </c>
      <c r="Y839">
        <f t="shared" si="106"/>
        <v>0</v>
      </c>
      <c r="Z839">
        <f t="shared" si="107"/>
        <v>0</v>
      </c>
    </row>
    <row r="840" spans="2:26">
      <c r="B840" t="str">
        <f t="shared" si="105"/>
        <v>BLUE</v>
      </c>
      <c r="C840" s="6">
        <f t="shared" si="108"/>
        <v>544</v>
      </c>
      <c r="I840">
        <f t="shared" si="109"/>
        <v>0</v>
      </c>
      <c r="N840" s="59">
        <f t="shared" si="103"/>
        <v>0</v>
      </c>
      <c r="O840" s="59">
        <f t="shared" si="104"/>
        <v>0</v>
      </c>
      <c r="T840">
        <f t="shared" si="110"/>
        <v>0</v>
      </c>
      <c r="Y840">
        <f t="shared" si="106"/>
        <v>0</v>
      </c>
      <c r="Z840">
        <f t="shared" si="107"/>
        <v>0</v>
      </c>
    </row>
    <row r="841" spans="2:26">
      <c r="B841" t="str">
        <f t="shared" si="105"/>
        <v>BLUE</v>
      </c>
      <c r="C841" s="6">
        <f t="shared" si="108"/>
        <v>545</v>
      </c>
      <c r="I841">
        <f t="shared" si="109"/>
        <v>0</v>
      </c>
      <c r="N841" s="59">
        <f t="shared" ref="N841:N904" si="111">SUM($J841:$M841)</f>
        <v>0</v>
      </c>
      <c r="O841" s="59">
        <f t="shared" ref="O841:O904" si="112">SUM($I841, $N841)</f>
        <v>0</v>
      </c>
      <c r="T841">
        <f t="shared" si="110"/>
        <v>0</v>
      </c>
      <c r="Y841">
        <f t="shared" si="106"/>
        <v>0</v>
      </c>
      <c r="Z841">
        <f t="shared" si="107"/>
        <v>0</v>
      </c>
    </row>
    <row r="842" spans="2:26">
      <c r="B842" t="str">
        <f t="shared" si="105"/>
        <v>BLUE</v>
      </c>
      <c r="C842" s="6">
        <f t="shared" si="108"/>
        <v>546</v>
      </c>
      <c r="I842">
        <f t="shared" si="109"/>
        <v>0</v>
      </c>
      <c r="N842" s="59">
        <f t="shared" si="111"/>
        <v>0</v>
      </c>
      <c r="O842" s="59">
        <f t="shared" si="112"/>
        <v>0</v>
      </c>
      <c r="T842">
        <f t="shared" si="110"/>
        <v>0</v>
      </c>
      <c r="Y842">
        <f t="shared" si="106"/>
        <v>0</v>
      </c>
      <c r="Z842">
        <f t="shared" si="107"/>
        <v>0</v>
      </c>
    </row>
    <row r="843" spans="2:26">
      <c r="B843" t="str">
        <f t="shared" si="105"/>
        <v>BLUE</v>
      </c>
      <c r="C843" s="6">
        <f t="shared" si="108"/>
        <v>547</v>
      </c>
      <c r="I843">
        <f t="shared" si="109"/>
        <v>0</v>
      </c>
      <c r="N843" s="59">
        <f t="shared" si="111"/>
        <v>0</v>
      </c>
      <c r="O843" s="59">
        <f t="shared" si="112"/>
        <v>0</v>
      </c>
      <c r="T843">
        <f t="shared" si="110"/>
        <v>0</v>
      </c>
      <c r="Y843">
        <f t="shared" si="106"/>
        <v>0</v>
      </c>
      <c r="Z843">
        <f t="shared" si="107"/>
        <v>0</v>
      </c>
    </row>
    <row r="844" spans="2:26">
      <c r="B844" t="str">
        <f t="shared" si="105"/>
        <v>BLUE</v>
      </c>
      <c r="C844" s="6">
        <f t="shared" si="108"/>
        <v>548</v>
      </c>
      <c r="I844">
        <f t="shared" si="109"/>
        <v>0</v>
      </c>
      <c r="N844" s="59">
        <f t="shared" si="111"/>
        <v>0</v>
      </c>
      <c r="O844" s="59">
        <f t="shared" si="112"/>
        <v>0</v>
      </c>
      <c r="T844">
        <f t="shared" si="110"/>
        <v>0</v>
      </c>
      <c r="Y844">
        <f t="shared" si="106"/>
        <v>0</v>
      </c>
      <c r="Z844">
        <f t="shared" si="107"/>
        <v>0</v>
      </c>
    </row>
    <row r="845" spans="2:26">
      <c r="B845" t="str">
        <f t="shared" si="105"/>
        <v>BLUE</v>
      </c>
      <c r="C845" s="6">
        <f t="shared" si="108"/>
        <v>549</v>
      </c>
      <c r="I845">
        <f t="shared" si="109"/>
        <v>0</v>
      </c>
      <c r="N845" s="59">
        <f t="shared" si="111"/>
        <v>0</v>
      </c>
      <c r="O845" s="59">
        <f t="shared" si="112"/>
        <v>0</v>
      </c>
      <c r="T845">
        <f t="shared" si="110"/>
        <v>0</v>
      </c>
      <c r="Y845">
        <f t="shared" si="106"/>
        <v>0</v>
      </c>
      <c r="Z845">
        <f t="shared" si="107"/>
        <v>0</v>
      </c>
    </row>
    <row r="846" spans="2:26">
      <c r="B846" t="str">
        <f t="shared" si="105"/>
        <v>BLUE</v>
      </c>
      <c r="C846" s="6">
        <f t="shared" si="108"/>
        <v>550</v>
      </c>
      <c r="I846">
        <f t="shared" si="109"/>
        <v>0</v>
      </c>
      <c r="N846" s="59">
        <f t="shared" si="111"/>
        <v>0</v>
      </c>
      <c r="O846" s="59">
        <f t="shared" si="112"/>
        <v>0</v>
      </c>
      <c r="T846">
        <f t="shared" si="110"/>
        <v>0</v>
      </c>
      <c r="Y846">
        <f t="shared" si="106"/>
        <v>0</v>
      </c>
      <c r="Z846">
        <f t="shared" si="107"/>
        <v>0</v>
      </c>
    </row>
    <row r="847" spans="2:26">
      <c r="B847" t="str">
        <f t="shared" si="105"/>
        <v>BLUE</v>
      </c>
      <c r="C847" s="6">
        <f t="shared" si="108"/>
        <v>551</v>
      </c>
      <c r="I847">
        <f t="shared" si="109"/>
        <v>0</v>
      </c>
      <c r="N847" s="59">
        <f t="shared" si="111"/>
        <v>0</v>
      </c>
      <c r="O847" s="59">
        <f t="shared" si="112"/>
        <v>0</v>
      </c>
      <c r="T847">
        <f t="shared" si="110"/>
        <v>0</v>
      </c>
      <c r="Y847">
        <f t="shared" si="106"/>
        <v>0</v>
      </c>
      <c r="Z847">
        <f t="shared" si="107"/>
        <v>0</v>
      </c>
    </row>
    <row r="848" spans="2:26">
      <c r="B848" t="str">
        <f t="shared" si="105"/>
        <v>BLUE</v>
      </c>
      <c r="C848" s="6">
        <f t="shared" si="108"/>
        <v>552</v>
      </c>
      <c r="I848">
        <f t="shared" si="109"/>
        <v>0</v>
      </c>
      <c r="N848" s="59">
        <f t="shared" si="111"/>
        <v>0</v>
      </c>
      <c r="O848" s="59">
        <f t="shared" si="112"/>
        <v>0</v>
      </c>
      <c r="T848">
        <f t="shared" si="110"/>
        <v>0</v>
      </c>
      <c r="Y848">
        <f t="shared" si="106"/>
        <v>0</v>
      </c>
      <c r="Z848">
        <f t="shared" si="107"/>
        <v>0</v>
      </c>
    </row>
    <row r="849" spans="2:26">
      <c r="B849" t="str">
        <f t="shared" si="105"/>
        <v>BLUE</v>
      </c>
      <c r="C849" s="6">
        <f t="shared" si="108"/>
        <v>553</v>
      </c>
      <c r="I849">
        <f t="shared" si="109"/>
        <v>0</v>
      </c>
      <c r="N849" s="59">
        <f t="shared" si="111"/>
        <v>0</v>
      </c>
      <c r="O849" s="59">
        <f t="shared" si="112"/>
        <v>0</v>
      </c>
      <c r="T849">
        <f t="shared" si="110"/>
        <v>0</v>
      </c>
      <c r="Y849">
        <f t="shared" si="106"/>
        <v>0</v>
      </c>
      <c r="Z849">
        <f t="shared" si="107"/>
        <v>0</v>
      </c>
    </row>
    <row r="850" spans="2:26">
      <c r="B850" t="str">
        <f t="shared" si="105"/>
        <v>BLUE</v>
      </c>
      <c r="C850" s="6">
        <f t="shared" si="108"/>
        <v>554</v>
      </c>
      <c r="I850">
        <f t="shared" si="109"/>
        <v>0</v>
      </c>
      <c r="N850" s="59">
        <f t="shared" si="111"/>
        <v>0</v>
      </c>
      <c r="O850" s="59">
        <f t="shared" si="112"/>
        <v>0</v>
      </c>
      <c r="T850">
        <f t="shared" si="110"/>
        <v>0</v>
      </c>
      <c r="Y850">
        <f t="shared" si="106"/>
        <v>0</v>
      </c>
      <c r="Z850">
        <f t="shared" si="107"/>
        <v>0</v>
      </c>
    </row>
    <row r="851" spans="2:26">
      <c r="B851" t="str">
        <f t="shared" ref="B851:B914" si="113">B850</f>
        <v>BLUE</v>
      </c>
      <c r="C851" s="6">
        <f t="shared" si="108"/>
        <v>555</v>
      </c>
      <c r="I851">
        <f t="shared" si="109"/>
        <v>0</v>
      </c>
      <c r="N851" s="59">
        <f t="shared" si="111"/>
        <v>0</v>
      </c>
      <c r="O851" s="59">
        <f t="shared" si="112"/>
        <v>0</v>
      </c>
      <c r="T851">
        <f t="shared" si="110"/>
        <v>0</v>
      </c>
      <c r="Y851">
        <f t="shared" si="106"/>
        <v>0</v>
      </c>
      <c r="Z851">
        <f t="shared" si="107"/>
        <v>0</v>
      </c>
    </row>
    <row r="852" spans="2:26">
      <c r="B852" t="str">
        <f t="shared" si="113"/>
        <v>BLUE</v>
      </c>
      <c r="C852" s="6">
        <f t="shared" si="108"/>
        <v>556</v>
      </c>
      <c r="I852">
        <f t="shared" si="109"/>
        <v>0</v>
      </c>
      <c r="N852" s="59">
        <f t="shared" si="111"/>
        <v>0</v>
      </c>
      <c r="O852" s="59">
        <f t="shared" si="112"/>
        <v>0</v>
      </c>
      <c r="T852">
        <f t="shared" si="110"/>
        <v>0</v>
      </c>
      <c r="Y852">
        <f t="shared" si="106"/>
        <v>0</v>
      </c>
      <c r="Z852">
        <f t="shared" si="107"/>
        <v>0</v>
      </c>
    </row>
    <row r="853" spans="2:26">
      <c r="B853" t="str">
        <f t="shared" si="113"/>
        <v>BLUE</v>
      </c>
      <c r="C853" s="6">
        <f t="shared" si="108"/>
        <v>557</v>
      </c>
      <c r="I853">
        <f t="shared" si="109"/>
        <v>0</v>
      </c>
      <c r="N853" s="59">
        <f t="shared" si="111"/>
        <v>0</v>
      </c>
      <c r="O853" s="59">
        <f t="shared" si="112"/>
        <v>0</v>
      </c>
      <c r="T853">
        <f t="shared" si="110"/>
        <v>0</v>
      </c>
      <c r="Y853">
        <f t="shared" si="106"/>
        <v>0</v>
      </c>
      <c r="Z853">
        <f t="shared" si="107"/>
        <v>0</v>
      </c>
    </row>
    <row r="854" spans="2:26">
      <c r="B854" t="str">
        <f t="shared" si="113"/>
        <v>BLUE</v>
      </c>
      <c r="C854" s="6">
        <f t="shared" si="108"/>
        <v>558</v>
      </c>
      <c r="I854">
        <f t="shared" si="109"/>
        <v>0</v>
      </c>
      <c r="N854" s="59">
        <f t="shared" si="111"/>
        <v>0</v>
      </c>
      <c r="O854" s="59">
        <f t="shared" si="112"/>
        <v>0</v>
      </c>
      <c r="T854">
        <f t="shared" si="110"/>
        <v>0</v>
      </c>
      <c r="Y854">
        <f t="shared" si="106"/>
        <v>0</v>
      </c>
      <c r="Z854">
        <f t="shared" si="107"/>
        <v>0</v>
      </c>
    </row>
    <row r="855" spans="2:26">
      <c r="B855" t="str">
        <f t="shared" si="113"/>
        <v>BLUE</v>
      </c>
      <c r="C855" s="6">
        <f t="shared" si="108"/>
        <v>559</v>
      </c>
      <c r="I855">
        <f t="shared" si="109"/>
        <v>0</v>
      </c>
      <c r="N855" s="59">
        <f t="shared" si="111"/>
        <v>0</v>
      </c>
      <c r="O855" s="59">
        <f t="shared" si="112"/>
        <v>0</v>
      </c>
      <c r="T855">
        <f t="shared" si="110"/>
        <v>0</v>
      </c>
      <c r="Y855">
        <f t="shared" si="106"/>
        <v>0</v>
      </c>
      <c r="Z855">
        <f t="shared" si="107"/>
        <v>0</v>
      </c>
    </row>
    <row r="856" spans="2:26">
      <c r="B856" t="str">
        <f t="shared" si="113"/>
        <v>BLUE</v>
      </c>
      <c r="C856" s="6">
        <f t="shared" si="108"/>
        <v>560</v>
      </c>
      <c r="I856">
        <f t="shared" si="109"/>
        <v>0</v>
      </c>
      <c r="N856" s="59">
        <f t="shared" si="111"/>
        <v>0</v>
      </c>
      <c r="O856" s="59">
        <f t="shared" si="112"/>
        <v>0</v>
      </c>
      <c r="T856">
        <f t="shared" si="110"/>
        <v>0</v>
      </c>
      <c r="Y856">
        <f t="shared" si="106"/>
        <v>0</v>
      </c>
      <c r="Z856">
        <f t="shared" si="107"/>
        <v>0</v>
      </c>
    </row>
    <row r="857" spans="2:26">
      <c r="B857" t="str">
        <f t="shared" si="113"/>
        <v>BLUE</v>
      </c>
      <c r="C857" s="6">
        <f t="shared" si="108"/>
        <v>561</v>
      </c>
      <c r="I857">
        <f t="shared" si="109"/>
        <v>0</v>
      </c>
      <c r="N857" s="59">
        <f t="shared" si="111"/>
        <v>0</v>
      </c>
      <c r="O857" s="59">
        <f t="shared" si="112"/>
        <v>0</v>
      </c>
      <c r="T857">
        <f t="shared" si="110"/>
        <v>0</v>
      </c>
      <c r="Y857">
        <f t="shared" si="106"/>
        <v>0</v>
      </c>
      <c r="Z857">
        <f t="shared" si="107"/>
        <v>0</v>
      </c>
    </row>
    <row r="858" spans="2:26">
      <c r="B858" t="str">
        <f t="shared" si="113"/>
        <v>BLUE</v>
      </c>
      <c r="C858" s="6">
        <f t="shared" si="108"/>
        <v>562</v>
      </c>
      <c r="I858">
        <f t="shared" si="109"/>
        <v>0</v>
      </c>
      <c r="N858" s="59">
        <f t="shared" si="111"/>
        <v>0</v>
      </c>
      <c r="O858" s="59">
        <f t="shared" si="112"/>
        <v>0</v>
      </c>
      <c r="T858">
        <f t="shared" si="110"/>
        <v>0</v>
      </c>
      <c r="Y858">
        <f t="shared" si="106"/>
        <v>0</v>
      </c>
      <c r="Z858">
        <f t="shared" si="107"/>
        <v>0</v>
      </c>
    </row>
    <row r="859" spans="2:26">
      <c r="B859" t="str">
        <f t="shared" si="113"/>
        <v>BLUE</v>
      </c>
      <c r="C859" s="6">
        <f t="shared" si="108"/>
        <v>563</v>
      </c>
      <c r="I859">
        <f t="shared" si="109"/>
        <v>0</v>
      </c>
      <c r="N859" s="59">
        <f t="shared" si="111"/>
        <v>0</v>
      </c>
      <c r="O859" s="59">
        <f t="shared" si="112"/>
        <v>0</v>
      </c>
      <c r="T859">
        <f t="shared" si="110"/>
        <v>0</v>
      </c>
      <c r="Y859">
        <f t="shared" si="106"/>
        <v>0</v>
      </c>
      <c r="Z859">
        <f t="shared" si="107"/>
        <v>0</v>
      </c>
    </row>
    <row r="860" spans="2:26">
      <c r="B860" t="str">
        <f t="shared" si="113"/>
        <v>BLUE</v>
      </c>
      <c r="C860" s="6">
        <f t="shared" si="108"/>
        <v>564</v>
      </c>
      <c r="I860">
        <f t="shared" si="109"/>
        <v>0</v>
      </c>
      <c r="N860" s="59">
        <f t="shared" si="111"/>
        <v>0</v>
      </c>
      <c r="O860" s="59">
        <f t="shared" si="112"/>
        <v>0</v>
      </c>
      <c r="T860">
        <f t="shared" si="110"/>
        <v>0</v>
      </c>
      <c r="Y860">
        <f t="shared" si="106"/>
        <v>0</v>
      </c>
      <c r="Z860">
        <f t="shared" si="107"/>
        <v>0</v>
      </c>
    </row>
    <row r="861" spans="2:26">
      <c r="B861" t="str">
        <f t="shared" si="113"/>
        <v>BLUE</v>
      </c>
      <c r="C861" s="6">
        <f t="shared" si="108"/>
        <v>565</v>
      </c>
      <c r="I861">
        <f t="shared" si="109"/>
        <v>0</v>
      </c>
      <c r="N861" s="59">
        <f t="shared" si="111"/>
        <v>0</v>
      </c>
      <c r="O861" s="59">
        <f t="shared" si="112"/>
        <v>0</v>
      </c>
      <c r="T861">
        <f t="shared" si="110"/>
        <v>0</v>
      </c>
      <c r="Y861">
        <f t="shared" si="106"/>
        <v>0</v>
      </c>
      <c r="Z861">
        <f t="shared" si="107"/>
        <v>0</v>
      </c>
    </row>
    <row r="862" spans="2:26">
      <c r="B862" t="str">
        <f t="shared" si="113"/>
        <v>BLUE</v>
      </c>
      <c r="C862" s="6">
        <f t="shared" si="108"/>
        <v>566</v>
      </c>
      <c r="I862">
        <f t="shared" si="109"/>
        <v>0</v>
      </c>
      <c r="N862" s="59">
        <f t="shared" si="111"/>
        <v>0</v>
      </c>
      <c r="O862" s="59">
        <f t="shared" si="112"/>
        <v>0</v>
      </c>
      <c r="T862">
        <f t="shared" si="110"/>
        <v>0</v>
      </c>
      <c r="Y862">
        <f t="shared" si="106"/>
        <v>0</v>
      </c>
      <c r="Z862">
        <f t="shared" si="107"/>
        <v>0</v>
      </c>
    </row>
    <row r="863" spans="2:26">
      <c r="B863" t="str">
        <f t="shared" si="113"/>
        <v>BLUE</v>
      </c>
      <c r="C863" s="6">
        <f t="shared" si="108"/>
        <v>567</v>
      </c>
      <c r="I863">
        <f t="shared" si="109"/>
        <v>0</v>
      </c>
      <c r="N863" s="59">
        <f t="shared" si="111"/>
        <v>0</v>
      </c>
      <c r="O863" s="59">
        <f t="shared" si="112"/>
        <v>0</v>
      </c>
      <c r="T863">
        <f t="shared" si="110"/>
        <v>0</v>
      </c>
      <c r="Y863">
        <f t="shared" si="106"/>
        <v>0</v>
      </c>
      <c r="Z863">
        <f t="shared" si="107"/>
        <v>0</v>
      </c>
    </row>
    <row r="864" spans="2:26">
      <c r="B864" t="str">
        <f t="shared" si="113"/>
        <v>BLUE</v>
      </c>
      <c r="C864" s="6">
        <f t="shared" si="108"/>
        <v>568</v>
      </c>
      <c r="I864">
        <f t="shared" si="109"/>
        <v>0</v>
      </c>
      <c r="N864" s="59">
        <f t="shared" si="111"/>
        <v>0</v>
      </c>
      <c r="O864" s="59">
        <f t="shared" si="112"/>
        <v>0</v>
      </c>
      <c r="T864">
        <f t="shared" si="110"/>
        <v>0</v>
      </c>
      <c r="Y864">
        <f t="shared" si="106"/>
        <v>0</v>
      </c>
      <c r="Z864">
        <f t="shared" si="107"/>
        <v>0</v>
      </c>
    </row>
    <row r="865" spans="2:26">
      <c r="B865" t="str">
        <f t="shared" si="113"/>
        <v>BLUE</v>
      </c>
      <c r="C865" s="6">
        <f t="shared" si="108"/>
        <v>569</v>
      </c>
      <c r="I865">
        <f t="shared" si="109"/>
        <v>0</v>
      </c>
      <c r="N865" s="59">
        <f t="shared" si="111"/>
        <v>0</v>
      </c>
      <c r="O865" s="59">
        <f t="shared" si="112"/>
        <v>0</v>
      </c>
      <c r="T865">
        <f t="shared" si="110"/>
        <v>0</v>
      </c>
      <c r="Y865">
        <f t="shared" si="106"/>
        <v>0</v>
      </c>
      <c r="Z865">
        <f t="shared" si="107"/>
        <v>0</v>
      </c>
    </row>
    <row r="866" spans="2:26">
      <c r="B866" t="str">
        <f t="shared" si="113"/>
        <v>BLUE</v>
      </c>
      <c r="C866" s="6">
        <f t="shared" si="108"/>
        <v>570</v>
      </c>
      <c r="I866">
        <f t="shared" si="109"/>
        <v>0</v>
      </c>
      <c r="N866" s="59">
        <f t="shared" si="111"/>
        <v>0</v>
      </c>
      <c r="O866" s="59">
        <f t="shared" si="112"/>
        <v>0</v>
      </c>
      <c r="T866">
        <f t="shared" si="110"/>
        <v>0</v>
      </c>
      <c r="Y866">
        <f t="shared" si="106"/>
        <v>0</v>
      </c>
      <c r="Z866">
        <f t="shared" si="107"/>
        <v>0</v>
      </c>
    </row>
    <row r="867" spans="2:26">
      <c r="B867" t="str">
        <f t="shared" si="113"/>
        <v>BLUE</v>
      </c>
      <c r="C867" s="6">
        <f t="shared" si="108"/>
        <v>571</v>
      </c>
      <c r="I867">
        <f t="shared" si="109"/>
        <v>0</v>
      </c>
      <c r="N867" s="59">
        <f t="shared" si="111"/>
        <v>0</v>
      </c>
      <c r="O867" s="59">
        <f t="shared" si="112"/>
        <v>0</v>
      </c>
      <c r="T867">
        <f t="shared" si="110"/>
        <v>0</v>
      </c>
      <c r="Y867">
        <f t="shared" si="106"/>
        <v>0</v>
      </c>
      <c r="Z867">
        <f t="shared" si="107"/>
        <v>0</v>
      </c>
    </row>
    <row r="868" spans="2:26">
      <c r="B868" t="str">
        <f t="shared" si="113"/>
        <v>BLUE</v>
      </c>
      <c r="C868" s="6">
        <f t="shared" si="108"/>
        <v>572</v>
      </c>
      <c r="I868">
        <f t="shared" si="109"/>
        <v>0</v>
      </c>
      <c r="N868" s="59">
        <f t="shared" si="111"/>
        <v>0</v>
      </c>
      <c r="O868" s="59">
        <f t="shared" si="112"/>
        <v>0</v>
      </c>
      <c r="T868">
        <f t="shared" si="110"/>
        <v>0</v>
      </c>
      <c r="Y868">
        <f t="shared" si="106"/>
        <v>0</v>
      </c>
      <c r="Z868">
        <f t="shared" si="107"/>
        <v>0</v>
      </c>
    </row>
    <row r="869" spans="2:26">
      <c r="B869" t="str">
        <f t="shared" si="113"/>
        <v>BLUE</v>
      </c>
      <c r="C869" s="6">
        <f t="shared" si="108"/>
        <v>573</v>
      </c>
      <c r="I869">
        <f t="shared" si="109"/>
        <v>0</v>
      </c>
      <c r="N869" s="59">
        <f t="shared" si="111"/>
        <v>0</v>
      </c>
      <c r="O869" s="59">
        <f t="shared" si="112"/>
        <v>0</v>
      </c>
      <c r="T869">
        <f t="shared" si="110"/>
        <v>0</v>
      </c>
      <c r="Y869">
        <f t="shared" si="106"/>
        <v>0</v>
      </c>
      <c r="Z869">
        <f t="shared" si="107"/>
        <v>0</v>
      </c>
    </row>
    <row r="870" spans="2:26">
      <c r="B870" t="str">
        <f t="shared" si="113"/>
        <v>BLUE</v>
      </c>
      <c r="C870" s="6">
        <f t="shared" si="108"/>
        <v>574</v>
      </c>
      <c r="I870">
        <f t="shared" si="109"/>
        <v>0</v>
      </c>
      <c r="N870" s="59">
        <f t="shared" si="111"/>
        <v>0</v>
      </c>
      <c r="O870" s="59">
        <f t="shared" si="112"/>
        <v>0</v>
      </c>
      <c r="T870">
        <f t="shared" si="110"/>
        <v>0</v>
      </c>
      <c r="Y870">
        <f t="shared" si="106"/>
        <v>0</v>
      </c>
      <c r="Z870">
        <f t="shared" si="107"/>
        <v>0</v>
      </c>
    </row>
    <row r="871" spans="2:26">
      <c r="B871" t="str">
        <f t="shared" si="113"/>
        <v>BLUE</v>
      </c>
      <c r="C871" s="6">
        <f t="shared" si="108"/>
        <v>575</v>
      </c>
      <c r="I871">
        <f t="shared" si="109"/>
        <v>0</v>
      </c>
      <c r="N871" s="59">
        <f t="shared" si="111"/>
        <v>0</v>
      </c>
      <c r="O871" s="59">
        <f t="shared" si="112"/>
        <v>0</v>
      </c>
      <c r="T871">
        <f t="shared" si="110"/>
        <v>0</v>
      </c>
      <c r="Y871">
        <f t="shared" si="106"/>
        <v>0</v>
      </c>
      <c r="Z871">
        <f t="shared" si="107"/>
        <v>0</v>
      </c>
    </row>
    <row r="872" spans="2:26">
      <c r="B872" t="str">
        <f t="shared" si="113"/>
        <v>BLUE</v>
      </c>
      <c r="C872" s="6">
        <f t="shared" si="108"/>
        <v>576</v>
      </c>
      <c r="I872">
        <f t="shared" si="109"/>
        <v>0</v>
      </c>
      <c r="N872" s="59">
        <f t="shared" si="111"/>
        <v>0</v>
      </c>
      <c r="O872" s="59">
        <f t="shared" si="112"/>
        <v>0</v>
      </c>
      <c r="T872">
        <f t="shared" si="110"/>
        <v>0</v>
      </c>
      <c r="Y872">
        <f t="shared" si="106"/>
        <v>0</v>
      </c>
      <c r="Z872">
        <f t="shared" si="107"/>
        <v>0</v>
      </c>
    </row>
    <row r="873" spans="2:26">
      <c r="B873" t="str">
        <f t="shared" si="113"/>
        <v>BLUE</v>
      </c>
      <c r="C873" s="6">
        <f t="shared" si="108"/>
        <v>577</v>
      </c>
      <c r="I873">
        <f t="shared" si="109"/>
        <v>0</v>
      </c>
      <c r="N873" s="59">
        <f t="shared" si="111"/>
        <v>0</v>
      </c>
      <c r="O873" s="59">
        <f t="shared" si="112"/>
        <v>0</v>
      </c>
      <c r="T873">
        <f t="shared" si="110"/>
        <v>0</v>
      </c>
      <c r="Y873">
        <f t="shared" si="106"/>
        <v>0</v>
      </c>
      <c r="Z873">
        <f t="shared" si="107"/>
        <v>0</v>
      </c>
    </row>
    <row r="874" spans="2:26">
      <c r="B874" t="str">
        <f t="shared" si="113"/>
        <v>BLUE</v>
      </c>
      <c r="C874" s="6">
        <f t="shared" si="108"/>
        <v>578</v>
      </c>
      <c r="I874">
        <f t="shared" si="109"/>
        <v>0</v>
      </c>
      <c r="N874" s="59">
        <f t="shared" si="111"/>
        <v>0</v>
      </c>
      <c r="O874" s="59">
        <f t="shared" si="112"/>
        <v>0</v>
      </c>
      <c r="T874">
        <f t="shared" si="110"/>
        <v>0</v>
      </c>
      <c r="Y874">
        <f t="shared" si="106"/>
        <v>0</v>
      </c>
      <c r="Z874">
        <f t="shared" si="107"/>
        <v>0</v>
      </c>
    </row>
    <row r="875" spans="2:26">
      <c r="B875" t="str">
        <f t="shared" si="113"/>
        <v>BLUE</v>
      </c>
      <c r="C875" s="6">
        <f t="shared" si="108"/>
        <v>579</v>
      </c>
      <c r="I875">
        <f t="shared" si="109"/>
        <v>0</v>
      </c>
      <c r="N875" s="59">
        <f t="shared" si="111"/>
        <v>0</v>
      </c>
      <c r="O875" s="59">
        <f t="shared" si="112"/>
        <v>0</v>
      </c>
      <c r="T875">
        <f t="shared" si="110"/>
        <v>0</v>
      </c>
      <c r="Y875">
        <f t="shared" si="106"/>
        <v>0</v>
      </c>
      <c r="Z875">
        <f t="shared" si="107"/>
        <v>0</v>
      </c>
    </row>
    <row r="876" spans="2:26">
      <c r="B876" t="str">
        <f t="shared" si="113"/>
        <v>BLUE</v>
      </c>
      <c r="C876" s="6">
        <f t="shared" si="108"/>
        <v>580</v>
      </c>
      <c r="I876">
        <f t="shared" si="109"/>
        <v>0</v>
      </c>
      <c r="N876" s="59">
        <f t="shared" si="111"/>
        <v>0</v>
      </c>
      <c r="O876" s="59">
        <f t="shared" si="112"/>
        <v>0</v>
      </c>
      <c r="T876">
        <f t="shared" si="110"/>
        <v>0</v>
      </c>
      <c r="Y876">
        <f t="shared" si="106"/>
        <v>0</v>
      </c>
      <c r="Z876">
        <f t="shared" si="107"/>
        <v>0</v>
      </c>
    </row>
    <row r="877" spans="2:26">
      <c r="B877" t="str">
        <f t="shared" si="113"/>
        <v>BLUE</v>
      </c>
      <c r="C877" s="6">
        <f t="shared" si="108"/>
        <v>581</v>
      </c>
      <c r="I877">
        <f t="shared" si="109"/>
        <v>0</v>
      </c>
      <c r="N877" s="59">
        <f t="shared" si="111"/>
        <v>0</v>
      </c>
      <c r="O877" s="59">
        <f t="shared" si="112"/>
        <v>0</v>
      </c>
      <c r="T877">
        <f t="shared" si="110"/>
        <v>0</v>
      </c>
      <c r="Y877">
        <f t="shared" si="106"/>
        <v>0</v>
      </c>
      <c r="Z877">
        <f t="shared" si="107"/>
        <v>0</v>
      </c>
    </row>
    <row r="878" spans="2:26">
      <c r="B878" t="str">
        <f t="shared" si="113"/>
        <v>BLUE</v>
      </c>
      <c r="C878" s="6">
        <f t="shared" si="108"/>
        <v>582</v>
      </c>
      <c r="I878">
        <f t="shared" si="109"/>
        <v>0</v>
      </c>
      <c r="N878" s="59">
        <f t="shared" si="111"/>
        <v>0</v>
      </c>
      <c r="O878" s="59">
        <f t="shared" si="112"/>
        <v>0</v>
      </c>
      <c r="T878">
        <f t="shared" si="110"/>
        <v>0</v>
      </c>
      <c r="Y878">
        <f t="shared" ref="Y878:Y928" si="114">SUM($U878:$X878)</f>
        <v>0</v>
      </c>
      <c r="Z878">
        <f t="shared" ref="Z878:Z928" si="115">SUM($T878,$Y878)</f>
        <v>0</v>
      </c>
    </row>
    <row r="879" spans="2:26">
      <c r="B879" t="str">
        <f t="shared" si="113"/>
        <v>BLUE</v>
      </c>
      <c r="C879" s="6">
        <f t="shared" si="108"/>
        <v>583</v>
      </c>
      <c r="I879">
        <f t="shared" si="109"/>
        <v>0</v>
      </c>
      <c r="N879" s="59">
        <f t="shared" si="111"/>
        <v>0</v>
      </c>
      <c r="O879" s="59">
        <f t="shared" si="112"/>
        <v>0</v>
      </c>
      <c r="T879">
        <f t="shared" si="110"/>
        <v>0</v>
      </c>
      <c r="Y879">
        <f t="shared" si="114"/>
        <v>0</v>
      </c>
      <c r="Z879">
        <f t="shared" si="115"/>
        <v>0</v>
      </c>
    </row>
    <row r="880" spans="2:26">
      <c r="B880" t="str">
        <f t="shared" si="113"/>
        <v>BLUE</v>
      </c>
      <c r="C880" s="6">
        <f t="shared" si="108"/>
        <v>584</v>
      </c>
      <c r="I880">
        <f t="shared" si="109"/>
        <v>0</v>
      </c>
      <c r="N880" s="59">
        <f t="shared" si="111"/>
        <v>0</v>
      </c>
      <c r="O880" s="59">
        <f t="shared" si="112"/>
        <v>0</v>
      </c>
      <c r="T880">
        <f t="shared" si="110"/>
        <v>0</v>
      </c>
      <c r="Y880">
        <f t="shared" si="114"/>
        <v>0</v>
      </c>
      <c r="Z880">
        <f t="shared" si="115"/>
        <v>0</v>
      </c>
    </row>
    <row r="881" spans="2:26">
      <c r="B881" t="str">
        <f t="shared" si="113"/>
        <v>BLUE</v>
      </c>
      <c r="C881" s="6">
        <f t="shared" si="108"/>
        <v>585</v>
      </c>
      <c r="I881">
        <f t="shared" si="109"/>
        <v>0</v>
      </c>
      <c r="N881" s="59">
        <f t="shared" si="111"/>
        <v>0</v>
      </c>
      <c r="O881" s="59">
        <f t="shared" si="112"/>
        <v>0</v>
      </c>
      <c r="T881">
        <f t="shared" si="110"/>
        <v>0</v>
      </c>
      <c r="Y881">
        <f t="shared" si="114"/>
        <v>0</v>
      </c>
      <c r="Z881">
        <f t="shared" si="115"/>
        <v>0</v>
      </c>
    </row>
    <row r="882" spans="2:26">
      <c r="B882" t="str">
        <f t="shared" si="113"/>
        <v>BLUE</v>
      </c>
      <c r="C882" s="6">
        <f t="shared" si="108"/>
        <v>586</v>
      </c>
      <c r="I882">
        <f t="shared" si="109"/>
        <v>0</v>
      </c>
      <c r="N882" s="59">
        <f t="shared" si="111"/>
        <v>0</v>
      </c>
      <c r="O882" s="59">
        <f t="shared" si="112"/>
        <v>0</v>
      </c>
      <c r="T882">
        <f t="shared" si="110"/>
        <v>0</v>
      </c>
      <c r="Y882">
        <f t="shared" si="114"/>
        <v>0</v>
      </c>
      <c r="Z882">
        <f t="shared" si="115"/>
        <v>0</v>
      </c>
    </row>
    <row r="883" spans="2:26">
      <c r="B883" t="str">
        <f t="shared" si="113"/>
        <v>BLUE</v>
      </c>
      <c r="C883" s="6">
        <f t="shared" si="108"/>
        <v>587</v>
      </c>
      <c r="I883">
        <f t="shared" si="109"/>
        <v>0</v>
      </c>
      <c r="N883" s="59">
        <f t="shared" si="111"/>
        <v>0</v>
      </c>
      <c r="O883" s="59">
        <f t="shared" si="112"/>
        <v>0</v>
      </c>
      <c r="T883">
        <f t="shared" si="110"/>
        <v>0</v>
      </c>
      <c r="Y883">
        <f t="shared" si="114"/>
        <v>0</v>
      </c>
      <c r="Z883">
        <f t="shared" si="115"/>
        <v>0</v>
      </c>
    </row>
    <row r="884" spans="2:26">
      <c r="B884" t="str">
        <f t="shared" si="113"/>
        <v>BLUE</v>
      </c>
      <c r="C884" s="6">
        <f t="shared" si="108"/>
        <v>588</v>
      </c>
      <c r="I884">
        <f t="shared" si="109"/>
        <v>0</v>
      </c>
      <c r="N884" s="59">
        <f t="shared" si="111"/>
        <v>0</v>
      </c>
      <c r="O884" s="59">
        <f t="shared" si="112"/>
        <v>0</v>
      </c>
      <c r="T884">
        <f t="shared" si="110"/>
        <v>0</v>
      </c>
      <c r="Y884">
        <f t="shared" si="114"/>
        <v>0</v>
      </c>
      <c r="Z884">
        <f t="shared" si="115"/>
        <v>0</v>
      </c>
    </row>
    <row r="885" spans="2:26">
      <c r="B885" t="str">
        <f t="shared" si="113"/>
        <v>BLUE</v>
      </c>
      <c r="C885" s="6">
        <f t="shared" ref="C885:C928" si="116">C884+1</f>
        <v>589</v>
      </c>
      <c r="I885">
        <f t="shared" si="109"/>
        <v>0</v>
      </c>
      <c r="N885" s="59">
        <f t="shared" si="111"/>
        <v>0</v>
      </c>
      <c r="O885" s="59">
        <f t="shared" si="112"/>
        <v>0</v>
      </c>
      <c r="T885">
        <f t="shared" si="110"/>
        <v>0</v>
      </c>
      <c r="Y885">
        <f t="shared" si="114"/>
        <v>0</v>
      </c>
      <c r="Z885">
        <f t="shared" si="115"/>
        <v>0</v>
      </c>
    </row>
    <row r="886" spans="2:26">
      <c r="B886" t="str">
        <f t="shared" si="113"/>
        <v>BLUE</v>
      </c>
      <c r="C886" s="6">
        <f t="shared" si="116"/>
        <v>590</v>
      </c>
      <c r="I886">
        <f t="shared" si="109"/>
        <v>0</v>
      </c>
      <c r="N886" s="59">
        <f t="shared" si="111"/>
        <v>0</v>
      </c>
      <c r="O886" s="59">
        <f t="shared" si="112"/>
        <v>0</v>
      </c>
      <c r="T886">
        <f t="shared" si="110"/>
        <v>0</v>
      </c>
      <c r="Y886">
        <f t="shared" si="114"/>
        <v>0</v>
      </c>
      <c r="Z886">
        <f t="shared" si="115"/>
        <v>0</v>
      </c>
    </row>
    <row r="887" spans="2:26">
      <c r="B887" t="str">
        <f t="shared" si="113"/>
        <v>BLUE</v>
      </c>
      <c r="C887" s="6">
        <f t="shared" si="116"/>
        <v>591</v>
      </c>
      <c r="I887">
        <f t="shared" si="109"/>
        <v>0</v>
      </c>
      <c r="N887" s="59">
        <f t="shared" si="111"/>
        <v>0</v>
      </c>
      <c r="O887" s="59">
        <f t="shared" si="112"/>
        <v>0</v>
      </c>
      <c r="T887">
        <f t="shared" si="110"/>
        <v>0</v>
      </c>
      <c r="Y887">
        <f t="shared" si="114"/>
        <v>0</v>
      </c>
      <c r="Z887">
        <f t="shared" si="115"/>
        <v>0</v>
      </c>
    </row>
    <row r="888" spans="2:26">
      <c r="B888" t="str">
        <f t="shared" si="113"/>
        <v>BLUE</v>
      </c>
      <c r="C888" s="6">
        <f t="shared" si="116"/>
        <v>592</v>
      </c>
      <c r="I888">
        <f t="shared" si="109"/>
        <v>0</v>
      </c>
      <c r="N888" s="59">
        <f t="shared" si="111"/>
        <v>0</v>
      </c>
      <c r="O888" s="59">
        <f t="shared" si="112"/>
        <v>0</v>
      </c>
      <c r="T888">
        <f t="shared" si="110"/>
        <v>0</v>
      </c>
      <c r="Y888">
        <f t="shared" si="114"/>
        <v>0</v>
      </c>
      <c r="Z888">
        <f t="shared" si="115"/>
        <v>0</v>
      </c>
    </row>
    <row r="889" spans="2:26">
      <c r="B889" t="str">
        <f t="shared" si="113"/>
        <v>BLUE</v>
      </c>
      <c r="C889" s="6">
        <f t="shared" si="116"/>
        <v>593</v>
      </c>
      <c r="I889">
        <f t="shared" si="109"/>
        <v>0</v>
      </c>
      <c r="N889" s="59">
        <f t="shared" si="111"/>
        <v>0</v>
      </c>
      <c r="O889" s="59">
        <f t="shared" si="112"/>
        <v>0</v>
      </c>
      <c r="T889">
        <f t="shared" si="110"/>
        <v>0</v>
      </c>
      <c r="Y889">
        <f t="shared" si="114"/>
        <v>0</v>
      </c>
      <c r="Z889">
        <f t="shared" si="115"/>
        <v>0</v>
      </c>
    </row>
    <row r="890" spans="2:26">
      <c r="B890" t="str">
        <f t="shared" si="113"/>
        <v>BLUE</v>
      </c>
      <c r="C890" s="6">
        <f t="shared" si="116"/>
        <v>594</v>
      </c>
      <c r="I890">
        <f t="shared" si="109"/>
        <v>0</v>
      </c>
      <c r="N890" s="59">
        <f t="shared" si="111"/>
        <v>0</v>
      </c>
      <c r="O890" s="59">
        <f t="shared" si="112"/>
        <v>0</v>
      </c>
      <c r="T890">
        <f t="shared" si="110"/>
        <v>0</v>
      </c>
      <c r="Y890">
        <f t="shared" si="114"/>
        <v>0</v>
      </c>
      <c r="Z890">
        <f t="shared" si="115"/>
        <v>0</v>
      </c>
    </row>
    <row r="891" spans="2:26">
      <c r="B891" t="str">
        <f t="shared" si="113"/>
        <v>BLUE</v>
      </c>
      <c r="C891" s="6">
        <f t="shared" si="116"/>
        <v>595</v>
      </c>
      <c r="I891">
        <f t="shared" si="109"/>
        <v>0</v>
      </c>
      <c r="N891" s="59">
        <f t="shared" si="111"/>
        <v>0</v>
      </c>
      <c r="O891" s="59">
        <f t="shared" si="112"/>
        <v>0</v>
      </c>
      <c r="T891">
        <f t="shared" si="110"/>
        <v>0</v>
      </c>
      <c r="Y891">
        <f t="shared" si="114"/>
        <v>0</v>
      </c>
      <c r="Z891">
        <f t="shared" si="115"/>
        <v>0</v>
      </c>
    </row>
    <row r="892" spans="2:26">
      <c r="B892" t="str">
        <f t="shared" si="113"/>
        <v>BLUE</v>
      </c>
      <c r="C892" s="6">
        <f t="shared" si="116"/>
        <v>596</v>
      </c>
      <c r="I892">
        <f t="shared" si="109"/>
        <v>0</v>
      </c>
      <c r="N892" s="59">
        <f t="shared" si="111"/>
        <v>0</v>
      </c>
      <c r="O892" s="59">
        <f t="shared" si="112"/>
        <v>0</v>
      </c>
      <c r="T892">
        <f t="shared" si="110"/>
        <v>0</v>
      </c>
      <c r="Y892">
        <f t="shared" si="114"/>
        <v>0</v>
      </c>
      <c r="Z892">
        <f t="shared" si="115"/>
        <v>0</v>
      </c>
    </row>
    <row r="893" spans="2:26">
      <c r="B893" t="str">
        <f t="shared" si="113"/>
        <v>BLUE</v>
      </c>
      <c r="C893" s="6">
        <f t="shared" si="116"/>
        <v>597</v>
      </c>
      <c r="I893">
        <f t="shared" si="109"/>
        <v>0</v>
      </c>
      <c r="N893" s="59">
        <f t="shared" si="111"/>
        <v>0</v>
      </c>
      <c r="O893" s="59">
        <f t="shared" si="112"/>
        <v>0</v>
      </c>
      <c r="T893">
        <f t="shared" si="110"/>
        <v>0</v>
      </c>
      <c r="Y893">
        <f t="shared" si="114"/>
        <v>0</v>
      </c>
      <c r="Z893">
        <f t="shared" si="115"/>
        <v>0</v>
      </c>
    </row>
    <row r="894" spans="2:26">
      <c r="B894" t="str">
        <f t="shared" si="113"/>
        <v>BLUE</v>
      </c>
      <c r="C894" s="6">
        <f t="shared" si="116"/>
        <v>598</v>
      </c>
      <c r="I894">
        <f t="shared" ref="I894:I928" si="117">SUM($E894:$H894)</f>
        <v>0</v>
      </c>
      <c r="N894" s="59">
        <f t="shared" si="111"/>
        <v>0</v>
      </c>
      <c r="O894" s="59">
        <f t="shared" si="112"/>
        <v>0</v>
      </c>
      <c r="T894">
        <f t="shared" ref="T894:T927" si="118">SUM($P894:$S894)</f>
        <v>0</v>
      </c>
      <c r="Y894">
        <f t="shared" si="114"/>
        <v>0</v>
      </c>
      <c r="Z894">
        <f t="shared" si="115"/>
        <v>0</v>
      </c>
    </row>
    <row r="895" spans="2:26">
      <c r="B895" t="str">
        <f t="shared" si="113"/>
        <v>BLUE</v>
      </c>
      <c r="C895" s="6">
        <f t="shared" si="116"/>
        <v>599</v>
      </c>
      <c r="I895">
        <f t="shared" si="117"/>
        <v>0</v>
      </c>
      <c r="N895" s="59">
        <f t="shared" si="111"/>
        <v>0</v>
      </c>
      <c r="O895" s="59">
        <f t="shared" si="112"/>
        <v>0</v>
      </c>
      <c r="T895">
        <f t="shared" si="118"/>
        <v>0</v>
      </c>
      <c r="Y895">
        <f t="shared" si="114"/>
        <v>0</v>
      </c>
      <c r="Z895">
        <f t="shared" si="115"/>
        <v>0</v>
      </c>
    </row>
    <row r="896" spans="2:26">
      <c r="B896" t="str">
        <f t="shared" si="113"/>
        <v>BLUE</v>
      </c>
      <c r="C896" s="6">
        <f t="shared" si="116"/>
        <v>600</v>
      </c>
      <c r="I896">
        <f t="shared" si="117"/>
        <v>0</v>
      </c>
      <c r="N896" s="59">
        <f t="shared" si="111"/>
        <v>0</v>
      </c>
      <c r="O896" s="59">
        <f t="shared" si="112"/>
        <v>0</v>
      </c>
      <c r="T896">
        <f t="shared" si="118"/>
        <v>0</v>
      </c>
      <c r="Y896">
        <f t="shared" si="114"/>
        <v>0</v>
      </c>
      <c r="Z896">
        <f t="shared" si="115"/>
        <v>0</v>
      </c>
    </row>
    <row r="897" spans="2:26">
      <c r="B897" t="str">
        <f t="shared" si="113"/>
        <v>BLUE</v>
      </c>
      <c r="C897" s="6">
        <f t="shared" si="116"/>
        <v>601</v>
      </c>
      <c r="I897">
        <f t="shared" si="117"/>
        <v>0</v>
      </c>
      <c r="N897" s="59">
        <f t="shared" si="111"/>
        <v>0</v>
      </c>
      <c r="O897" s="59">
        <f t="shared" si="112"/>
        <v>0</v>
      </c>
      <c r="T897">
        <f t="shared" si="118"/>
        <v>0</v>
      </c>
      <c r="Y897">
        <f t="shared" si="114"/>
        <v>0</v>
      </c>
      <c r="Z897">
        <f t="shared" si="115"/>
        <v>0</v>
      </c>
    </row>
    <row r="898" spans="2:26">
      <c r="B898" t="str">
        <f t="shared" si="113"/>
        <v>BLUE</v>
      </c>
      <c r="C898" s="6">
        <f t="shared" si="116"/>
        <v>602</v>
      </c>
      <c r="I898">
        <f t="shared" si="117"/>
        <v>0</v>
      </c>
      <c r="N898" s="59">
        <f t="shared" si="111"/>
        <v>0</v>
      </c>
      <c r="O898" s="59">
        <f t="shared" si="112"/>
        <v>0</v>
      </c>
      <c r="T898">
        <f t="shared" si="118"/>
        <v>0</v>
      </c>
      <c r="Y898">
        <f t="shared" si="114"/>
        <v>0</v>
      </c>
      <c r="Z898">
        <f t="shared" si="115"/>
        <v>0</v>
      </c>
    </row>
    <row r="899" spans="2:26">
      <c r="B899" t="str">
        <f t="shared" si="113"/>
        <v>BLUE</v>
      </c>
      <c r="C899" s="6">
        <f t="shared" si="116"/>
        <v>603</v>
      </c>
      <c r="I899">
        <f t="shared" si="117"/>
        <v>0</v>
      </c>
      <c r="N899" s="59">
        <f t="shared" si="111"/>
        <v>0</v>
      </c>
      <c r="O899" s="59">
        <f t="shared" si="112"/>
        <v>0</v>
      </c>
      <c r="T899">
        <f t="shared" si="118"/>
        <v>0</v>
      </c>
      <c r="Y899">
        <f t="shared" si="114"/>
        <v>0</v>
      </c>
      <c r="Z899">
        <f t="shared" si="115"/>
        <v>0</v>
      </c>
    </row>
    <row r="900" spans="2:26">
      <c r="B900" t="str">
        <f t="shared" si="113"/>
        <v>BLUE</v>
      </c>
      <c r="C900" s="6">
        <f t="shared" si="116"/>
        <v>604</v>
      </c>
      <c r="I900">
        <f t="shared" si="117"/>
        <v>0</v>
      </c>
      <c r="N900" s="59">
        <f t="shared" si="111"/>
        <v>0</v>
      </c>
      <c r="O900" s="59">
        <f t="shared" si="112"/>
        <v>0</v>
      </c>
      <c r="T900">
        <f t="shared" si="118"/>
        <v>0</v>
      </c>
      <c r="Y900">
        <f t="shared" si="114"/>
        <v>0</v>
      </c>
      <c r="Z900">
        <f t="shared" si="115"/>
        <v>0</v>
      </c>
    </row>
    <row r="901" spans="2:26">
      <c r="B901" t="str">
        <f t="shared" si="113"/>
        <v>BLUE</v>
      </c>
      <c r="C901" s="6">
        <f t="shared" si="116"/>
        <v>605</v>
      </c>
      <c r="I901">
        <f t="shared" si="117"/>
        <v>0</v>
      </c>
      <c r="N901" s="59">
        <f t="shared" si="111"/>
        <v>0</v>
      </c>
      <c r="O901" s="59">
        <f t="shared" si="112"/>
        <v>0</v>
      </c>
      <c r="T901">
        <f t="shared" si="118"/>
        <v>0</v>
      </c>
      <c r="Y901">
        <f t="shared" si="114"/>
        <v>0</v>
      </c>
      <c r="Z901">
        <f t="shared" si="115"/>
        <v>0</v>
      </c>
    </row>
    <row r="902" spans="2:26">
      <c r="B902" t="str">
        <f t="shared" si="113"/>
        <v>BLUE</v>
      </c>
      <c r="C902" s="6">
        <f t="shared" si="116"/>
        <v>606</v>
      </c>
      <c r="I902">
        <f t="shared" si="117"/>
        <v>0</v>
      </c>
      <c r="N902" s="59">
        <f t="shared" si="111"/>
        <v>0</v>
      </c>
      <c r="O902" s="59">
        <f t="shared" si="112"/>
        <v>0</v>
      </c>
      <c r="T902">
        <f t="shared" si="118"/>
        <v>0</v>
      </c>
      <c r="Y902">
        <f t="shared" si="114"/>
        <v>0</v>
      </c>
      <c r="Z902">
        <f t="shared" si="115"/>
        <v>0</v>
      </c>
    </row>
    <row r="903" spans="2:26">
      <c r="B903" t="str">
        <f t="shared" si="113"/>
        <v>BLUE</v>
      </c>
      <c r="C903" s="6">
        <f t="shared" si="116"/>
        <v>607</v>
      </c>
      <c r="I903">
        <f t="shared" si="117"/>
        <v>0</v>
      </c>
      <c r="N903" s="59">
        <f t="shared" si="111"/>
        <v>0</v>
      </c>
      <c r="O903" s="59">
        <f t="shared" si="112"/>
        <v>0</v>
      </c>
      <c r="T903">
        <f t="shared" si="118"/>
        <v>0</v>
      </c>
      <c r="Y903">
        <f t="shared" si="114"/>
        <v>0</v>
      </c>
      <c r="Z903">
        <f t="shared" si="115"/>
        <v>0</v>
      </c>
    </row>
    <row r="904" spans="2:26">
      <c r="B904" t="str">
        <f t="shared" si="113"/>
        <v>BLUE</v>
      </c>
      <c r="C904" s="6">
        <f t="shared" si="116"/>
        <v>608</v>
      </c>
      <c r="I904">
        <f t="shared" si="117"/>
        <v>0</v>
      </c>
      <c r="N904" s="59">
        <f t="shared" si="111"/>
        <v>0</v>
      </c>
      <c r="O904" s="59">
        <f t="shared" si="112"/>
        <v>0</v>
      </c>
      <c r="T904">
        <f t="shared" si="118"/>
        <v>0</v>
      </c>
      <c r="Y904">
        <f t="shared" si="114"/>
        <v>0</v>
      </c>
      <c r="Z904">
        <f t="shared" si="115"/>
        <v>0</v>
      </c>
    </row>
    <row r="905" spans="2:26">
      <c r="B905" t="str">
        <f t="shared" si="113"/>
        <v>BLUE</v>
      </c>
      <c r="C905" s="6">
        <f t="shared" si="116"/>
        <v>609</v>
      </c>
      <c r="I905">
        <f t="shared" si="117"/>
        <v>0</v>
      </c>
      <c r="N905" s="59">
        <f t="shared" ref="N905:N928" si="119">SUM($J905:$M905)</f>
        <v>0</v>
      </c>
      <c r="O905" s="59">
        <f t="shared" ref="O905:O928" si="120">SUM($I905, $N905)</f>
        <v>0</v>
      </c>
      <c r="T905">
        <f t="shared" si="118"/>
        <v>0</v>
      </c>
      <c r="Y905">
        <f t="shared" si="114"/>
        <v>0</v>
      </c>
      <c r="Z905">
        <f t="shared" si="115"/>
        <v>0</v>
      </c>
    </row>
    <row r="906" spans="2:26">
      <c r="B906" t="str">
        <f t="shared" si="113"/>
        <v>BLUE</v>
      </c>
      <c r="C906" s="6">
        <f t="shared" si="116"/>
        <v>610</v>
      </c>
      <c r="I906">
        <f t="shared" si="117"/>
        <v>0</v>
      </c>
      <c r="N906" s="59">
        <f t="shared" si="119"/>
        <v>0</v>
      </c>
      <c r="O906" s="59">
        <f t="shared" si="120"/>
        <v>0</v>
      </c>
      <c r="T906">
        <f t="shared" si="118"/>
        <v>0</v>
      </c>
      <c r="Y906">
        <f t="shared" si="114"/>
        <v>0</v>
      </c>
      <c r="Z906">
        <f t="shared" si="115"/>
        <v>0</v>
      </c>
    </row>
    <row r="907" spans="2:26">
      <c r="B907" t="str">
        <f t="shared" si="113"/>
        <v>BLUE</v>
      </c>
      <c r="C907" s="6">
        <f t="shared" si="116"/>
        <v>611</v>
      </c>
      <c r="I907">
        <f t="shared" si="117"/>
        <v>0</v>
      </c>
      <c r="N907" s="59">
        <f t="shared" si="119"/>
        <v>0</v>
      </c>
      <c r="O907" s="59">
        <f t="shared" si="120"/>
        <v>0</v>
      </c>
      <c r="T907">
        <f t="shared" si="118"/>
        <v>0</v>
      </c>
      <c r="Y907">
        <f t="shared" si="114"/>
        <v>0</v>
      </c>
      <c r="Z907">
        <f t="shared" si="115"/>
        <v>0</v>
      </c>
    </row>
    <row r="908" spans="2:26">
      <c r="B908" t="str">
        <f t="shared" si="113"/>
        <v>BLUE</v>
      </c>
      <c r="C908" s="6">
        <f t="shared" si="116"/>
        <v>612</v>
      </c>
      <c r="I908">
        <f t="shared" si="117"/>
        <v>0</v>
      </c>
      <c r="N908" s="59">
        <f t="shared" si="119"/>
        <v>0</v>
      </c>
      <c r="O908" s="59">
        <f t="shared" si="120"/>
        <v>0</v>
      </c>
      <c r="T908">
        <f t="shared" si="118"/>
        <v>0</v>
      </c>
      <c r="Y908">
        <f t="shared" si="114"/>
        <v>0</v>
      </c>
      <c r="Z908">
        <f t="shared" si="115"/>
        <v>0</v>
      </c>
    </row>
    <row r="909" spans="2:26">
      <c r="B909" t="str">
        <f t="shared" si="113"/>
        <v>BLUE</v>
      </c>
      <c r="C909" s="6">
        <f t="shared" si="116"/>
        <v>613</v>
      </c>
      <c r="I909">
        <f t="shared" si="117"/>
        <v>0</v>
      </c>
      <c r="N909" s="59">
        <f t="shared" si="119"/>
        <v>0</v>
      </c>
      <c r="O909" s="59">
        <f t="shared" si="120"/>
        <v>0</v>
      </c>
      <c r="T909">
        <f t="shared" si="118"/>
        <v>0</v>
      </c>
      <c r="Y909">
        <f t="shared" si="114"/>
        <v>0</v>
      </c>
      <c r="Z909">
        <f t="shared" si="115"/>
        <v>0</v>
      </c>
    </row>
    <row r="910" spans="2:26">
      <c r="B910" t="str">
        <f t="shared" si="113"/>
        <v>BLUE</v>
      </c>
      <c r="C910" s="6">
        <f t="shared" si="116"/>
        <v>614</v>
      </c>
      <c r="I910">
        <f t="shared" si="117"/>
        <v>0</v>
      </c>
      <c r="N910" s="59">
        <f t="shared" si="119"/>
        <v>0</v>
      </c>
      <c r="O910" s="59">
        <f t="shared" si="120"/>
        <v>0</v>
      </c>
      <c r="T910">
        <f t="shared" si="118"/>
        <v>0</v>
      </c>
      <c r="Y910">
        <f t="shared" si="114"/>
        <v>0</v>
      </c>
      <c r="Z910">
        <f t="shared" si="115"/>
        <v>0</v>
      </c>
    </row>
    <row r="911" spans="2:26">
      <c r="B911" t="str">
        <f t="shared" si="113"/>
        <v>BLUE</v>
      </c>
      <c r="C911" s="6">
        <f t="shared" si="116"/>
        <v>615</v>
      </c>
      <c r="I911">
        <f t="shared" si="117"/>
        <v>0</v>
      </c>
      <c r="N911" s="59">
        <f t="shared" si="119"/>
        <v>0</v>
      </c>
      <c r="O911" s="59">
        <f t="shared" si="120"/>
        <v>0</v>
      </c>
      <c r="T911">
        <f t="shared" si="118"/>
        <v>0</v>
      </c>
      <c r="Y911">
        <f t="shared" si="114"/>
        <v>0</v>
      </c>
      <c r="Z911">
        <f t="shared" si="115"/>
        <v>0</v>
      </c>
    </row>
    <row r="912" spans="2:26">
      <c r="B912" t="str">
        <f t="shared" si="113"/>
        <v>BLUE</v>
      </c>
      <c r="C912" s="6">
        <f t="shared" si="116"/>
        <v>616</v>
      </c>
      <c r="I912">
        <f t="shared" si="117"/>
        <v>0</v>
      </c>
      <c r="N912" s="59">
        <f t="shared" si="119"/>
        <v>0</v>
      </c>
      <c r="O912" s="59">
        <f t="shared" si="120"/>
        <v>0</v>
      </c>
      <c r="T912">
        <f t="shared" si="118"/>
        <v>0</v>
      </c>
      <c r="Y912">
        <f t="shared" si="114"/>
        <v>0</v>
      </c>
      <c r="Z912">
        <f t="shared" si="115"/>
        <v>0</v>
      </c>
    </row>
    <row r="913" spans="2:26">
      <c r="B913" t="str">
        <f t="shared" si="113"/>
        <v>BLUE</v>
      </c>
      <c r="C913" s="6">
        <f t="shared" si="116"/>
        <v>617</v>
      </c>
      <c r="I913">
        <f t="shared" si="117"/>
        <v>0</v>
      </c>
      <c r="N913" s="59">
        <f t="shared" si="119"/>
        <v>0</v>
      </c>
      <c r="O913" s="59">
        <f t="shared" si="120"/>
        <v>0</v>
      </c>
      <c r="T913">
        <f t="shared" si="118"/>
        <v>0</v>
      </c>
      <c r="Y913">
        <f t="shared" si="114"/>
        <v>0</v>
      </c>
      <c r="Z913">
        <f t="shared" si="115"/>
        <v>0</v>
      </c>
    </row>
    <row r="914" spans="2:26">
      <c r="B914" t="str">
        <f t="shared" si="113"/>
        <v>BLUE</v>
      </c>
      <c r="C914" s="6">
        <f t="shared" si="116"/>
        <v>618</v>
      </c>
      <c r="I914">
        <f t="shared" si="117"/>
        <v>0</v>
      </c>
      <c r="N914" s="59">
        <f t="shared" si="119"/>
        <v>0</v>
      </c>
      <c r="O914" s="59">
        <f t="shared" si="120"/>
        <v>0</v>
      </c>
      <c r="T914">
        <f t="shared" si="118"/>
        <v>0</v>
      </c>
      <c r="Y914">
        <f t="shared" si="114"/>
        <v>0</v>
      </c>
      <c r="Z914">
        <f t="shared" si="115"/>
        <v>0</v>
      </c>
    </row>
    <row r="915" spans="2:26">
      <c r="B915" t="str">
        <f t="shared" ref="B915:B928" si="121">B914</f>
        <v>BLUE</v>
      </c>
      <c r="C915" s="6">
        <f t="shared" si="116"/>
        <v>619</v>
      </c>
      <c r="I915">
        <f t="shared" si="117"/>
        <v>0</v>
      </c>
      <c r="N915" s="59">
        <f t="shared" si="119"/>
        <v>0</v>
      </c>
      <c r="O915" s="59">
        <f t="shared" si="120"/>
        <v>0</v>
      </c>
      <c r="T915">
        <f t="shared" si="118"/>
        <v>0</v>
      </c>
      <c r="Y915">
        <f t="shared" si="114"/>
        <v>0</v>
      </c>
      <c r="Z915">
        <f t="shared" si="115"/>
        <v>0</v>
      </c>
    </row>
    <row r="916" spans="2:26">
      <c r="B916" t="str">
        <f t="shared" si="121"/>
        <v>BLUE</v>
      </c>
      <c r="C916" s="6">
        <f t="shared" si="116"/>
        <v>620</v>
      </c>
      <c r="I916">
        <f t="shared" si="117"/>
        <v>0</v>
      </c>
      <c r="N916" s="59">
        <f t="shared" si="119"/>
        <v>0</v>
      </c>
      <c r="O916" s="59">
        <f t="shared" si="120"/>
        <v>0</v>
      </c>
      <c r="T916">
        <f t="shared" si="118"/>
        <v>0</v>
      </c>
      <c r="Y916">
        <f t="shared" si="114"/>
        <v>0</v>
      </c>
      <c r="Z916">
        <f t="shared" si="115"/>
        <v>0</v>
      </c>
    </row>
    <row r="917" spans="2:26">
      <c r="B917" t="str">
        <f t="shared" si="121"/>
        <v>BLUE</v>
      </c>
      <c r="C917" s="6">
        <f t="shared" si="116"/>
        <v>621</v>
      </c>
      <c r="I917">
        <f t="shared" si="117"/>
        <v>0</v>
      </c>
      <c r="N917" s="59">
        <f t="shared" si="119"/>
        <v>0</v>
      </c>
      <c r="O917" s="59">
        <f t="shared" si="120"/>
        <v>0</v>
      </c>
      <c r="T917">
        <f t="shared" si="118"/>
        <v>0</v>
      </c>
      <c r="Y917">
        <f t="shared" si="114"/>
        <v>0</v>
      </c>
      <c r="Z917">
        <f t="shared" si="115"/>
        <v>0</v>
      </c>
    </row>
    <row r="918" spans="2:26">
      <c r="B918" t="str">
        <f t="shared" si="121"/>
        <v>BLUE</v>
      </c>
      <c r="C918" s="6">
        <f t="shared" si="116"/>
        <v>622</v>
      </c>
      <c r="I918">
        <f t="shared" si="117"/>
        <v>0</v>
      </c>
      <c r="N918" s="59">
        <f t="shared" si="119"/>
        <v>0</v>
      </c>
      <c r="O918" s="59">
        <f t="shared" si="120"/>
        <v>0</v>
      </c>
      <c r="T918">
        <f t="shared" si="118"/>
        <v>0</v>
      </c>
      <c r="Y918">
        <f t="shared" si="114"/>
        <v>0</v>
      </c>
      <c r="Z918">
        <f t="shared" si="115"/>
        <v>0</v>
      </c>
    </row>
    <row r="919" spans="2:26">
      <c r="B919" t="str">
        <f t="shared" si="121"/>
        <v>BLUE</v>
      </c>
      <c r="C919" s="6">
        <f t="shared" si="116"/>
        <v>623</v>
      </c>
      <c r="I919">
        <f t="shared" si="117"/>
        <v>0</v>
      </c>
      <c r="N919" s="59">
        <f t="shared" si="119"/>
        <v>0</v>
      </c>
      <c r="O919" s="59">
        <f t="shared" si="120"/>
        <v>0</v>
      </c>
      <c r="T919">
        <f t="shared" si="118"/>
        <v>0</v>
      </c>
      <c r="Y919">
        <f t="shared" si="114"/>
        <v>0</v>
      </c>
      <c r="Z919">
        <f t="shared" si="115"/>
        <v>0</v>
      </c>
    </row>
    <row r="920" spans="2:26">
      <c r="B920" t="str">
        <f t="shared" si="121"/>
        <v>BLUE</v>
      </c>
      <c r="C920" s="6">
        <f t="shared" si="116"/>
        <v>624</v>
      </c>
      <c r="I920">
        <f t="shared" si="117"/>
        <v>0</v>
      </c>
      <c r="N920" s="59">
        <f t="shared" si="119"/>
        <v>0</v>
      </c>
      <c r="O920" s="59">
        <f t="shared" si="120"/>
        <v>0</v>
      </c>
      <c r="T920">
        <f t="shared" si="118"/>
        <v>0</v>
      </c>
      <c r="Y920">
        <f t="shared" si="114"/>
        <v>0</v>
      </c>
      <c r="Z920">
        <f t="shared" si="115"/>
        <v>0</v>
      </c>
    </row>
    <row r="921" spans="2:26">
      <c r="B921" t="str">
        <f t="shared" si="121"/>
        <v>BLUE</v>
      </c>
      <c r="C921" s="6">
        <f t="shared" si="116"/>
        <v>625</v>
      </c>
      <c r="I921">
        <f t="shared" si="117"/>
        <v>0</v>
      </c>
      <c r="N921" s="59">
        <f t="shared" si="119"/>
        <v>0</v>
      </c>
      <c r="O921" s="59">
        <f t="shared" si="120"/>
        <v>0</v>
      </c>
      <c r="T921">
        <f t="shared" si="118"/>
        <v>0</v>
      </c>
      <c r="Y921">
        <f t="shared" si="114"/>
        <v>0</v>
      </c>
      <c r="Z921">
        <f t="shared" si="115"/>
        <v>0</v>
      </c>
    </row>
    <row r="922" spans="2:26">
      <c r="B922" t="str">
        <f t="shared" si="121"/>
        <v>BLUE</v>
      </c>
      <c r="C922" s="6">
        <f t="shared" si="116"/>
        <v>626</v>
      </c>
      <c r="I922">
        <f t="shared" si="117"/>
        <v>0</v>
      </c>
      <c r="N922" s="59">
        <f t="shared" si="119"/>
        <v>0</v>
      </c>
      <c r="O922" s="59">
        <f t="shared" si="120"/>
        <v>0</v>
      </c>
      <c r="T922">
        <f t="shared" si="118"/>
        <v>0</v>
      </c>
      <c r="Y922">
        <f t="shared" si="114"/>
        <v>0</v>
      </c>
      <c r="Z922">
        <f t="shared" si="115"/>
        <v>0</v>
      </c>
    </row>
    <row r="923" spans="2:26">
      <c r="B923" t="str">
        <f t="shared" si="121"/>
        <v>BLUE</v>
      </c>
      <c r="C923" s="6">
        <f t="shared" si="116"/>
        <v>627</v>
      </c>
      <c r="I923">
        <f t="shared" si="117"/>
        <v>0</v>
      </c>
      <c r="N923" s="59">
        <f t="shared" si="119"/>
        <v>0</v>
      </c>
      <c r="O923" s="59">
        <f t="shared" si="120"/>
        <v>0</v>
      </c>
      <c r="T923">
        <f t="shared" si="118"/>
        <v>0</v>
      </c>
      <c r="Y923">
        <f t="shared" si="114"/>
        <v>0</v>
      </c>
      <c r="Z923">
        <f t="shared" si="115"/>
        <v>0</v>
      </c>
    </row>
    <row r="924" spans="2:26">
      <c r="B924" t="str">
        <f t="shared" si="121"/>
        <v>BLUE</v>
      </c>
      <c r="C924" s="6">
        <f t="shared" si="116"/>
        <v>628</v>
      </c>
      <c r="I924">
        <f t="shared" si="117"/>
        <v>0</v>
      </c>
      <c r="N924" s="59">
        <f t="shared" si="119"/>
        <v>0</v>
      </c>
      <c r="O924" s="59">
        <f t="shared" si="120"/>
        <v>0</v>
      </c>
      <c r="T924">
        <f t="shared" si="118"/>
        <v>0</v>
      </c>
      <c r="Y924">
        <f t="shared" si="114"/>
        <v>0</v>
      </c>
      <c r="Z924">
        <f t="shared" si="115"/>
        <v>0</v>
      </c>
    </row>
    <row r="925" spans="2:26">
      <c r="B925" t="str">
        <f t="shared" si="121"/>
        <v>BLUE</v>
      </c>
      <c r="C925" s="6">
        <f t="shared" si="116"/>
        <v>629</v>
      </c>
      <c r="I925">
        <f t="shared" si="117"/>
        <v>0</v>
      </c>
      <c r="N925" s="59">
        <f t="shared" si="119"/>
        <v>0</v>
      </c>
      <c r="O925" s="59">
        <f t="shared" si="120"/>
        <v>0</v>
      </c>
      <c r="T925">
        <f t="shared" si="118"/>
        <v>0</v>
      </c>
      <c r="Y925">
        <f t="shared" si="114"/>
        <v>0</v>
      </c>
      <c r="Z925">
        <f t="shared" si="115"/>
        <v>0</v>
      </c>
    </row>
    <row r="926" spans="2:26">
      <c r="B926" t="str">
        <f t="shared" si="121"/>
        <v>BLUE</v>
      </c>
      <c r="C926" s="6">
        <f t="shared" si="116"/>
        <v>630</v>
      </c>
      <c r="I926">
        <f t="shared" si="117"/>
        <v>0</v>
      </c>
      <c r="N926" s="59">
        <f t="shared" si="119"/>
        <v>0</v>
      </c>
      <c r="O926" s="59">
        <f t="shared" si="120"/>
        <v>0</v>
      </c>
      <c r="T926">
        <f t="shared" si="118"/>
        <v>0</v>
      </c>
      <c r="Y926">
        <f t="shared" si="114"/>
        <v>0</v>
      </c>
      <c r="Z926">
        <f t="shared" si="115"/>
        <v>0</v>
      </c>
    </row>
    <row r="927" spans="2:26">
      <c r="B927" t="str">
        <f t="shared" si="121"/>
        <v>BLUE</v>
      </c>
      <c r="C927" s="6">
        <f t="shared" si="116"/>
        <v>631</v>
      </c>
      <c r="I927">
        <f t="shared" si="117"/>
        <v>0</v>
      </c>
      <c r="N927" s="59">
        <f t="shared" si="119"/>
        <v>0</v>
      </c>
      <c r="O927" s="59">
        <f t="shared" si="120"/>
        <v>0</v>
      </c>
      <c r="T927">
        <f t="shared" si="118"/>
        <v>0</v>
      </c>
      <c r="Y927">
        <f t="shared" si="114"/>
        <v>0</v>
      </c>
      <c r="Z927">
        <f t="shared" si="115"/>
        <v>0</v>
      </c>
    </row>
    <row r="928" spans="2:26">
      <c r="B928" t="str">
        <f t="shared" si="121"/>
        <v>BLUE</v>
      </c>
      <c r="C928" s="6">
        <f t="shared" si="116"/>
        <v>632</v>
      </c>
      <c r="I928">
        <f t="shared" si="117"/>
        <v>0</v>
      </c>
      <c r="N928" s="59">
        <f t="shared" si="119"/>
        <v>0</v>
      </c>
      <c r="O928" s="59">
        <f t="shared" si="120"/>
        <v>0</v>
      </c>
      <c r="T928">
        <f>SUM($P928:$S928)</f>
        <v>0</v>
      </c>
      <c r="Y928">
        <f t="shared" si="114"/>
        <v>0</v>
      </c>
      <c r="Z928">
        <f t="shared" si="115"/>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A2:AJ928">
    <cfRule type="containsBlanks" dxfId="63" priority="3">
      <formula>LEN(TRIM(A2))=0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8">
        <x14:dataValidation type="list" allowBlank="1" showInputMessage="1" showErrorMessage="1" xr:uid="{E1732A36-0770-4B0B-A0CD-0C0D139C49C1}">
          <x14:formula1>
            <xm:f>'Data Validation'!$B$5:$B$6</xm:f>
          </x14:formula1>
          <xm:sqref>B1:B1048576</xm:sqref>
        </x14:dataValidation>
        <x14:dataValidation type="list" allowBlank="1" showInputMessage="1" showErrorMessage="1" xr:uid="{55CB6D0E-E27B-2145-8ECF-55263ED3F0C7}">
          <x14:formula1>
            <xm:f>'Data Validation'!$E$5:$E$13</xm:f>
          </x14:formula1>
          <xm:sqref>U1:U1048576 P1:P1048576 J1:J1048576 E1:E1048576</xm:sqref>
        </x14:dataValidation>
        <x14:dataValidation type="list" allowBlank="1" showInputMessage="1" showErrorMessage="1" xr:uid="{17E9121C-9DFC-F748-B4FE-8C8F70AAEBD0}">
          <x14:formula1>
            <xm:f>'Data Validation'!$F$5:$F$9</xm:f>
          </x14:formula1>
          <xm:sqref>Q1:T1048576 V1:X1048576 K1:M1048576 F1:H1048576</xm:sqref>
        </x14:dataValidation>
        <x14:dataValidation type="list" allowBlank="1" showInputMessage="1" showErrorMessage="1" xr:uid="{32869995-F878-4441-A774-CA1AAB92813D}">
          <x14:formula1>
            <xm:f>'Data Validation'!$V$5:$V$8</xm:f>
          </x14:formula1>
          <xm:sqref>AB1:AC1048576</xm:sqref>
        </x14:dataValidation>
        <x14:dataValidation type="list" allowBlank="1" showInputMessage="1" showErrorMessage="1" xr:uid="{3F0FAD72-08A0-1448-A492-98C133C1CEA5}">
          <x14:formula1>
            <xm:f>'Data Validation'!$A$5:$A$44</xm:f>
          </x14:formula1>
          <xm:sqref>A1:A1048576</xm:sqref>
        </x14:dataValidation>
        <x14:dataValidation type="list" allowBlank="1" showInputMessage="1" showErrorMessage="1" xr:uid="{198B3A1C-3CB9-A541-95A0-D5DA6426257D}">
          <x14:formula1>
            <xm:f>'Data Validation'!$D$5:$D$7</xm:f>
          </x14:formula1>
          <xm:sqref>D1:D1048576</xm:sqref>
        </x14:dataValidation>
        <x14:dataValidation type="list" allowBlank="1" showInputMessage="1" showErrorMessage="1" xr:uid="{2812587F-C983-B94C-82B1-9FC27BCF54B0}">
          <x14:formula1>
            <xm:f>'Data Validation'!$Y$5:$Y$6</xm:f>
          </x14:formula1>
          <xm:sqref>AD1:AE1048576</xm:sqref>
        </x14:dataValidation>
        <x14:dataValidation type="list" allowBlank="1" showInputMessage="1" showErrorMessage="1" xr:uid="{AC5EA06F-30B6-AD47-9A15-571DA7D6667D}">
          <x14:formula1>
            <xm:f>'Data Validation'!$X$5:$X$6</xm:f>
          </x14:formula1>
          <xm:sqref>AF1:AF1048576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B4" sqref="B4"/>
    </sheetView>
  </sheetViews>
  <sheetFormatPr defaultColWidth="8.85546875" defaultRowHeight="15"/>
  <cols>
    <col min="1" max="1" width="13.28515625" customWidth="1"/>
    <col min="2" max="2" width="15.28515625" customWidth="1"/>
    <col min="3" max="3" width="33.140625" customWidth="1"/>
    <col min="4" max="4" width="25.5703125" customWidth="1"/>
    <col min="5" max="5" width="30.140625" customWidth="1"/>
    <col min="6" max="6" width="12.42578125" customWidth="1"/>
    <col min="7" max="8" width="17.140625" customWidth="1"/>
    <col min="9" max="9" width="12.28515625" customWidth="1"/>
    <col min="11" max="11" width="11.28515625" customWidth="1"/>
    <col min="12" max="12" width="9.7109375" customWidth="1"/>
    <col min="13" max="13" width="9.42578125" customWidth="1"/>
    <col min="14" max="14" width="10.85546875" customWidth="1"/>
    <col min="15" max="15" width="10.28515625" customWidth="1"/>
    <col min="16" max="16" width="12" customWidth="1"/>
    <col min="17" max="17" width="9.140625" customWidth="1"/>
    <col min="18" max="18" width="16.85546875" customWidth="1"/>
    <col min="19" max="19" width="12.42578125" customWidth="1"/>
    <col min="20" max="21" width="9.85546875" customWidth="1"/>
    <col min="22" max="22" width="9.28515625" customWidth="1"/>
    <col min="24" max="24" width="12.42578125" customWidth="1"/>
    <col min="25" max="25" width="8.28515625" customWidth="1"/>
    <col min="28" max="28" width="8.85546875" customWidth="1"/>
  </cols>
  <sheetData>
    <row r="1" spans="1:37" ht="15" customHeight="1" thickBot="1"/>
    <row r="2" spans="1:37" ht="16.7" customHeight="1" thickTop="1" thickBot="1">
      <c r="D2" s="90">
        <f>VLOOKUP(CONCATENATE($B$4),'EVENT DATA'!$B$5:$H$99,2,FALSE)</f>
        <v>5911</v>
      </c>
      <c r="G2" t="s">
        <v>178</v>
      </c>
    </row>
    <row r="3" spans="1:37" ht="28.7" customHeight="1" thickTop="1">
      <c r="A3" s="137" t="s">
        <v>96</v>
      </c>
      <c r="B3" s="137"/>
      <c r="E3" s="127"/>
      <c r="G3" t="s">
        <v>243</v>
      </c>
    </row>
    <row r="4" spans="1:37" ht="21.95" customHeight="1">
      <c r="A4" t="s">
        <v>97</v>
      </c>
      <c r="B4" s="113" t="s">
        <v>91</v>
      </c>
    </row>
    <row r="5" spans="1:37" ht="15.75" thickBot="1"/>
    <row r="6" spans="1:37" ht="16.5" thickTop="1" thickBot="1">
      <c r="A6" s="85"/>
      <c r="B6" s="93"/>
      <c r="C6" s="144" t="s">
        <v>102</v>
      </c>
      <c r="D6" s="144"/>
      <c r="E6" s="144"/>
      <c r="F6" s="144"/>
      <c r="G6" s="144"/>
      <c r="H6" s="144"/>
      <c r="I6" s="144"/>
      <c r="J6" s="144"/>
      <c r="K6" s="144"/>
      <c r="L6" s="144"/>
      <c r="M6" s="144"/>
      <c r="N6" s="144"/>
      <c r="O6" s="144"/>
      <c r="P6" s="144"/>
      <c r="Q6" s="144"/>
      <c r="R6" s="144"/>
      <c r="S6" s="144"/>
      <c r="T6" s="144"/>
      <c r="U6" s="144"/>
      <c r="V6" s="144"/>
      <c r="W6" s="144"/>
      <c r="X6" s="144"/>
      <c r="Y6" s="144"/>
      <c r="Z6" s="144"/>
      <c r="AA6" s="144"/>
      <c r="AB6" s="144"/>
      <c r="AC6" s="144"/>
      <c r="AD6" s="144"/>
      <c r="AE6" s="144"/>
      <c r="AF6" s="144"/>
      <c r="AG6" s="144"/>
      <c r="AH6" s="144"/>
      <c r="AI6" s="144"/>
      <c r="AJ6" s="144"/>
      <c r="AK6" s="145"/>
    </row>
    <row r="7" spans="1:37" ht="15.75" thickTop="1">
      <c r="A7" s="91"/>
      <c r="B7" s="150" t="s">
        <v>0</v>
      </c>
      <c r="C7" s="145"/>
      <c r="D7" s="74"/>
      <c r="E7" s="74"/>
      <c r="F7" s="74"/>
      <c r="G7" s="141" t="s">
        <v>9</v>
      </c>
      <c r="H7" s="142"/>
      <c r="I7" s="142"/>
      <c r="J7" s="142"/>
      <c r="K7" s="142"/>
      <c r="L7" s="142"/>
      <c r="M7" s="142"/>
      <c r="N7" s="142"/>
      <c r="O7" s="142"/>
      <c r="P7" s="142"/>
      <c r="Q7" s="143"/>
      <c r="R7" s="141" t="s">
        <v>1</v>
      </c>
      <c r="S7" s="142"/>
      <c r="T7" s="142"/>
      <c r="U7" s="142"/>
      <c r="V7" s="142"/>
      <c r="W7" s="142"/>
      <c r="X7" s="142"/>
      <c r="Y7" s="142"/>
      <c r="Z7" s="142"/>
      <c r="AA7" s="142"/>
      <c r="AB7" s="142"/>
      <c r="AC7" s="142"/>
      <c r="AD7" s="142"/>
      <c r="AE7" s="143"/>
      <c r="AF7" s="141" t="s">
        <v>2</v>
      </c>
      <c r="AG7" s="142"/>
      <c r="AH7" s="142"/>
      <c r="AI7" s="142"/>
      <c r="AJ7" s="142"/>
      <c r="AK7" s="143"/>
    </row>
    <row r="8" spans="1:37" ht="17.45" customHeight="1" thickBot="1">
      <c r="A8" s="91"/>
      <c r="B8" s="92" t="s">
        <v>3</v>
      </c>
      <c r="C8" s="92" t="s">
        <v>4</v>
      </c>
      <c r="D8" s="2" t="s">
        <v>240</v>
      </c>
      <c r="E8" s="2" t="s">
        <v>241</v>
      </c>
      <c r="F8" s="89" t="s">
        <v>113</v>
      </c>
      <c r="G8" s="89" t="s">
        <v>134</v>
      </c>
      <c r="H8" s="35" t="s">
        <v>135</v>
      </c>
      <c r="I8" s="35" t="s">
        <v>130</v>
      </c>
      <c r="J8" s="35" t="s">
        <v>129</v>
      </c>
      <c r="K8" s="35" t="s">
        <v>11</v>
      </c>
      <c r="L8" s="35" t="s">
        <v>12</v>
      </c>
      <c r="M8" s="35" t="s">
        <v>136</v>
      </c>
      <c r="N8" s="35" t="s">
        <v>13</v>
      </c>
      <c r="O8" s="35" t="s">
        <v>14</v>
      </c>
      <c r="P8" s="35" t="s">
        <v>15</v>
      </c>
      <c r="Q8" s="36" t="s">
        <v>16</v>
      </c>
      <c r="R8" s="89" t="s">
        <v>134</v>
      </c>
      <c r="S8" s="35" t="s">
        <v>135</v>
      </c>
      <c r="T8" s="35" t="s">
        <v>130</v>
      </c>
      <c r="U8" s="35" t="s">
        <v>129</v>
      </c>
      <c r="V8" s="35" t="s">
        <v>11</v>
      </c>
      <c r="W8" s="35" t="s">
        <v>12</v>
      </c>
      <c r="X8" s="35" t="s">
        <v>136</v>
      </c>
      <c r="Y8" s="35" t="s">
        <v>13</v>
      </c>
      <c r="Z8" s="35" t="s">
        <v>14</v>
      </c>
      <c r="AA8" s="35" t="s">
        <v>15</v>
      </c>
      <c r="AB8" s="35" t="s">
        <v>16</v>
      </c>
      <c r="AC8" s="35" t="s">
        <v>17</v>
      </c>
      <c r="AD8" s="35" t="s">
        <v>128</v>
      </c>
      <c r="AE8" s="36" t="s">
        <v>23</v>
      </c>
      <c r="AF8" s="89" t="s">
        <v>5</v>
      </c>
      <c r="AG8" s="35" t="s">
        <v>6</v>
      </c>
      <c r="AH8" s="35" t="s">
        <v>118</v>
      </c>
      <c r="AI8" s="35" t="s">
        <v>7</v>
      </c>
      <c r="AJ8" s="35" t="s">
        <v>141</v>
      </c>
      <c r="AK8" s="36" t="s">
        <v>137</v>
      </c>
    </row>
    <row r="9" spans="1:37" ht="20.85" customHeight="1" thickTop="1" thickBot="1">
      <c r="A9" s="87" t="s">
        <v>138</v>
      </c>
      <c r="B9" s="90">
        <f>VLOOKUP($B$4,'EVENT DATA'!$B$5:$H$99,2,FALSE)</f>
        <v>5911</v>
      </c>
      <c r="C9" s="90" t="str">
        <f>VLOOKUP($B9, 'Scouting Output'!A3:AJ42, 2,FALSE)</f>
        <v>PARAGON</v>
      </c>
      <c r="D9" s="87">
        <f>VLOOKUP($B9,'Scouting Output'!$A$3:$AJ$42, COLUMN()  -  1,FALSE)</f>
        <v>0</v>
      </c>
      <c r="E9" s="88">
        <f>VLOOKUP($B9,'Scouting Output'!$A$3:$AJ$42, COLUMN()  -  1,FALSE)</f>
        <v>0</v>
      </c>
      <c r="F9" s="86">
        <f>VLOOKUP($B9,'Scouting Output'!$A$3:$AJ$42, COLUMN()  -  1,FALSE)</f>
        <v>0</v>
      </c>
      <c r="G9" s="87">
        <f>VLOOKUP($B9,'Scouting Output'!$A$3:$AJ$42, COLUMN()  -  1,FALSE)</f>
        <v>0</v>
      </c>
      <c r="H9" s="88">
        <f>VLOOKUP($B9,'Scouting Output'!$A$3:$AJ$42, COLUMN()  -  1,FALSE)</f>
        <v>0</v>
      </c>
      <c r="I9" s="88">
        <f>VLOOKUP($B9,'Scouting Output'!$A$3:$AJ$42, COLUMN()  -  1,FALSE)</f>
        <v>0</v>
      </c>
      <c r="J9" s="88">
        <f>VLOOKUP($B9,'Scouting Output'!$A$3:$AJ$42, COLUMN()  -  1,FALSE)</f>
        <v>0</v>
      </c>
      <c r="K9" s="88">
        <f>VLOOKUP($B9,'Scouting Output'!$A$3:$AJ$42, COLUMN()  -  1,FALSE)</f>
        <v>0</v>
      </c>
      <c r="L9" s="88">
        <f>VLOOKUP($B9,'Scouting Output'!$A$3:$AJ$42, COLUMN()  -  1,FALSE)</f>
        <v>0</v>
      </c>
      <c r="M9" s="88">
        <f>VLOOKUP($B9,'Scouting Output'!$A$3:$AJ$42, COLUMN()  -  1,FALSE)</f>
        <v>0</v>
      </c>
      <c r="N9" s="88">
        <f>VLOOKUP($B9,'Scouting Output'!$A$3:$AJ$42, COLUMN()  -  1,FALSE)</f>
        <v>0</v>
      </c>
      <c r="O9" s="88">
        <f>VLOOKUP($B9,'Scouting Output'!$A$3:$AJ$42, COLUMN()  -  1,FALSE)</f>
        <v>0</v>
      </c>
      <c r="P9" s="88">
        <f>VLOOKUP($B9,'Scouting Output'!$A$3:$AJ$42, COLUMN()  -  1,FALSE)</f>
        <v>0</v>
      </c>
      <c r="Q9" s="86">
        <f>VLOOKUP($B9,'Scouting Output'!$A$3:$AJ$42, COLUMN()  -  1,FALSE)</f>
        <v>0</v>
      </c>
      <c r="R9" s="87">
        <f>VLOOKUP($B9,'Scouting Output'!$A$3:$AJ$42, COLUMN()  -  1,FALSE)</f>
        <v>0</v>
      </c>
      <c r="S9" s="88">
        <f>VLOOKUP($B9,'Scouting Output'!$A$3:$AJ$42, COLUMN()  -  1,FALSE)</f>
        <v>0</v>
      </c>
      <c r="T9" s="88">
        <f>VLOOKUP($B9,'Scouting Output'!$A$3:$AJ$42, COLUMN()  -  1,FALSE)</f>
        <v>0</v>
      </c>
      <c r="U9" s="88">
        <f>VLOOKUP($B9,'Scouting Output'!$A$3:$AJ$42, COLUMN()  -  1,FALSE)</f>
        <v>0</v>
      </c>
      <c r="V9" s="88">
        <f>VLOOKUP($B9,'Scouting Output'!$A$3:$AJ$42, COLUMN()  -  1,FALSE)</f>
        <v>0</v>
      </c>
      <c r="W9" s="88">
        <f>VLOOKUP($B9,'Scouting Output'!$A$3:$AJ$42, COLUMN()  -  1,FALSE)</f>
        <v>0</v>
      </c>
      <c r="X9" s="88">
        <f>VLOOKUP($B9,'Scouting Output'!$A$3:$AJ$42, COLUMN()  -  1,FALSE)</f>
        <v>0</v>
      </c>
      <c r="Y9" s="88">
        <f>VLOOKUP($B9,'Scouting Output'!$A$3:$AJ$42, COLUMN()  -  1,FALSE)</f>
        <v>0</v>
      </c>
      <c r="Z9" s="88">
        <f>VLOOKUP($B9,'Scouting Output'!$A$3:$AJ$42, COLUMN()  -  1,FALSE)</f>
        <v>0</v>
      </c>
      <c r="AA9" s="88">
        <f>VLOOKUP($B9,'Scouting Output'!$A$3:$AJ$42, COLUMN()  -  1,FALSE)</f>
        <v>0</v>
      </c>
      <c r="AB9" s="88">
        <f>VLOOKUP($B9,'Scouting Output'!$A$3:$AJ$42, COLUMN()  -  1,FALSE)</f>
        <v>0</v>
      </c>
      <c r="AC9" s="88">
        <f>VLOOKUP($B9,'Scouting Output'!$A$3:$AJ$42, COLUMN()  -  1,FALSE)</f>
        <v>0</v>
      </c>
      <c r="AD9" s="88">
        <f>VLOOKUP($B9,'Scouting Output'!$A$3:$AJ$42, COLUMN()  -  1,FALSE)</f>
        <v>0</v>
      </c>
      <c r="AE9" s="86">
        <f>VLOOKUP($B9,'Scouting Output'!$A$3:$AJ$42, COLUMN()  -  1,FALSE)</f>
        <v>0</v>
      </c>
      <c r="AF9" s="87">
        <f>VLOOKUP($B9,'Scouting Output'!$A$3:$AJ$42, COLUMN()  -  1,FALSE)</f>
        <v>0</v>
      </c>
      <c r="AG9" s="88">
        <f>VLOOKUP($B9,'Scouting Output'!$A$3:$AJ$42, COLUMN()  -  1,FALSE)</f>
        <v>0</v>
      </c>
      <c r="AH9" s="88">
        <f>VLOOKUP($B9,'Scouting Output'!$A$3:$AJ$42, COLUMN()  -  1,FALSE)</f>
        <v>0</v>
      </c>
      <c r="AI9" s="88">
        <f>VLOOKUP($B9,'Scouting Output'!$A$3:$AJ$42, COLUMN()  -  1,FALSE)</f>
        <v>0</v>
      </c>
      <c r="AJ9" s="88">
        <f>VLOOKUP($B9,'Scouting Output'!$A$3:$AJ$42, COLUMN()  -  1,FALSE)</f>
        <v>0</v>
      </c>
      <c r="AK9" s="86">
        <f>VLOOKUP($B9,'Scouting Output'!$A$3:$AJ$42, COLUMN()  -  1,FALSE)</f>
        <v>0</v>
      </c>
    </row>
    <row r="10" spans="1:37" ht="21.2" customHeight="1" thickTop="1" thickBot="1">
      <c r="A10" s="87" t="s">
        <v>139</v>
      </c>
      <c r="B10" s="90">
        <f>VLOOKUP($B$4,'EVENT DATA'!$B$5:$H$99,3,FALSE)</f>
        <v>6878</v>
      </c>
      <c r="C10" s="90" t="e">
        <f>VLOOKUP($B10, 'Scouting Output'!A3:AJ43, 2,FALSE)</f>
        <v>#N/A</v>
      </c>
      <c r="D10" s="87" t="e">
        <f>VLOOKUP($B10,'Scouting Output'!$A$3:$AJ$42, COLUMN()  -  1,FALSE)</f>
        <v>#N/A</v>
      </c>
      <c r="E10" s="88" t="e">
        <f>VLOOKUP($B10,'Scouting Output'!$A$3:$AJ$42, COLUMN()  -  1,FALSE)</f>
        <v>#N/A</v>
      </c>
      <c r="F10" s="86" t="e">
        <f>VLOOKUP($B10,'Scouting Output'!$A$3:$AJ$42, COLUMN()  -  1,FALSE)</f>
        <v>#N/A</v>
      </c>
      <c r="G10" s="87" t="e">
        <f>VLOOKUP($B10,'Scouting Output'!$A$3:$AJ$42, COLUMN()  -  1,FALSE)</f>
        <v>#N/A</v>
      </c>
      <c r="H10" s="88" t="e">
        <f>VLOOKUP($B10,'Scouting Output'!$A$3:$AJ$42, COLUMN()  -  1,FALSE)</f>
        <v>#N/A</v>
      </c>
      <c r="I10" s="88" t="e">
        <f>VLOOKUP($B10,'Scouting Output'!$A$3:$AJ$42, COLUMN()  -  1,FALSE)</f>
        <v>#N/A</v>
      </c>
      <c r="J10" s="88" t="e">
        <f>VLOOKUP($B10,'Scouting Output'!$A$3:$AJ$42, COLUMN()  -  1,FALSE)</f>
        <v>#N/A</v>
      </c>
      <c r="K10" s="88" t="e">
        <f>VLOOKUP($B10,'Scouting Output'!$A$3:$AJ$42, COLUMN()  -  1,FALSE)</f>
        <v>#N/A</v>
      </c>
      <c r="L10" s="88" t="e">
        <f>VLOOKUP($B10,'Scouting Output'!$A$3:$AJ$42, COLUMN()  -  1,FALSE)</f>
        <v>#N/A</v>
      </c>
      <c r="M10" s="88" t="e">
        <f>VLOOKUP($B10,'Scouting Output'!$A$3:$AJ$42, COLUMN()  -  1,FALSE)</f>
        <v>#N/A</v>
      </c>
      <c r="N10" s="88" t="e">
        <f>VLOOKUP($B10,'Scouting Output'!$A$3:$AJ$42, COLUMN()  -  1,FALSE)</f>
        <v>#N/A</v>
      </c>
      <c r="O10" s="88" t="e">
        <f>VLOOKUP($B10,'Scouting Output'!$A$3:$AJ$42, COLUMN()  -  1,FALSE)</f>
        <v>#N/A</v>
      </c>
      <c r="P10" s="88" t="e">
        <f>VLOOKUP($B10,'Scouting Output'!$A$3:$AJ$42, COLUMN()  -  1,FALSE)</f>
        <v>#N/A</v>
      </c>
      <c r="Q10" s="86" t="e">
        <f>VLOOKUP($B10,'Scouting Output'!$A$3:$AJ$42, COLUMN()  -  1,FALSE)</f>
        <v>#N/A</v>
      </c>
      <c r="R10" s="87" t="e">
        <f>VLOOKUP($B10,'Scouting Output'!$A$3:$AJ$42, COLUMN()  -  1,FALSE)</f>
        <v>#N/A</v>
      </c>
      <c r="S10" s="88" t="e">
        <f>VLOOKUP($B10,'Scouting Output'!$A$3:$AJ$42, COLUMN()  -  1,FALSE)</f>
        <v>#N/A</v>
      </c>
      <c r="T10" s="88" t="e">
        <f>VLOOKUP($B10,'Scouting Output'!$A$3:$AJ$42, COLUMN()  -  1,FALSE)</f>
        <v>#N/A</v>
      </c>
      <c r="U10" s="88" t="e">
        <f>VLOOKUP($B10,'Scouting Output'!$A$3:$AJ$42, COLUMN()  -  1,FALSE)</f>
        <v>#N/A</v>
      </c>
      <c r="V10" s="88" t="e">
        <f>VLOOKUP($B10,'Scouting Output'!$A$3:$AJ$42, COLUMN()  -  1,FALSE)</f>
        <v>#N/A</v>
      </c>
      <c r="W10" s="88" t="e">
        <f>VLOOKUP($B10,'Scouting Output'!$A$3:$AJ$42, COLUMN()  -  1,FALSE)</f>
        <v>#N/A</v>
      </c>
      <c r="X10" s="88" t="e">
        <f>VLOOKUP($B10,'Scouting Output'!$A$3:$AJ$42, COLUMN()  -  1,FALSE)</f>
        <v>#N/A</v>
      </c>
      <c r="Y10" s="88" t="e">
        <f>VLOOKUP($B10,'Scouting Output'!$A$3:$AJ$42, COLUMN()  -  1,FALSE)</f>
        <v>#N/A</v>
      </c>
      <c r="Z10" s="88" t="e">
        <f>VLOOKUP($B10,'Scouting Output'!$A$3:$AJ$42, COLUMN()  -  1,FALSE)</f>
        <v>#N/A</v>
      </c>
      <c r="AA10" s="88" t="e">
        <f>VLOOKUP($B10,'Scouting Output'!$A$3:$AJ$42, COLUMN()  -  1,FALSE)</f>
        <v>#N/A</v>
      </c>
      <c r="AB10" s="88" t="e">
        <f>VLOOKUP($B10,'Scouting Output'!$A$3:$AJ$42, COLUMN()  -  1,FALSE)</f>
        <v>#N/A</v>
      </c>
      <c r="AC10" s="88" t="e">
        <f>VLOOKUP($B10,'Scouting Output'!$A$3:$AJ$42, COLUMN()  -  1,FALSE)</f>
        <v>#N/A</v>
      </c>
      <c r="AD10" s="88" t="e">
        <f>VLOOKUP($B10,'Scouting Output'!$A$3:$AJ$42, COLUMN()  -  1,FALSE)</f>
        <v>#N/A</v>
      </c>
      <c r="AE10" s="86" t="e">
        <f>VLOOKUP($B10,'Scouting Output'!$A$3:$AJ$42, COLUMN()  -  1,FALSE)</f>
        <v>#N/A</v>
      </c>
      <c r="AF10" s="87" t="e">
        <f>VLOOKUP($B10,'Scouting Output'!$A$3:$AJ$42, COLUMN()  -  1,FALSE)</f>
        <v>#N/A</v>
      </c>
      <c r="AG10" s="88" t="e">
        <f>VLOOKUP($B10,'Scouting Output'!$A$3:$AJ$42, COLUMN()  -  1,FALSE)</f>
        <v>#N/A</v>
      </c>
      <c r="AH10" s="88" t="e">
        <f>VLOOKUP($B10,'Scouting Output'!$A$3:$AJ$42, COLUMN()  -  1,FALSE)</f>
        <v>#N/A</v>
      </c>
      <c r="AI10" s="88" t="e">
        <f>VLOOKUP($B10,'Scouting Output'!$A$3:$AJ$42, COLUMN()  -  1,FALSE)</f>
        <v>#N/A</v>
      </c>
      <c r="AJ10" s="88" t="e">
        <f>VLOOKUP($B10,'Scouting Output'!$A$3:$AJ$42, COLUMN()  -  1,FALSE)</f>
        <v>#N/A</v>
      </c>
      <c r="AK10" s="86" t="e">
        <f>VLOOKUP($B10,'Scouting Output'!$A$3:$AJ$42, COLUMN()  -  1,FALSE)</f>
        <v>#N/A</v>
      </c>
    </row>
    <row r="11" spans="1:37" ht="20.85" customHeight="1" thickTop="1" thickBot="1">
      <c r="A11" s="87" t="s">
        <v>140</v>
      </c>
      <c r="B11" s="90">
        <f>VLOOKUP($B$4,'EVENT DATA'!$B$5:$H$99,4,FALSE)</f>
        <v>7690</v>
      </c>
      <c r="C11" s="90" t="str">
        <f>VLOOKUP($B11, 'Scouting Output'!$A$3:$AE$81,2,FALSE)</f>
        <v>Iron Works Robotics</v>
      </c>
      <c r="D11" s="87" t="e">
        <f>VLOOKUP($B11,'Scouting Output'!$A$3:$AJ$42, COLUMN()  -  1,FALSE)</f>
        <v>#N/A</v>
      </c>
      <c r="E11" s="88" t="e">
        <f>VLOOKUP($B11,'Scouting Output'!$A$3:$AJ$42, COLUMN()  -  1,FALSE)</f>
        <v>#N/A</v>
      </c>
      <c r="F11" s="86" t="e">
        <f>VLOOKUP($B11,'Scouting Output'!$A$3:$AJ$42, COLUMN()  -  1,FALSE)</f>
        <v>#N/A</v>
      </c>
      <c r="G11" s="87" t="e">
        <f>VLOOKUP($B11,'Scouting Output'!$A$3:$AJ$42, COLUMN()  -  1,FALSE)</f>
        <v>#N/A</v>
      </c>
      <c r="H11" s="88" t="e">
        <f>VLOOKUP($B11,'Scouting Output'!$A$3:$AJ$42, COLUMN()  -  1,FALSE)</f>
        <v>#N/A</v>
      </c>
      <c r="I11" s="88" t="e">
        <f>VLOOKUP($B11,'Scouting Output'!$A$3:$AJ$42, COLUMN()  -  1,FALSE)</f>
        <v>#N/A</v>
      </c>
      <c r="J11" s="88" t="e">
        <f>VLOOKUP($B11,'Scouting Output'!$A$3:$AJ$42, COLUMN()  -  1,FALSE)</f>
        <v>#N/A</v>
      </c>
      <c r="K11" s="88" t="e">
        <f>VLOOKUP($B11,'Scouting Output'!$A$3:$AJ$42, COLUMN()  -  1,FALSE)</f>
        <v>#N/A</v>
      </c>
      <c r="L11" s="88" t="e">
        <f>VLOOKUP($B11,'Scouting Output'!$A$3:$AJ$42, COLUMN()  -  1,FALSE)</f>
        <v>#N/A</v>
      </c>
      <c r="M11" s="88" t="e">
        <f>VLOOKUP($B11,'Scouting Output'!$A$3:$AJ$42, COLUMN()  -  1,FALSE)</f>
        <v>#N/A</v>
      </c>
      <c r="N11" s="88" t="e">
        <f>VLOOKUP($B11,'Scouting Output'!$A$3:$AJ$42, COLUMN()  -  1,FALSE)</f>
        <v>#N/A</v>
      </c>
      <c r="O11" s="88" t="e">
        <f>VLOOKUP($B11,'Scouting Output'!$A$3:$AJ$42, COLUMN()  -  1,FALSE)</f>
        <v>#N/A</v>
      </c>
      <c r="P11" s="88" t="e">
        <f>VLOOKUP($B11,'Scouting Output'!$A$3:$AJ$42, COLUMN()  -  1,FALSE)</f>
        <v>#N/A</v>
      </c>
      <c r="Q11" s="86" t="e">
        <f>VLOOKUP($B11,'Scouting Output'!$A$3:$AJ$42, COLUMN()  -  1,FALSE)</f>
        <v>#N/A</v>
      </c>
      <c r="R11" s="87" t="e">
        <f>VLOOKUP($B11,'Scouting Output'!$A$3:$AJ$42, COLUMN()  -  1,FALSE)</f>
        <v>#N/A</v>
      </c>
      <c r="S11" s="88" t="e">
        <f>VLOOKUP($B11,'Scouting Output'!$A$3:$AJ$42, COLUMN()  -  1,FALSE)</f>
        <v>#N/A</v>
      </c>
      <c r="T11" s="88" t="e">
        <f>VLOOKUP($B11,'Scouting Output'!$A$3:$AJ$42, COLUMN()  -  1,FALSE)</f>
        <v>#N/A</v>
      </c>
      <c r="U11" s="88" t="e">
        <f>VLOOKUP($B11,'Scouting Output'!$A$3:$AJ$42, COLUMN()  -  1,FALSE)</f>
        <v>#N/A</v>
      </c>
      <c r="V11" s="88" t="e">
        <f>VLOOKUP($B11,'Scouting Output'!$A$3:$AJ$42, COLUMN()  -  1,FALSE)</f>
        <v>#N/A</v>
      </c>
      <c r="W11" s="88" t="e">
        <f>VLOOKUP($B11,'Scouting Output'!$A$3:$AJ$42, COLUMN()  -  1,FALSE)</f>
        <v>#N/A</v>
      </c>
      <c r="X11" s="88" t="e">
        <f>VLOOKUP($B11,'Scouting Output'!$A$3:$AJ$42, COLUMN()  -  1,FALSE)</f>
        <v>#N/A</v>
      </c>
      <c r="Y11" s="88" t="e">
        <f>VLOOKUP($B11,'Scouting Output'!$A$3:$AJ$42, COLUMN()  -  1,FALSE)</f>
        <v>#N/A</v>
      </c>
      <c r="Z11" s="88" t="e">
        <f>VLOOKUP($B11,'Scouting Output'!$A$3:$AJ$42, COLUMN()  -  1,FALSE)</f>
        <v>#N/A</v>
      </c>
      <c r="AA11" s="88" t="e">
        <f>VLOOKUP($B11,'Scouting Output'!$A$3:$AJ$42, COLUMN()  -  1,FALSE)</f>
        <v>#N/A</v>
      </c>
      <c r="AB11" s="88" t="e">
        <f>VLOOKUP($B11,'Scouting Output'!$A$3:$AJ$42, COLUMN()  -  1,FALSE)</f>
        <v>#N/A</v>
      </c>
      <c r="AC11" s="88" t="e">
        <f>VLOOKUP($B11,'Scouting Output'!$A$3:$AJ$42, COLUMN()  -  1,FALSE)</f>
        <v>#N/A</v>
      </c>
      <c r="AD11" s="88" t="e">
        <f>VLOOKUP($B11,'Scouting Output'!$A$3:$AJ$42, COLUMN()  -  1,FALSE)</f>
        <v>#N/A</v>
      </c>
      <c r="AE11" s="86" t="e">
        <f>VLOOKUP($B11,'Scouting Output'!$A$3:$AJ$42, COLUMN()  -  1,FALSE)</f>
        <v>#N/A</v>
      </c>
      <c r="AF11" s="87" t="e">
        <f>VLOOKUP($B11,'Scouting Output'!$A$3:$AJ$42, COLUMN()  -  1,FALSE)</f>
        <v>#N/A</v>
      </c>
      <c r="AG11" s="88" t="e">
        <f>VLOOKUP($B11,'Scouting Output'!$A$3:$AJ$42, COLUMN()  -  1,FALSE)</f>
        <v>#N/A</v>
      </c>
      <c r="AH11" s="88" t="e">
        <f>VLOOKUP($B11,'Scouting Output'!$A$3:$AJ$42, COLUMN()  -  1,FALSE)</f>
        <v>#N/A</v>
      </c>
      <c r="AI11" s="88" t="e">
        <f>VLOOKUP($B11,'Scouting Output'!$A$3:$AJ$42, COLUMN()  -  1,FALSE)</f>
        <v>#N/A</v>
      </c>
      <c r="AJ11" s="88" t="e">
        <f>VLOOKUP($B11,'Scouting Output'!$A$3:$AJ$42, COLUMN()  -  1,FALSE)</f>
        <v>#N/A</v>
      </c>
      <c r="AK11" s="86" t="e">
        <f>VLOOKUP($B11,'Scouting Output'!$A$3:$AJ$42, COLUMN()  -  1,FALSE)</f>
        <v>#N/A</v>
      </c>
    </row>
    <row r="12" spans="1:37" ht="17.25" thickTop="1" thickBot="1">
      <c r="B12" s="29"/>
      <c r="C12" s="90" t="s">
        <v>242</v>
      </c>
      <c r="D12" s="88" t="e">
        <f>SUM($D9, $D10, $D11)</f>
        <v>#N/A</v>
      </c>
      <c r="E12" s="86" t="e">
        <f>SUM($E9, $E10, $E11)</f>
        <v>#N/A</v>
      </c>
    </row>
    <row r="13" spans="1:37" ht="16.5" thickTop="1" thickBot="1"/>
    <row r="14" spans="1:37" ht="16.5" thickTop="1" thickBot="1">
      <c r="A14" s="146" t="s">
        <v>98</v>
      </c>
      <c r="B14" s="147"/>
      <c r="C14" s="147"/>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8"/>
    </row>
    <row r="15" spans="1:37" ht="15.75" thickTop="1">
      <c r="A15" s="31"/>
      <c r="B15" s="149" t="s">
        <v>0</v>
      </c>
      <c r="C15" s="149"/>
      <c r="D15" s="119"/>
      <c r="E15" s="1"/>
      <c r="F15" s="1"/>
      <c r="G15" s="138" t="s">
        <v>9</v>
      </c>
      <c r="H15" s="139"/>
      <c r="I15" s="139"/>
      <c r="J15" s="139"/>
      <c r="K15" s="139"/>
      <c r="L15" s="139"/>
      <c r="M15" s="139"/>
      <c r="N15" s="139"/>
      <c r="O15" s="139"/>
      <c r="P15" s="82"/>
      <c r="Q15" s="30"/>
      <c r="R15" s="138" t="s">
        <v>1</v>
      </c>
      <c r="S15" s="139"/>
      <c r="T15" s="139"/>
      <c r="U15" s="139"/>
      <c r="V15" s="139"/>
      <c r="W15" s="139"/>
      <c r="X15" s="139"/>
      <c r="Y15" s="139"/>
      <c r="Z15" s="139"/>
      <c r="AA15" s="139"/>
      <c r="AB15" s="139"/>
      <c r="AC15" s="139"/>
      <c r="AD15" s="139"/>
      <c r="AE15" s="140"/>
      <c r="AF15" s="138" t="s">
        <v>2</v>
      </c>
      <c r="AG15" s="139"/>
      <c r="AH15" s="139"/>
      <c r="AI15" s="139"/>
      <c r="AJ15" s="139"/>
      <c r="AK15" s="140"/>
    </row>
    <row r="16" spans="1:37" ht="17.45" customHeight="1" thickBot="1">
      <c r="A16" s="83"/>
      <c r="B16" s="28" t="s">
        <v>3</v>
      </c>
      <c r="C16" s="1" t="s">
        <v>4</v>
      </c>
      <c r="D16" s="2" t="s">
        <v>240</v>
      </c>
      <c r="E16" s="2" t="s">
        <v>241</v>
      </c>
      <c r="F16" s="1" t="s">
        <v>113</v>
      </c>
      <c r="G16" s="33" t="s">
        <v>134</v>
      </c>
      <c r="H16" s="34" t="s">
        <v>135</v>
      </c>
      <c r="I16" s="34" t="s">
        <v>130</v>
      </c>
      <c r="J16" s="34" t="s">
        <v>129</v>
      </c>
      <c r="K16" s="34" t="s">
        <v>11</v>
      </c>
      <c r="L16" s="34" t="s">
        <v>12</v>
      </c>
      <c r="M16" s="34" t="s">
        <v>136</v>
      </c>
      <c r="N16" s="34" t="s">
        <v>13</v>
      </c>
      <c r="O16" s="34" t="s">
        <v>14</v>
      </c>
      <c r="P16" s="34" t="s">
        <v>15</v>
      </c>
      <c r="Q16" s="32" t="s">
        <v>16</v>
      </c>
      <c r="R16" s="28" t="s">
        <v>134</v>
      </c>
      <c r="S16" s="1" t="s">
        <v>135</v>
      </c>
      <c r="T16" s="1" t="s">
        <v>130</v>
      </c>
      <c r="U16" s="1" t="s">
        <v>129</v>
      </c>
      <c r="V16" s="1" t="s">
        <v>11</v>
      </c>
      <c r="W16" s="1" t="s">
        <v>12</v>
      </c>
      <c r="X16" s="1" t="s">
        <v>136</v>
      </c>
      <c r="Y16" s="1" t="s">
        <v>13</v>
      </c>
      <c r="Z16" s="1" t="s">
        <v>14</v>
      </c>
      <c r="AA16" s="1" t="s">
        <v>15</v>
      </c>
      <c r="AB16" s="1" t="s">
        <v>16</v>
      </c>
      <c r="AC16" s="1" t="s">
        <v>17</v>
      </c>
      <c r="AD16" s="1" t="s">
        <v>128</v>
      </c>
      <c r="AE16" s="1" t="s">
        <v>23</v>
      </c>
      <c r="AF16" s="28" t="s">
        <v>5</v>
      </c>
      <c r="AG16" s="1" t="s">
        <v>6</v>
      </c>
      <c r="AH16" s="1" t="s">
        <v>118</v>
      </c>
      <c r="AI16" s="1" t="s">
        <v>7</v>
      </c>
      <c r="AJ16" s="1" t="s">
        <v>141</v>
      </c>
      <c r="AK16" s="84" t="s">
        <v>137</v>
      </c>
    </row>
    <row r="17" spans="1:37" ht="20.85" customHeight="1" thickTop="1" thickBot="1">
      <c r="A17" s="27" t="s">
        <v>99</v>
      </c>
      <c r="B17" s="80">
        <f>VLOOKUP($B$4,'EVENT DATA'!$B$5:$H$99,5,FALSE)</f>
        <v>4308</v>
      </c>
      <c r="C17" s="81" t="str">
        <f>VLOOKUP($B17, 'Scouting Output'!A3:AJ50, 2,FALSE)</f>
        <v>ABSOLUTE ROBOTICS</v>
      </c>
      <c r="D17" s="27">
        <f>VLOOKUP($B17,'Scouting Output'!$A$3:$AJ$42, COLUMN()  -  1,FALSE)</f>
        <v>0</v>
      </c>
      <c r="E17" s="76">
        <f>VLOOKUP($B17,'Scouting Output'!$A$3:$AJ$42, COLUMN()  -  1,FALSE)</f>
        <v>0</v>
      </c>
      <c r="F17" s="76">
        <f>VLOOKUP($B17,'Scouting Output'!$A$3:$AJ$42, COLUMN()  -  1,FALSE)</f>
        <v>0</v>
      </c>
      <c r="G17" s="27">
        <f>VLOOKUP($B17,'Scouting Output'!$A$3:$AJ$42,COLUMN() - 1,FALSE)</f>
        <v>0</v>
      </c>
      <c r="H17" s="76">
        <f>VLOOKUP($B17,'Scouting Output'!$A$3:$AJ$42,COLUMN() - 1,FALSE)</f>
        <v>0</v>
      </c>
      <c r="I17" s="76">
        <f>VLOOKUP($B17,'Scouting Output'!$A$3:$AJ$42,COLUMN() - 1,FALSE)</f>
        <v>0</v>
      </c>
      <c r="J17" s="76">
        <f>VLOOKUP($B17,'Scouting Output'!$A$3:$AJ$42,COLUMN() - 1,FALSE)</f>
        <v>0</v>
      </c>
      <c r="K17" s="76">
        <f>VLOOKUP($B17,'Scouting Output'!$A$3:$AJ$42,COLUMN() - 1,FALSE)</f>
        <v>0</v>
      </c>
      <c r="L17" s="76">
        <f>VLOOKUP($B17,'Scouting Output'!$A$3:$AJ$42,COLUMN() - 1,FALSE)</f>
        <v>0</v>
      </c>
      <c r="M17" s="76">
        <f>VLOOKUP($B17,'Scouting Output'!$A$3:$AJ$42,COLUMN() - 1,FALSE)</f>
        <v>0</v>
      </c>
      <c r="N17" s="76">
        <f>VLOOKUP($B17,'Scouting Output'!$A$3:$AJ$42,COLUMN() - 1,FALSE)</f>
        <v>0</v>
      </c>
      <c r="O17" s="76">
        <f>VLOOKUP($B17,'Scouting Output'!$A$3:$AJ$42,COLUMN() - 1,FALSE)</f>
        <v>0</v>
      </c>
      <c r="P17" s="76">
        <f>VLOOKUP($B17,'Scouting Output'!$A$3:$AJ$42,COLUMN() - 1,FALSE)</f>
        <v>0</v>
      </c>
      <c r="Q17" s="79">
        <f>VLOOKUP($B17,'Scouting Output'!$A$3:$AJ$42,COLUMN() - 1,FALSE)</f>
        <v>0</v>
      </c>
      <c r="R17" s="27">
        <f>VLOOKUP($B17,'Scouting Output'!$A$3:$AJ$42,COLUMN() - 1,FALSE)</f>
        <v>0</v>
      </c>
      <c r="S17" s="76">
        <f>VLOOKUP($B17,'Scouting Output'!$A$3:$AJ$42,COLUMN() - 1,FALSE)</f>
        <v>0</v>
      </c>
      <c r="T17" s="76">
        <f>VLOOKUP($B17,'Scouting Output'!$A$3:$AJ$42,COLUMN() - 1,FALSE)</f>
        <v>0</v>
      </c>
      <c r="U17" s="76">
        <f>VLOOKUP($B17,'Scouting Output'!$A$3:$AJ$42,COLUMN() - 1,FALSE)</f>
        <v>0</v>
      </c>
      <c r="V17" s="76">
        <f>VLOOKUP($B17,'Scouting Output'!$A$3:$AJ$42,COLUMN() - 1,FALSE)</f>
        <v>0</v>
      </c>
      <c r="W17" s="76">
        <f>VLOOKUP($B17,'Scouting Output'!$A$3:$AJ$42,COLUMN() - 1,FALSE)</f>
        <v>0</v>
      </c>
      <c r="X17" s="76">
        <f>VLOOKUP($B17,'Scouting Output'!$A$3:$AJ$42,COLUMN() - 1,FALSE)</f>
        <v>0</v>
      </c>
      <c r="Y17" s="76">
        <f>VLOOKUP($B17,'Scouting Output'!$A$3:$AJ$42,COLUMN() - 1,FALSE)</f>
        <v>0</v>
      </c>
      <c r="Z17" s="76">
        <f>VLOOKUP($B17,'Scouting Output'!$A$3:$AJ$42,COLUMN() - 1,FALSE)</f>
        <v>0</v>
      </c>
      <c r="AA17" s="76">
        <f>VLOOKUP($B17,'Scouting Output'!$A$3:$AJ$42,COLUMN() - 1,FALSE)</f>
        <v>0</v>
      </c>
      <c r="AB17" s="76">
        <f>VLOOKUP($B17,'Scouting Output'!$A$3:$AJ$42,COLUMN() - 1,FALSE)</f>
        <v>0</v>
      </c>
      <c r="AC17" s="76">
        <f>VLOOKUP($B17,'Scouting Output'!$A$3:$AJ$42,COLUMN() - 1,FALSE)</f>
        <v>0</v>
      </c>
      <c r="AD17" s="76">
        <f>VLOOKUP($B17,'Scouting Output'!$A$3:$AJ$42,COLUMN() - 1,FALSE)</f>
        <v>0</v>
      </c>
      <c r="AE17" s="79">
        <f>VLOOKUP($B17,'Scouting Output'!$A$3:$AJ$42,COLUMN() - 1,FALSE)</f>
        <v>0</v>
      </c>
      <c r="AF17" s="27">
        <f>VLOOKUP($B17,'Scouting Output'!$A$3:$AJ$42,COLUMN() - 1,FALSE)</f>
        <v>0</v>
      </c>
      <c r="AG17" s="76">
        <f>VLOOKUP($B17,'Scouting Output'!$A$3:$AJ$42,COLUMN() - 1,FALSE)</f>
        <v>0</v>
      </c>
      <c r="AH17" s="76">
        <f>VLOOKUP($B17,'Scouting Output'!$A$3:$AJ$42,COLUMN() - 1,FALSE)</f>
        <v>0</v>
      </c>
      <c r="AI17" s="76">
        <f>VLOOKUP($B17,'Scouting Output'!$A$3:$AJ$42,COLUMN() - 1,FALSE)</f>
        <v>0</v>
      </c>
      <c r="AJ17" s="76">
        <f>VLOOKUP($B17,'Scouting Output'!$A$3:$AJ$42,COLUMN() - 1,FALSE)</f>
        <v>0</v>
      </c>
      <c r="AK17" s="79">
        <f>VLOOKUP($B17,'Scouting Output'!$A$3:$AJ$42,COLUMN() - 1,FALSE)</f>
        <v>0</v>
      </c>
    </row>
    <row r="18" spans="1:37" ht="21.2" customHeight="1" thickTop="1" thickBot="1">
      <c r="A18" s="27" t="s">
        <v>100</v>
      </c>
      <c r="B18" s="80">
        <f>VLOOKUP($B$4,'EVENT DATA'!$B$5:$H$99,6,FALSE)</f>
        <v>7710</v>
      </c>
      <c r="C18" s="81" t="e">
        <f>VLOOKUP($B18, 'Scouting Output'!A3:AJ51, 2,FALSE)</f>
        <v>#N/A</v>
      </c>
      <c r="D18" s="27" t="e">
        <f>VLOOKUP($B18,'Scouting Output'!$A$3:$AJ$42, COLUMN()  -  1,FALSE)</f>
        <v>#N/A</v>
      </c>
      <c r="E18" s="76" t="e">
        <f>VLOOKUP($B18,'Scouting Output'!$A$3:$AJ$42, COLUMN()  -  1,FALSE)</f>
        <v>#N/A</v>
      </c>
      <c r="F18" s="76" t="e">
        <f>VLOOKUP($B18,'Scouting Output'!$A$3:$AJ$42, COLUMN()  -  1,FALSE)</f>
        <v>#N/A</v>
      </c>
      <c r="G18" s="27" t="e">
        <f>VLOOKUP($B18,'Scouting Output'!$A$3:$AJ$42,COLUMN() - 1,FALSE)</f>
        <v>#N/A</v>
      </c>
      <c r="H18" s="76" t="e">
        <f>VLOOKUP($B18,'Scouting Output'!$A$3:$AJ$42,COLUMN() - 1,FALSE)</f>
        <v>#N/A</v>
      </c>
      <c r="I18" s="76" t="e">
        <f>VLOOKUP($B18,'Scouting Output'!$A$3:$AJ$42,COLUMN() - 1,FALSE)</f>
        <v>#N/A</v>
      </c>
      <c r="J18" s="76" t="e">
        <f>VLOOKUP($B18,'Scouting Output'!$A$3:$AJ$42,COLUMN() - 1,FALSE)</f>
        <v>#N/A</v>
      </c>
      <c r="K18" s="76" t="e">
        <f>VLOOKUP($B18,'Scouting Output'!$A$3:$AJ$42,COLUMN() - 1,FALSE)</f>
        <v>#N/A</v>
      </c>
      <c r="L18" s="76" t="e">
        <f>VLOOKUP($B18,'Scouting Output'!$A$3:$AJ$42,COLUMN() - 1,FALSE)</f>
        <v>#N/A</v>
      </c>
      <c r="M18" s="76" t="e">
        <f>VLOOKUP($B18,'Scouting Output'!$A$3:$AJ$42,COLUMN() - 1,FALSE)</f>
        <v>#N/A</v>
      </c>
      <c r="N18" s="76" t="e">
        <f>VLOOKUP($B18,'Scouting Output'!$A$3:$AJ$42,COLUMN() - 1,FALSE)</f>
        <v>#N/A</v>
      </c>
      <c r="O18" s="76" t="e">
        <f>VLOOKUP($B18,'Scouting Output'!$A$3:$AJ$42,COLUMN() - 1,FALSE)</f>
        <v>#N/A</v>
      </c>
      <c r="P18" s="76" t="e">
        <f>VLOOKUP($B18,'Scouting Output'!$A$3:$AJ$42,COLUMN() - 1,FALSE)</f>
        <v>#N/A</v>
      </c>
      <c r="Q18" s="79" t="e">
        <f>VLOOKUP($B18,'Scouting Output'!$A$3:$AJ$42,COLUMN() - 1,FALSE)</f>
        <v>#N/A</v>
      </c>
      <c r="R18" s="27" t="e">
        <f>VLOOKUP($B18,'Scouting Output'!$A$3:$AJ$42,COLUMN() - 1,FALSE)</f>
        <v>#N/A</v>
      </c>
      <c r="S18" s="76" t="e">
        <f>VLOOKUP($B18,'Scouting Output'!$A$3:$AJ$42,COLUMN() - 1,FALSE)</f>
        <v>#N/A</v>
      </c>
      <c r="T18" s="76" t="e">
        <f>VLOOKUP($B18,'Scouting Output'!$A$3:$AJ$42,COLUMN() - 1,FALSE)</f>
        <v>#N/A</v>
      </c>
      <c r="U18" s="76" t="e">
        <f>VLOOKUP($B18,'Scouting Output'!$A$3:$AJ$42,COLUMN() - 1,FALSE)</f>
        <v>#N/A</v>
      </c>
      <c r="V18" s="76" t="e">
        <f>VLOOKUP($B18,'Scouting Output'!$A$3:$AJ$42,COLUMN() - 1,FALSE)</f>
        <v>#N/A</v>
      </c>
      <c r="W18" s="76" t="e">
        <f>VLOOKUP($B18,'Scouting Output'!$A$3:$AJ$42,COLUMN() - 1,FALSE)</f>
        <v>#N/A</v>
      </c>
      <c r="X18" s="76" t="e">
        <f>VLOOKUP($B18,'Scouting Output'!$A$3:$AJ$42,COLUMN() - 1,FALSE)</f>
        <v>#N/A</v>
      </c>
      <c r="Y18" s="76" t="e">
        <f>VLOOKUP($B18,'Scouting Output'!$A$3:$AJ$42,COLUMN() - 1,FALSE)</f>
        <v>#N/A</v>
      </c>
      <c r="Z18" s="76" t="e">
        <f>VLOOKUP($B18,'Scouting Output'!$A$3:$AJ$42,COLUMN() - 1,FALSE)</f>
        <v>#N/A</v>
      </c>
      <c r="AA18" s="76" t="e">
        <f>VLOOKUP($B18,'Scouting Output'!$A$3:$AJ$42,COLUMN() - 1,FALSE)</f>
        <v>#N/A</v>
      </c>
      <c r="AB18" s="76" t="e">
        <f>VLOOKUP($B18,'Scouting Output'!$A$3:$AJ$42,COLUMN() - 1,FALSE)</f>
        <v>#N/A</v>
      </c>
      <c r="AC18" s="76" t="e">
        <f>VLOOKUP($B18,'Scouting Output'!$A$3:$AJ$42,COLUMN() - 1,FALSE)</f>
        <v>#N/A</v>
      </c>
      <c r="AD18" s="76" t="e">
        <f>VLOOKUP($B18,'Scouting Output'!$A$3:$AJ$42,COLUMN() - 1,FALSE)</f>
        <v>#N/A</v>
      </c>
      <c r="AE18" s="79" t="e">
        <f>VLOOKUP($B18,'Scouting Output'!$A$3:$AJ$42,COLUMN() - 1,FALSE)</f>
        <v>#N/A</v>
      </c>
      <c r="AF18" s="27" t="e">
        <f>VLOOKUP($B18,'Scouting Output'!$A$3:$AJ$42,COLUMN() - 1,FALSE)</f>
        <v>#N/A</v>
      </c>
      <c r="AG18" s="76" t="e">
        <f>VLOOKUP($B18,'Scouting Output'!$A$3:$AJ$42,COLUMN() - 1,FALSE)</f>
        <v>#N/A</v>
      </c>
      <c r="AH18" s="76" t="e">
        <f>VLOOKUP($B18,'Scouting Output'!$A$3:$AJ$42,COLUMN() - 1,FALSE)</f>
        <v>#N/A</v>
      </c>
      <c r="AI18" s="76" t="e">
        <f>VLOOKUP($B18,'Scouting Output'!$A$3:$AJ$42,COLUMN() - 1,FALSE)</f>
        <v>#N/A</v>
      </c>
      <c r="AJ18" s="76" t="e">
        <f>VLOOKUP($B18,'Scouting Output'!$A$3:$AJ$42,COLUMN() - 1,FALSE)</f>
        <v>#N/A</v>
      </c>
      <c r="AK18" s="79" t="e">
        <f>VLOOKUP($B18,'Scouting Output'!$A$3:$AJ$42,COLUMN() - 1,FALSE)</f>
        <v>#N/A</v>
      </c>
    </row>
    <row r="19" spans="1:37" ht="20.85" customHeight="1" thickTop="1" thickBot="1">
      <c r="A19" s="27" t="s">
        <v>101</v>
      </c>
      <c r="B19" s="80">
        <f>VLOOKUP($B$4,'EVENT DATA'!$B$5:$H$99,7,FALSE)</f>
        <v>5719</v>
      </c>
      <c r="C19" s="81" t="str">
        <f>VLOOKUP($B19, 'Scouting Output'!$A$3:$AE$81,2,FALSE)</f>
        <v>Pink Titans</v>
      </c>
      <c r="D19" s="27">
        <f>VLOOKUP($B19,'Scouting Output'!$A$3:$AJ$42, COLUMN()  -  1,FALSE)</f>
        <v>0</v>
      </c>
      <c r="E19" s="76">
        <f>VLOOKUP($B19,'Scouting Output'!$A$3:$AJ$42, COLUMN()  -  1,FALSE)</f>
        <v>0</v>
      </c>
      <c r="F19" s="76">
        <f>VLOOKUP($B19,'Scouting Output'!$A$3:$AJ$42, COLUMN()  -  1,FALSE)</f>
        <v>0</v>
      </c>
      <c r="G19" s="27">
        <f>VLOOKUP($B19,'Scouting Output'!$A$3:$AJ$42,COLUMN() - 1,FALSE)</f>
        <v>0</v>
      </c>
      <c r="H19" s="76">
        <f>VLOOKUP($B19,'Scouting Output'!$A$3:$AJ$42,COLUMN() - 1,FALSE)</f>
        <v>0</v>
      </c>
      <c r="I19" s="76">
        <f>VLOOKUP($B19,'Scouting Output'!$A$3:$AJ$42,COLUMN() - 1,FALSE)</f>
        <v>0</v>
      </c>
      <c r="J19" s="76">
        <f>VLOOKUP($B19,'Scouting Output'!$A$3:$AJ$42,COLUMN() - 1,FALSE)</f>
        <v>0</v>
      </c>
      <c r="K19" s="76">
        <f>VLOOKUP($B19,'Scouting Output'!$A$3:$AJ$42,COLUMN() - 1,FALSE)</f>
        <v>0</v>
      </c>
      <c r="L19" s="76">
        <f>VLOOKUP($B19,'Scouting Output'!$A$3:$AJ$42,COLUMN() - 1,FALSE)</f>
        <v>0</v>
      </c>
      <c r="M19" s="76">
        <f>VLOOKUP($B19,'Scouting Output'!$A$3:$AJ$42,COLUMN() - 1,FALSE)</f>
        <v>0</v>
      </c>
      <c r="N19" s="76">
        <f>VLOOKUP($B19,'Scouting Output'!$A$3:$AJ$42,COLUMN() - 1,FALSE)</f>
        <v>0</v>
      </c>
      <c r="O19" s="76">
        <f>VLOOKUP($B19,'Scouting Output'!$A$3:$AJ$42,COLUMN() - 1,FALSE)</f>
        <v>0</v>
      </c>
      <c r="P19" s="76">
        <f>VLOOKUP($B19,'Scouting Output'!$A$3:$AJ$42,COLUMN() - 1,FALSE)</f>
        <v>0</v>
      </c>
      <c r="Q19" s="79">
        <f>VLOOKUP($B19,'Scouting Output'!$A$3:$AJ$42,COLUMN() - 1,FALSE)</f>
        <v>0</v>
      </c>
      <c r="R19" s="27">
        <f>VLOOKUP($B19,'Scouting Output'!$A$3:$AJ$42,COLUMN() - 1,FALSE)</f>
        <v>0</v>
      </c>
      <c r="S19" s="76">
        <f>VLOOKUP($B19,'Scouting Output'!$A$3:$AJ$42,COLUMN() - 1,FALSE)</f>
        <v>0</v>
      </c>
      <c r="T19" s="76">
        <f>VLOOKUP($B19,'Scouting Output'!$A$3:$AJ$42,COLUMN() - 1,FALSE)</f>
        <v>0</v>
      </c>
      <c r="U19" s="76">
        <f>VLOOKUP($B19,'Scouting Output'!$A$3:$AJ$42,COLUMN() - 1,FALSE)</f>
        <v>0</v>
      </c>
      <c r="V19" s="76">
        <f>VLOOKUP($B19,'Scouting Output'!$A$3:$AJ$42,COLUMN() - 1,FALSE)</f>
        <v>0</v>
      </c>
      <c r="W19" s="76">
        <f>VLOOKUP($B19,'Scouting Output'!$A$3:$AJ$42,COLUMN() - 1,FALSE)</f>
        <v>0</v>
      </c>
      <c r="X19" s="76">
        <f>VLOOKUP($B19,'Scouting Output'!$A$3:$AJ$42,COLUMN() - 1,FALSE)</f>
        <v>0</v>
      </c>
      <c r="Y19" s="76">
        <f>VLOOKUP($B19,'Scouting Output'!$A$3:$AJ$42,COLUMN() - 1,FALSE)</f>
        <v>0</v>
      </c>
      <c r="Z19" s="76">
        <f>VLOOKUP($B19,'Scouting Output'!$A$3:$AJ$42,COLUMN() - 1,FALSE)</f>
        <v>0</v>
      </c>
      <c r="AA19" s="76">
        <f>VLOOKUP($B19,'Scouting Output'!$A$3:$AJ$42,COLUMN() - 1,FALSE)</f>
        <v>0</v>
      </c>
      <c r="AB19" s="76">
        <f>VLOOKUP($B19,'Scouting Output'!$A$3:$AJ$42,COLUMN() - 1,FALSE)</f>
        <v>0</v>
      </c>
      <c r="AC19" s="76">
        <f>VLOOKUP($B19,'Scouting Output'!$A$3:$AJ$42,COLUMN() - 1,FALSE)</f>
        <v>0</v>
      </c>
      <c r="AD19" s="76">
        <f>VLOOKUP($B19,'Scouting Output'!$A$3:$AJ$42,COLUMN() - 1,FALSE)</f>
        <v>0</v>
      </c>
      <c r="AE19" s="79">
        <f>VLOOKUP($B19,'Scouting Output'!$A$3:$AJ$42,COLUMN() - 1,FALSE)</f>
        <v>0</v>
      </c>
      <c r="AF19" s="27">
        <f>VLOOKUP($B19,'Scouting Output'!$A$3:$AJ$42,COLUMN() - 1,FALSE)</f>
        <v>0</v>
      </c>
      <c r="AG19" s="76">
        <f>VLOOKUP($B19,'Scouting Output'!$A$3:$AJ$42,COLUMN() - 1,FALSE)</f>
        <v>0</v>
      </c>
      <c r="AH19" s="76">
        <f>VLOOKUP($B19,'Scouting Output'!$A$3:$AJ$42,COLUMN() - 1,FALSE)</f>
        <v>0</v>
      </c>
      <c r="AI19" s="76">
        <f>VLOOKUP($B19,'Scouting Output'!$A$3:$AJ$42,COLUMN() - 1,FALSE)</f>
        <v>0</v>
      </c>
      <c r="AJ19" s="76">
        <f>VLOOKUP($B19,'Scouting Output'!$A$3:$AJ$42,COLUMN() - 1,FALSE)</f>
        <v>0</v>
      </c>
      <c r="AK19" s="79">
        <f>VLOOKUP($B19,'Scouting Output'!$A$3:$AJ$42,COLUMN() - 1,FALSE)</f>
        <v>0</v>
      </c>
    </row>
    <row r="20" spans="1:37" ht="16.5" thickTop="1" thickBot="1">
      <c r="C20" s="120" t="s">
        <v>242</v>
      </c>
      <c r="D20" s="76" t="e">
        <f>SUM(D17, D18, D19)</f>
        <v>#N/A</v>
      </c>
      <c r="E20" s="79" t="e">
        <f>SUM(E17, E18, E19)</f>
        <v>#N/A</v>
      </c>
    </row>
    <row r="21" spans="1:37" ht="15.75" thickTop="1"/>
    <row r="23" spans="1:37">
      <c r="A23" s="30"/>
    </row>
    <row r="25" spans="1:37">
      <c r="B25" s="30"/>
      <c r="C25" s="30"/>
      <c r="D25" s="30"/>
      <c r="E25" s="30"/>
      <c r="F25" s="30"/>
      <c r="G25" s="30"/>
      <c r="H25" s="30"/>
      <c r="I25" s="30"/>
    </row>
  </sheetData>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62"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zoomScale="90" zoomScaleNormal="90" workbookViewId="0">
      <pane xSplit="1" topLeftCell="B1" activePane="topRight" state="frozen"/>
      <selection pane="topRight" activeCell="B24" sqref="B24"/>
    </sheetView>
  </sheetViews>
  <sheetFormatPr defaultColWidth="11" defaultRowHeight="15"/>
  <cols>
    <col min="1" max="1" width="17.5703125" customWidth="1"/>
    <col min="2" max="2" width="13.140625" customWidth="1"/>
    <col min="3" max="3" width="9.5703125" customWidth="1"/>
    <col min="4" max="5" width="9.28515625" customWidth="1"/>
    <col min="6" max="6" width="9.42578125" customWidth="1"/>
    <col min="7" max="7" width="10.5703125" customWidth="1"/>
    <col min="10" max="10" width="6.7109375" customWidth="1"/>
    <col min="11" max="11" width="8.42578125" customWidth="1"/>
    <col min="12" max="12" width="9.5703125" customWidth="1"/>
    <col min="14" max="14" width="13.140625" customWidth="1"/>
    <col min="16" max="16" width="12.42578125" customWidth="1"/>
  </cols>
  <sheetData>
    <row r="1" spans="1:16">
      <c r="A1" t="s">
        <v>326</v>
      </c>
      <c r="B1" s="127" t="s">
        <v>36</v>
      </c>
      <c r="C1" s="127"/>
    </row>
    <row r="2" spans="1:16">
      <c r="B2" s="136" t="s">
        <v>333</v>
      </c>
      <c r="C2" s="136"/>
      <c r="D2" s="136"/>
      <c r="E2" s="136"/>
      <c r="F2" s="136"/>
      <c r="G2" s="136"/>
      <c r="H2" s="136"/>
      <c r="I2" s="136"/>
      <c r="J2" s="136"/>
      <c r="K2" s="136"/>
      <c r="L2" s="136"/>
      <c r="M2" s="151" t="s">
        <v>329</v>
      </c>
      <c r="N2" s="136"/>
      <c r="O2" s="136"/>
      <c r="P2" s="136"/>
    </row>
    <row r="3" spans="1:16" ht="15.75" thickBot="1">
      <c r="B3" t="s">
        <v>325</v>
      </c>
      <c r="C3" t="s">
        <v>332</v>
      </c>
      <c r="D3" t="s">
        <v>327</v>
      </c>
      <c r="E3" t="s">
        <v>336</v>
      </c>
      <c r="F3" t="s">
        <v>337</v>
      </c>
      <c r="G3" t="s">
        <v>328</v>
      </c>
      <c r="H3" t="s">
        <v>334</v>
      </c>
      <c r="I3" t="s">
        <v>335</v>
      </c>
      <c r="J3" t="s">
        <v>256</v>
      </c>
      <c r="K3" t="s">
        <v>338</v>
      </c>
      <c r="L3" t="s">
        <v>258</v>
      </c>
      <c r="M3" s="4" t="s">
        <v>327</v>
      </c>
      <c r="N3" t="s">
        <v>330</v>
      </c>
      <c r="O3" t="s">
        <v>328</v>
      </c>
      <c r="P3" t="s">
        <v>331</v>
      </c>
    </row>
    <row r="4" spans="1:16" ht="16.5" thickTop="1" thickBot="1">
      <c r="A4" s="87">
        <f>VLOOKUP($B$1,'EVENT DATA'!$B$5:$H$99,2,FALSE)</f>
        <v>1285</v>
      </c>
      <c r="B4" s="131">
        <f>VLOOKUP($A4,'Scouting Output'!$A$3:$AJ$42, 3,FALSE)</f>
        <v>0</v>
      </c>
      <c r="C4" s="88">
        <f>VLOOKUP($A4,'Scouting Output'!$A$3:$AJ$42, 17,FALSE)</f>
        <v>0</v>
      </c>
      <c r="D4" s="88">
        <f>VLOOKUP(A4,'Scouting Output'!$A$3:$AJ$42, 18, FALSE)</f>
        <v>0</v>
      </c>
      <c r="E4" s="88">
        <f>SUM(VLOOKUP($A4,'Scouting Output'!$A$3:$AJ$42,19,FALSE), VLOOKUP($A4,'Scouting Output'!$A$3:$AJ$42,20,FALSE))</f>
        <v>0</v>
      </c>
      <c r="F4" s="88">
        <f>SUM(VLOOKUP($A4,'Scouting Output'!$A$3:$AJ$42,21,FALSE), VLOOKUP($A4,'Scouting Output'!$A$3:$AJ$42,22,FALSE))</f>
        <v>0</v>
      </c>
      <c r="G4" s="88">
        <f>VLOOKUP(A4,'Scouting Output'!$A$3:$AJ$42, 23, FALSE)</f>
        <v>0</v>
      </c>
      <c r="H4" s="88">
        <f>SUM(VLOOKUP($A4,'Scouting Output'!$A$3:$AJ$42,24,FALSE), VLOOKUP($A4,'Scouting Output'!$A$3:$AJ$42,25,FALSE))</f>
        <v>0</v>
      </c>
      <c r="I4" s="88">
        <f>SUM(VLOOKUP($A4,'Scouting Output'!$A$3:$AJ$42,26,FALSE), VLOOKUP($A4,'Scouting Output'!$A$3:$AJ$42,27,FALSE))</f>
        <v>0</v>
      </c>
      <c r="J4" s="88">
        <f>VLOOKUP(A4,'Scouting Output'!$A$3:$AJ$42, 30, FALSE)</f>
        <v>0</v>
      </c>
      <c r="K4" s="88">
        <f>VLOOKUP(A4,'Scouting Output'!$A$3:$AJ$42, 28, FALSE)</f>
        <v>0</v>
      </c>
      <c r="L4" s="88">
        <f>VLOOKUP(A4,'Scouting Output'!$A$3:$AJ$42, 34, FALSE)</f>
        <v>0</v>
      </c>
      <c r="M4" s="126">
        <f>VLOOKUP($A4,'Scouting Output'!$A$3:$AJ$42, 7,FALSE)</f>
        <v>0</v>
      </c>
      <c r="N4" s="88">
        <f>SUM(VLOOKUP($A4,'Scouting Output'!$A$3:$AJ$42,8,FALSE), VLOOKUP($A4,'Scouting Output'!$A$3:$AJ$42,9,FALSE), VLOOKUP($A4,'Scouting Output'!$A$3:$AJ$42,10,FALSE), VLOOKUP($A4,'Scouting Output'!$A$3:$AJ$42,11,FALSE))</f>
        <v>0</v>
      </c>
      <c r="O4" s="88">
        <f>VLOOKUP($A4,'Scouting Output'!$A$3:$AJ$42, 12,FALSE)</f>
        <v>0</v>
      </c>
      <c r="P4" s="86">
        <f>SUM(VLOOKUP($A4,'Scouting Output'!$A$3:$AJ$42,13,FALSE), VLOOKUP($A4,'Scouting Output'!$A$3:$AJ$42,14,FALSE), VLOOKUP($A4,'Scouting Output'!$A$3:$AJ$42,15,FALSE), VLOOKUP($A4,'Scouting Output'!$A$3:$AJ$42,16,FALSE))</f>
        <v>0</v>
      </c>
    </row>
    <row r="5" spans="1:16" ht="16.5" thickTop="1" thickBot="1">
      <c r="A5" s="87">
        <f>VLOOKUP($B$1,'EVENT DATA'!$B$5:$H$99,3,FALSE)</f>
        <v>6162</v>
      </c>
      <c r="B5" s="131" t="e">
        <f>VLOOKUP($A5,'Scouting Output'!$A$3:$AJ$42, 3,FALSE)</f>
        <v>#N/A</v>
      </c>
      <c r="C5" s="88" t="e">
        <f>VLOOKUP($A5,'Scouting Output'!$A$3:$AJ$42, 17,FALSE)</f>
        <v>#N/A</v>
      </c>
      <c r="D5" s="88" t="e">
        <f>VLOOKUP(A5,'Scouting Output'!$A$3:$AJ$42, 18, FALSE)</f>
        <v>#N/A</v>
      </c>
      <c r="E5" s="88" t="e">
        <f>SUM(VLOOKUP($A5,'Scouting Output'!$A$3:$AJ$42,19,FALSE), VLOOKUP($A5,'Scouting Output'!$A$3:$AJ$42,20,FALSE))</f>
        <v>#N/A</v>
      </c>
      <c r="F5" s="88" t="e">
        <f>SUM(VLOOKUP($A5,'Scouting Output'!$A$3:$AJ$42,21,FALSE), VLOOKUP($A5,'Scouting Output'!$A$3:$AJ$42,22,FALSE))</f>
        <v>#N/A</v>
      </c>
      <c r="G5" s="88" t="e">
        <f>VLOOKUP(A5,'Scouting Output'!$A$3:$AJ$42, 23, FALSE)</f>
        <v>#N/A</v>
      </c>
      <c r="H5" s="88" t="e">
        <f>SUM(VLOOKUP($A5,'Scouting Output'!$A$3:$AJ$42,24,FALSE), VLOOKUP($A5,'Scouting Output'!$A$3:$AJ$42,25,FALSE))</f>
        <v>#N/A</v>
      </c>
      <c r="I5" s="88" t="e">
        <f>SUM(VLOOKUP($A5,'Scouting Output'!$A$3:$AJ$42,26,FALSE), VLOOKUP($A5,'Scouting Output'!$A$3:$AJ$42,27,FALSE))</f>
        <v>#N/A</v>
      </c>
      <c r="J5" s="88" t="e">
        <f>VLOOKUP(A5,'Scouting Output'!$A$3:$AJ$42, 30, FALSE)</f>
        <v>#N/A</v>
      </c>
      <c r="K5" s="88" t="e">
        <f>VLOOKUP(A5,'Scouting Output'!$A$3:$AJ$42, 28, FALSE)</f>
        <v>#N/A</v>
      </c>
      <c r="L5" s="88" t="e">
        <f>VLOOKUP(A5,'Scouting Output'!$A$3:$AJ$42, 34, FALSE)</f>
        <v>#N/A</v>
      </c>
      <c r="M5" s="126" t="e">
        <f>VLOOKUP($A5,'Scouting Output'!$A$3:$AJ$42, 7,FALSE)</f>
        <v>#N/A</v>
      </c>
      <c r="N5" s="88" t="e">
        <f>SUM(VLOOKUP($A5,'Scouting Output'!$A$3:$AJ$42,8,FALSE), VLOOKUP($A5,'Scouting Output'!$A$3:$AJ$42,9,FALSE), VLOOKUP($A5,'Scouting Output'!$A$3:$AJ$42,10,FALSE), VLOOKUP($A5,'Scouting Output'!$A$3:$AJ$42,11,FALSE))</f>
        <v>#N/A</v>
      </c>
      <c r="O5" s="88" t="e">
        <f>VLOOKUP($A5,'Scouting Output'!$A$3:$AJ$42, 12,FALSE)</f>
        <v>#N/A</v>
      </c>
      <c r="P5" s="86" t="e">
        <f>SUM(VLOOKUP($A5,'Scouting Output'!$A$3:$AJ$42,13,FALSE), VLOOKUP($A5,'Scouting Output'!$A$3:$AJ$42,14,FALSE), VLOOKUP($A5,'Scouting Output'!$A$3:$AJ$42,15,FALSE), VLOOKUP($A5,'Scouting Output'!$A$3:$AJ$42,16,FALSE))</f>
        <v>#N/A</v>
      </c>
    </row>
    <row r="6" spans="1:16" ht="16.5" thickTop="1" thickBot="1">
      <c r="A6" s="87">
        <f>VLOOKUP($B$1,'EVENT DATA'!$B$5:$H$99,4,FALSE)</f>
        <v>5406</v>
      </c>
      <c r="B6" s="131">
        <f>VLOOKUP($A6,'Scouting Output'!$A$3:$AJ$42, 3,FALSE)</f>
        <v>0</v>
      </c>
      <c r="C6" s="88">
        <f>VLOOKUP($A6,'Scouting Output'!$A$3:$AJ$42, 17,FALSE)</f>
        <v>0</v>
      </c>
      <c r="D6" s="88">
        <f>VLOOKUP(A6,'Scouting Output'!$A$3:$AJ$42, 18, FALSE)</f>
        <v>0</v>
      </c>
      <c r="E6" s="88">
        <f>SUM(VLOOKUP($A6,'Scouting Output'!$A$3:$AJ$42,19,FALSE), VLOOKUP($A6,'Scouting Output'!$A$3:$AJ$42,20,FALSE))</f>
        <v>0</v>
      </c>
      <c r="F6" s="88">
        <f>SUM(VLOOKUP($A6,'Scouting Output'!$A$3:$AJ$42,21,FALSE), VLOOKUP($A6,'Scouting Output'!$A$3:$AJ$42,22,FALSE))</f>
        <v>0</v>
      </c>
      <c r="G6" s="88">
        <f>VLOOKUP(A6,'Scouting Output'!$A$3:$AJ$42, 23, FALSE)</f>
        <v>0</v>
      </c>
      <c r="H6" s="88">
        <f>SUM(VLOOKUP($A6,'Scouting Output'!$A$3:$AJ$42,24,FALSE), VLOOKUP($A6,'Scouting Output'!$A$3:$AJ$42,25,FALSE))</f>
        <v>0</v>
      </c>
      <c r="I6" s="88">
        <f>SUM(VLOOKUP($A6,'Scouting Output'!$A$3:$AJ$42,26,FALSE), VLOOKUP($A6,'Scouting Output'!$A$3:$AJ$42,27,FALSE))</f>
        <v>0</v>
      </c>
      <c r="J6" s="88">
        <f>VLOOKUP(A6,'Scouting Output'!$A$3:$AJ$42, 30, FALSE)</f>
        <v>0</v>
      </c>
      <c r="K6" s="88">
        <f>VLOOKUP(A6,'Scouting Output'!$A$3:$AJ$42, 28, FALSE)</f>
        <v>0</v>
      </c>
      <c r="L6" s="88">
        <f>VLOOKUP(A6,'Scouting Output'!$A$3:$AJ$42, 34, FALSE)</f>
        <v>0</v>
      </c>
      <c r="M6" s="126">
        <f>VLOOKUP($A6,'Scouting Output'!$A$3:$AJ$42, 7,FALSE)</f>
        <v>0</v>
      </c>
      <c r="N6" s="88">
        <f>SUM(VLOOKUP($A6,'Scouting Output'!$A$3:$AJ$42,8,FALSE), VLOOKUP($A6,'Scouting Output'!$A$3:$AJ$42,9,FALSE), VLOOKUP($A6,'Scouting Output'!$A$3:$AJ$42,10,FALSE), VLOOKUP($A6,'Scouting Output'!$A$3:$AJ$42,11,FALSE))</f>
        <v>0</v>
      </c>
      <c r="O6" s="88">
        <f>VLOOKUP($A6,'Scouting Output'!$A$3:$AJ$42, 12,FALSE)</f>
        <v>0</v>
      </c>
      <c r="P6" s="86">
        <f>SUM(VLOOKUP($A6,'Scouting Output'!$A$3:$AJ$42,13,FALSE), VLOOKUP($A6,'Scouting Output'!$A$3:$AJ$42,14,FALSE), VLOOKUP($A6,'Scouting Output'!$A$3:$AJ$42,15,FALSE), VLOOKUP($A6,'Scouting Output'!$A$3:$AJ$42,16,FALSE))</f>
        <v>0</v>
      </c>
    </row>
    <row r="7" spans="1:16" ht="15.75" thickTop="1">
      <c r="A7" s="129" t="s">
        <v>339</v>
      </c>
      <c r="B7" s="132" t="e">
        <f>SUM(B4:B6)</f>
        <v>#N/A</v>
      </c>
      <c r="M7" s="4"/>
    </row>
    <row r="8" spans="1:16">
      <c r="M8" s="4"/>
    </row>
    <row r="9" spans="1:16" ht="15.75" thickBot="1">
      <c r="A9" s="130"/>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6.5" thickTop="1" thickBot="1">
      <c r="A10" s="27">
        <f>VLOOKUP($B$1,'EVENT DATA'!$B$5:$H$99,5,FALSE)</f>
        <v>5036</v>
      </c>
      <c r="B10" s="76">
        <f>VLOOKUP($A10,'Scouting Output'!$A$3:$AJ$42, 3,FALSE)</f>
        <v>15.399999999999999</v>
      </c>
      <c r="C10" s="76">
        <f>VLOOKUP($A10,'Scouting Output'!$A$3:$AJ$42, 17,FALSE)</f>
        <v>0</v>
      </c>
      <c r="D10" s="76">
        <f>VLOOKUP(A10,'Scouting Output'!$A$3:$AJ$42, 18, FALSE)</f>
        <v>0</v>
      </c>
      <c r="E10" s="76">
        <f>SUM(VLOOKUP($A10,'Scouting Output'!$A$3:$AJ$42,19,FALSE), VLOOKUP($A10,'Scouting Output'!$A$3:$AJ$42,20,FALSE))</f>
        <v>0.4</v>
      </c>
      <c r="F10" s="76">
        <f>SUM(VLOOKUP($A10,'Scouting Output'!$A$3:$AJ$42,21,FALSE), VLOOKUP($A10,'Scouting Output'!$A$3:$AJ$42,22,FALSE))</f>
        <v>0</v>
      </c>
      <c r="G10" s="76">
        <f>VLOOKUP(A10,'Scouting Output'!$A$3:$AJ$42, 23, FALSE)</f>
        <v>0</v>
      </c>
      <c r="H10" s="76">
        <f>SUM(VLOOKUP($A10,'Scouting Output'!$A$3:$AJ$42,24,FALSE), VLOOKUP($A10,'Scouting Output'!$A$3:$AJ$42,25,FALSE))</f>
        <v>3.4</v>
      </c>
      <c r="I10" s="76">
        <f>SUM(VLOOKUP($A10,'Scouting Output'!$A$3:$AJ$42,26,FALSE), VLOOKUP($A10,'Scouting Output'!$A$3:$AJ$42,27,FALSE))</f>
        <v>0</v>
      </c>
      <c r="J10" s="76">
        <f>VLOOKUP(A10,'Scouting Output'!$A$3:$AJ$42, 30, FALSE)</f>
        <v>0.8</v>
      </c>
      <c r="K10" s="76">
        <f>VLOOKUP(A10,'Scouting Output'!$A$3:$AJ$42, 28, FALSE)</f>
        <v>11.5</v>
      </c>
      <c r="L10" s="76">
        <f>VLOOKUP(A10,'Scouting Output'!$A$3:$AJ$42, 34, FALSE)</f>
        <v>1.3</v>
      </c>
      <c r="M10" s="128">
        <f>VLOOKUP($A10,'Scouting Output'!$A$3:$AJ$42, 7,FALSE)</f>
        <v>0</v>
      </c>
      <c r="N10" s="76">
        <f>SUM(VLOOKUP($A10,'Scouting Output'!$A$3:$AJ$42,8,FALSE), VLOOKUP($A10,'Scouting Output'!$A$3:$AJ$42,9,FALSE), VLOOKUP($A10,'Scouting Output'!$A$3:$AJ$42,10,FALSE), VLOOKUP($A10,'Scouting Output'!$A$3:$AJ$42,11,FALSE))</f>
        <v>0</v>
      </c>
      <c r="O10" s="76">
        <f>VLOOKUP($A10,'Scouting Output'!$A$3:$AJ$42, 12,FALSE)</f>
        <v>0</v>
      </c>
      <c r="P10" s="79">
        <f>SUM(VLOOKUP($A10,'Scouting Output'!$A$3:$AJ$42,13,FALSE), VLOOKUP($A10,'Scouting Output'!$A$3:$AJ$42,14,FALSE), VLOOKUP($A10,'Scouting Output'!$A$3:$AJ$42,15,FALSE), VLOOKUP($A10,'Scouting Output'!$A$3:$AJ$42,16,FALSE))</f>
        <v>0.1</v>
      </c>
    </row>
    <row r="11" spans="1:16" ht="16.5" thickTop="1" thickBot="1">
      <c r="A11" s="27">
        <f>VLOOKUP($B$1,'EVENT DATA'!$B$5:$H$99,6,FALSE)</f>
        <v>1334</v>
      </c>
      <c r="B11" s="76">
        <f>VLOOKUP($A11,'Scouting Output'!$A$3:$AJ$42, 3,FALSE)</f>
        <v>0</v>
      </c>
      <c r="C11" s="76">
        <f>VLOOKUP($A11,'Scouting Output'!$A$3:$AJ$42, 17,FALSE)</f>
        <v>0</v>
      </c>
      <c r="D11" s="76">
        <f>VLOOKUP(A11,'Scouting Output'!$A$3:$AJ$42, 18, FALSE)</f>
        <v>0</v>
      </c>
      <c r="E11" s="76">
        <f>SUM(VLOOKUP($A11,'Scouting Output'!$A$3:$AJ$42,19,FALSE), VLOOKUP($A11,'Scouting Output'!$A$3:$AJ$42,20,FALSE))</f>
        <v>0</v>
      </c>
      <c r="F11" s="76">
        <f>SUM(VLOOKUP($A11,'Scouting Output'!$A$3:$AJ$42,21,FALSE), VLOOKUP($A11,'Scouting Output'!$A$3:$AJ$42,22,FALSE))</f>
        <v>0</v>
      </c>
      <c r="G11" s="76">
        <f>VLOOKUP(A11,'Scouting Output'!$A$3:$AJ$42, 23, FALSE)</f>
        <v>0</v>
      </c>
      <c r="H11" s="76">
        <f>SUM(VLOOKUP($A11,'Scouting Output'!$A$3:$AJ$42,24,FALSE), VLOOKUP($A11,'Scouting Output'!$A$3:$AJ$42,25,FALSE))</f>
        <v>0</v>
      </c>
      <c r="I11" s="76">
        <f>SUM(VLOOKUP($A11,'Scouting Output'!$A$3:$AJ$42,26,FALSE), VLOOKUP($A11,'Scouting Output'!$A$3:$AJ$42,27,FALSE))</f>
        <v>0</v>
      </c>
      <c r="J11" s="76">
        <f>VLOOKUP(A11,'Scouting Output'!$A$3:$AJ$42, 30, FALSE)</f>
        <v>0</v>
      </c>
      <c r="K11" s="76">
        <f>VLOOKUP(A11,'Scouting Output'!$A$3:$AJ$42, 28, FALSE)</f>
        <v>0</v>
      </c>
      <c r="L11" s="76">
        <f>VLOOKUP(A11,'Scouting Output'!$A$3:$AJ$42, 34, FALSE)</f>
        <v>0</v>
      </c>
      <c r="M11" s="128">
        <f>VLOOKUP($A11,'Scouting Output'!$A$3:$AJ$42, 7,FALSE)</f>
        <v>0</v>
      </c>
      <c r="N11" s="76">
        <f>SUM(VLOOKUP($A11,'Scouting Output'!$A$3:$AJ$42,8,FALSE), VLOOKUP($A11,'Scouting Output'!$A$3:$AJ$42,9,FALSE), VLOOKUP($A11,'Scouting Output'!$A$3:$AJ$42,10,FALSE), VLOOKUP($A11,'Scouting Output'!$A$3:$AJ$42,11,FALSE))</f>
        <v>0</v>
      </c>
      <c r="O11" s="76">
        <f>VLOOKUP($A11,'Scouting Output'!$A$3:$AJ$42, 12,FALSE)</f>
        <v>0</v>
      </c>
      <c r="P11" s="79">
        <f>SUM(VLOOKUP($A11,'Scouting Output'!$A$3:$AJ$42,13,FALSE), VLOOKUP($A11,'Scouting Output'!$A$3:$AJ$42,14,FALSE), VLOOKUP($A11,'Scouting Output'!$A$3:$AJ$42,15,FALSE), VLOOKUP($A11,'Scouting Output'!$A$3:$AJ$42,16,FALSE))</f>
        <v>0</v>
      </c>
    </row>
    <row r="12" spans="1:16" ht="16.5" thickTop="1" thickBot="1">
      <c r="A12" s="27">
        <f>VLOOKUP($B$1,'EVENT DATA'!$B$5:$H$99,7,FALSE)</f>
        <v>5076</v>
      </c>
      <c r="B12" s="76">
        <f>VLOOKUP($A12,'Scouting Output'!$A$3:$AJ$42, 3,FALSE)</f>
        <v>0</v>
      </c>
      <c r="C12" s="76">
        <f>VLOOKUP($A12,'Scouting Output'!$A$3:$AJ$42, 17,FALSE)</f>
        <v>0</v>
      </c>
      <c r="D12" s="76">
        <f>VLOOKUP(A12,'Scouting Output'!$A$3:$AJ$42, 18, FALSE)</f>
        <v>0</v>
      </c>
      <c r="E12" s="76">
        <f>SUM(VLOOKUP($A12,'Scouting Output'!$A$3:$AJ$42,19,FALSE), VLOOKUP($A12,'Scouting Output'!$A$3:$AJ$42,20,FALSE))</f>
        <v>0</v>
      </c>
      <c r="F12" s="76">
        <f>SUM(VLOOKUP($A12,'Scouting Output'!$A$3:$AJ$42,21,FALSE), VLOOKUP($A12,'Scouting Output'!$A$3:$AJ$42,22,FALSE))</f>
        <v>0</v>
      </c>
      <c r="G12" s="76">
        <f>VLOOKUP(A12,'Scouting Output'!$A$3:$AJ$42, 23, FALSE)</f>
        <v>0</v>
      </c>
      <c r="H12" s="76">
        <f>SUM(VLOOKUP($A12,'Scouting Output'!$A$3:$AJ$42,24,FALSE), VLOOKUP($A12,'Scouting Output'!$A$3:$AJ$42,25,FALSE))</f>
        <v>0</v>
      </c>
      <c r="I12" s="76">
        <f>SUM(VLOOKUP($A12,'Scouting Output'!$A$3:$AJ$42,26,FALSE), VLOOKUP($A12,'Scouting Output'!$A$3:$AJ$42,27,FALSE))</f>
        <v>0</v>
      </c>
      <c r="J12" s="76">
        <f>VLOOKUP(A12,'Scouting Output'!$A$3:$AJ$42, 30, FALSE)</f>
        <v>0</v>
      </c>
      <c r="K12" s="76">
        <f>VLOOKUP(A12,'Scouting Output'!$A$3:$AJ$42, 28, FALSE)</f>
        <v>0</v>
      </c>
      <c r="L12" s="76">
        <f>VLOOKUP(A12,'Scouting Output'!$A$3:$AJ$42, 34, FALSE)</f>
        <v>0</v>
      </c>
      <c r="M12" s="128">
        <f>VLOOKUP($A12,'Scouting Output'!$A$3:$AJ$42, 7,FALSE)</f>
        <v>0</v>
      </c>
      <c r="N12" s="76">
        <f>SUM(VLOOKUP($A12,'Scouting Output'!$A$3:$AJ$42,8,FALSE), VLOOKUP($A12,'Scouting Output'!$A$3:$AJ$42,9,FALSE), VLOOKUP($A12,'Scouting Output'!$A$3:$AJ$42,10,FALSE), VLOOKUP($A12,'Scouting Output'!$A$3:$AJ$42,11,FALSE))</f>
        <v>0</v>
      </c>
      <c r="O12" s="76">
        <f>VLOOKUP($A12,'Scouting Output'!$A$3:$AJ$42, 12,FALSE)</f>
        <v>0</v>
      </c>
      <c r="P12" s="79">
        <f>SUM(VLOOKUP($A12,'Scouting Output'!$A$3:$AJ$42,13,FALSE), VLOOKUP($A12,'Scouting Output'!$A$3:$AJ$42,14,FALSE), VLOOKUP($A12,'Scouting Output'!$A$3:$AJ$42,15,FALSE), VLOOKUP($A12,'Scouting Output'!$A$3:$AJ$42,16,FALSE))</f>
        <v>0</v>
      </c>
    </row>
    <row r="13" spans="1:16" ht="15.75" thickTop="1">
      <c r="A13" t="s">
        <v>339</v>
      </c>
      <c r="B13">
        <f>SUM(B10:B12)</f>
        <v>15.399999999999999</v>
      </c>
      <c r="G13" s="82"/>
      <c r="M13" s="4"/>
    </row>
    <row r="14" spans="1:16">
      <c r="M14" s="4"/>
    </row>
  </sheetData>
  <mergeCells count="2">
    <mergeCell ref="M2:P2"/>
    <mergeCell ref="B2:L2"/>
  </mergeCells>
  <conditionalFormatting sqref="A4:A7">
    <cfRule type="cellIs" dxfId="61" priority="3" operator="equal">
      <formula>6135</formula>
    </cfRule>
  </conditionalFormatting>
  <conditionalFormatting sqref="A10:A12">
    <cfRule type="cellIs" dxfId="60" priority="2" operator="equal">
      <formula>6135</formula>
    </cfRule>
  </conditionalFormatting>
  <conditionalFormatting sqref="A7:B7">
    <cfRule type="expression" priority="1">
      <formula>"if($B$7&gt;$B$13,TRUE,FALSE)"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Y100"/>
  <sheetViews>
    <sheetView zoomScale="75" zoomScaleNormal="50" workbookViewId="0">
      <pane xSplit="2" ySplit="2" topLeftCell="S36" activePane="bottomRight" state="frozen"/>
      <selection pane="topRight" activeCell="C1" sqref="C1"/>
      <selection pane="bottomLeft" activeCell="A3" sqref="A3"/>
      <selection pane="bottomRight" activeCell="A52" sqref="A52"/>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49" s="1" customFormat="1">
      <c r="A1" s="149" t="s">
        <v>0</v>
      </c>
      <c r="B1" s="149"/>
      <c r="G1" s="152" t="s">
        <v>9</v>
      </c>
      <c r="H1" s="149"/>
      <c r="I1" s="149"/>
      <c r="J1" s="149"/>
      <c r="K1" s="149"/>
      <c r="L1" s="149"/>
      <c r="M1" s="149"/>
      <c r="N1" s="149"/>
      <c r="O1" s="149"/>
      <c r="P1" s="153"/>
      <c r="Q1" s="151" t="s">
        <v>1</v>
      </c>
      <c r="R1" s="136"/>
      <c r="S1" s="136"/>
      <c r="T1" s="136"/>
      <c r="U1" s="136"/>
      <c r="V1" s="136"/>
      <c r="W1" s="136"/>
      <c r="X1" s="136"/>
      <c r="Y1" s="136"/>
      <c r="Z1" s="136"/>
      <c r="AA1" s="136"/>
      <c r="AB1" s="136"/>
      <c r="AC1" s="136"/>
      <c r="AD1" s="154"/>
      <c r="AE1" s="151" t="s">
        <v>2</v>
      </c>
      <c r="AF1" s="136"/>
      <c r="AG1" s="136"/>
      <c r="AH1" s="136"/>
      <c r="AI1" s="154"/>
      <c r="AJ1" s="4"/>
      <c r="AK1"/>
    </row>
    <row r="2" spans="1:49" s="1" customFormat="1" ht="15.75" thickBot="1">
      <c r="A2" s="2" t="s">
        <v>3</v>
      </c>
      <c r="B2" s="5" t="s">
        <v>4</v>
      </c>
      <c r="C2" s="2" t="s">
        <v>240</v>
      </c>
      <c r="D2" s="2" t="s">
        <v>241</v>
      </c>
      <c r="E2" s="2" t="s">
        <v>113</v>
      </c>
      <c r="F2" s="2" t="s">
        <v>134</v>
      </c>
      <c r="G2" s="3" t="s">
        <v>135</v>
      </c>
      <c r="H2" s="2" t="s">
        <v>130</v>
      </c>
      <c r="I2" s="2" t="s">
        <v>129</v>
      </c>
      <c r="J2" s="2" t="s">
        <v>11</v>
      </c>
      <c r="K2" s="2" t="s">
        <v>12</v>
      </c>
      <c r="L2" s="2" t="s">
        <v>136</v>
      </c>
      <c r="M2" s="2" t="s">
        <v>13</v>
      </c>
      <c r="N2" s="2" t="s">
        <v>14</v>
      </c>
      <c r="O2" s="2" t="s">
        <v>15</v>
      </c>
      <c r="P2" s="78" t="s">
        <v>16</v>
      </c>
      <c r="Q2" s="2" t="s">
        <v>134</v>
      </c>
      <c r="R2" s="2" t="s">
        <v>135</v>
      </c>
      <c r="S2" s="2" t="s">
        <v>130</v>
      </c>
      <c r="T2" s="2" t="s">
        <v>129</v>
      </c>
      <c r="U2" s="2" t="s">
        <v>11</v>
      </c>
      <c r="V2" s="2" t="s">
        <v>12</v>
      </c>
      <c r="W2" s="2" t="s">
        <v>136</v>
      </c>
      <c r="X2" s="2" t="s">
        <v>13</v>
      </c>
      <c r="Y2" s="2" t="s">
        <v>14</v>
      </c>
      <c r="Z2" s="2" t="s">
        <v>15</v>
      </c>
      <c r="AA2" s="2" t="s">
        <v>16</v>
      </c>
      <c r="AB2" s="2" t="s">
        <v>17</v>
      </c>
      <c r="AC2" s="2" t="s">
        <v>128</v>
      </c>
      <c r="AD2" s="2" t="s">
        <v>23</v>
      </c>
      <c r="AE2" s="3" t="s">
        <v>5</v>
      </c>
      <c r="AF2" s="2" t="s">
        <v>6</v>
      </c>
      <c r="AG2" s="2" t="s">
        <v>118</v>
      </c>
      <c r="AH2" s="2" t="s">
        <v>7</v>
      </c>
      <c r="AI2" s="2" t="s">
        <v>141</v>
      </c>
      <c r="AJ2" s="3" t="s">
        <v>8</v>
      </c>
      <c r="AK2" s="1" t="s">
        <v>237</v>
      </c>
      <c r="AL2" s="1" t="s">
        <v>238</v>
      </c>
      <c r="AM2" s="1" t="s">
        <v>239</v>
      </c>
    </row>
    <row r="3" spans="1:49" ht="15.75" thickBot="1">
      <c r="A3">
        <v>188</v>
      </c>
      <c r="B3" t="s">
        <v>197</v>
      </c>
      <c r="C3">
        <f t="shared" ref="C3:C34" si="0">PRODUCT($E3,3)+PRODUCT(SUM($H3:$K3),2)+PRODUCT(SUM($M3:$P3),3)+PRODUCT(SUM($S3:$V3),2)+PRODUCT(SUM($X3:$AA3), 3)+IF($AC3 &gt; 2, PRODUCT(SUM($AC3, -1),6), PRODUCT($AC3,3)) + IF($AD3 &gt; 2, PRODUCT(SUM($AD3, -1),6), PRODUCT($AD3,3)) + PRODUCT($AH3, -1)</f>
        <v>18.777777777777779</v>
      </c>
      <c r="D3">
        <f t="shared" ref="D3:D34" si="1">PRODUCT(SUM($H3:$I3), 2) + PRODUCT(SUM($M3:$N3),3) + PRODUCT(SUM($S3:$T3), 2) + PRODUCT(SUM($X3:$Y3), 3)</f>
        <v>5</v>
      </c>
      <c r="E3">
        <f>IF( COUNTIF('Raw Data'!$A$3:$A$2927,$A3)=0,0,SUMIF('Raw Data'!$A$3:$A$2927, $A3,'Raw Data'!D$3:D$2927) / COUNTIF('Raw Data'!$A$3:$A$2927,$A3))</f>
        <v>1.1111111111111112</v>
      </c>
      <c r="F3">
        <f>MAX(IF('Raw Data'!$A$3:$A$927=$A3, 'Raw Data'!$O$3:$O$927))</f>
        <v>0</v>
      </c>
      <c r="G3">
        <f>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MAX(IF('Raw Data'!$A$3:$A$927=$A3, 'Raw Data'!$Z$3:$Z$927))</f>
        <v>0</v>
      </c>
      <c r="R3">
        <f>MAX(IF('Raw Data'!$A$3:$A$927=$A3, 'Raw Data'!$T$3:$T$927))</f>
        <v>0</v>
      </c>
      <c r="S3">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MAX(IF('Raw Data'!$A$3:$A$927=$A3, 'Raw Data'!$Y$3:$Y$927))</f>
        <v>0</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 t="shared" ref="AK3:AK34" si="2">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 t="shared" ref="AL3:AL34" si="3">SUM(hHatch * SUM($H3:$K3), hHatch * SUM($S3:$V3), hRocket23 * SUM($J3:$K3), hRocket23 * SUM($U3:$V3), hSandstorm * SUM($H3:$K3), hPenalty * $AH3, hDropHatch * $AI3,hTippedBroke * SUM($AE3:$AF3), IF($E3 &lt; hNoAutoThreshold, hNoAuto), IF($AG3 &gt; hFloorHatchThreshold, hFloorHatch))</f>
        <v>-0.38888888888888884</v>
      </c>
      <c r="AM3">
        <f t="shared" ref="AM3:AM34" si="4">SUM(cCargo * SUM($M3:$P3), cCargo *SUM( $X3:$AA3), cRocket23 * SUM($O3:$P3, $Z3:$AA3),cSandstorm * SUM($M3:$P3), cPenalty * $AH3, cTippedBroke * SUM($AE3:$AF3), IF($E3 &lt; cNoAutoThreshold, cNoAuto, 0))</f>
        <v>3.5555555555555554</v>
      </c>
    </row>
    <row r="4" spans="1:49" ht="15.75" thickBot="1">
      <c r="A4">
        <v>610</v>
      </c>
      <c r="B4" t="s">
        <v>198</v>
      </c>
      <c r="C4">
        <f t="shared" si="0"/>
        <v>21.555555555555554</v>
      </c>
      <c r="D4">
        <f t="shared" si="1"/>
        <v>7.333333333333333</v>
      </c>
      <c r="E4">
        <f>IF( COUNTIF('Raw Data'!$A$3:$A$2927,$A4)=0,0,SUMIF('Raw Data'!$A$3:$A$2927, $A4,'Raw Data'!D$3:D$2927) / COUNTIF('Raw Data'!$A$3:$A$2927,$A4))</f>
        <v>1.3333333333333333</v>
      </c>
      <c r="F4">
        <f>MAX(IF('Raw Data'!$A$3:$A$927=$A4, 'Raw Data'!$O$3:$O$927))</f>
        <v>0</v>
      </c>
      <c r="G4">
        <f>MAX(IF('Raw Data'!$A$3:$A$927=$A4, 'Raw Data'!$I$3:$I$927))</f>
        <v>0</v>
      </c>
      <c r="H4">
        <f>IF( COUNTIF('Raw Data'!$A$3:$A$2927,$A4)=0,0,SUMIF('Raw Data'!$A$3:$A$2927, $A4,'Raw Data'!E$3:E$2927) / COUNTIF('Raw Data'!$A$3:$A$2927,$A4))</f>
        <v>0.1111111111111111</v>
      </c>
      <c r="I4">
        <f>IF( COUNTIF('Raw Data'!$A$3:$A$2927,$A4)=0,0,SUMIF('Raw Data'!$A$3:$A$2927, $A4,'Raw Data'!F$3:F$2927) / COUNTIF('Raw Data'!$A$3:$A$2927,$A4))</f>
        <v>0.22222222222222221</v>
      </c>
      <c r="J4">
        <f>IF( COUNTIF('Raw Data'!$A$3:$A$2927,$A4)=0,0,SUMIF('Raw Data'!$A$3:$A$2927, $A4,'Raw Data'!G$3:G$2927) / COUNTIF('Raw Data'!$A$3:$A$2927,$A4))</f>
        <v>0</v>
      </c>
      <c r="K4">
        <f>IF( COUNTIF('Raw Data'!$A$3:$A$2927,$A4)=0,0,SUMIF('Raw Data'!$A$3:$A$2927, $A4,'Raw Data'!H$3:H$2927) / COUNTIF('Raw Data'!$A$3:$A$2927,$A4))</f>
        <v>0</v>
      </c>
      <c r="L4">
        <f>MAX(IF('Raw Data'!$A$3:$A$927=$A4, 'Raw Data'!$N$3:$N$927))</f>
        <v>0</v>
      </c>
      <c r="M4">
        <f>IF( COUNTIF('Raw Data'!$A$3:$A$2927,$A4)=0,0,SUMIF('Raw Data'!$A$3:$A$2927, $A4,'Raw Data'!J$3:J$2927) / COUNTIF('Raw Data'!$A$3:$A$2927,$A4))</f>
        <v>0.1111111111111111</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MAX(IF('Raw Data'!$A$3:$A$927=$A4, 'Raw Data'!$Z$3:$Z$927))</f>
        <v>0</v>
      </c>
      <c r="R4">
        <f>MAX(IF('Raw Data'!$A$3:$A$927=$A4, 'Raw Data'!$T$3:$T$927))</f>
        <v>0</v>
      </c>
      <c r="S4">
        <f>IF( COUNTIF('Raw Data'!$A$3:$A$2927,$A4)=0,0,SUMIF('Raw Data'!$A$3:$A$2927, $A4,'Raw Data'!P$3:P$2927) / COUNTIF('Raw Data'!$A$3:$A$2927,$A4))</f>
        <v>0.88888888888888884</v>
      </c>
      <c r="T4">
        <f>IF( COUNTIF('Raw Data'!$A$3:$A$2927,$A4)=0,0,SUMIF('Raw Data'!$A$3:$A$2927, $A4,'Raw Data'!Q$3:Q$2927) / COUNTIF('Raw Data'!$A$3:$A$2927,$A4))</f>
        <v>0.1111111111111111</v>
      </c>
      <c r="U4">
        <f>IF( COUNTIF('Raw Data'!$A$3:$A$2927,$A4)=0,0,SUMIF('Raw Data'!$A$3:$A$2927, $A4,'Raw Data'!R$3:R$2927) / COUNTIF('Raw Data'!$A$3:$A$2927,$A4))</f>
        <v>1</v>
      </c>
      <c r="V4">
        <f>IF( COUNTIF('Raw Data'!$A$3:$A$2927,$A4)=0,0,SUMIF('Raw Data'!$A$3:$A$2927, $A4,'Raw Data'!S$3:S$2927) / COUNTIF('Raw Data'!$A$3:$A$2927,$A4))</f>
        <v>0.44444444444444442</v>
      </c>
      <c r="W4">
        <f>MAX(IF('Raw Data'!$A$3:$A$927=$A4, 'Raw Data'!$Y$3:$Y$927))</f>
        <v>0</v>
      </c>
      <c r="X4">
        <f>IF( COUNTIF('Raw Data'!$A$3:$A$2927,$A4)=0,0,SUMIF('Raw Data'!$A$3:$A$2927, $A4,'Raw Data'!U$3:U$2927) / COUNTIF('Raw Data'!$A$3:$A$2927,$A4))</f>
        <v>1.4444444444444444</v>
      </c>
      <c r="Y4">
        <f>IF( COUNTIF('Raw Data'!$A$3:$A$2927,$A4)=0,0,SUMIF('Raw Data'!$A$3:$A$2927, $A4,'Raw Data'!V$3:V$2927) / COUNTIF('Raw Data'!$A$3:$A$2927,$A4))</f>
        <v>0</v>
      </c>
      <c r="Z4">
        <f>IF( COUNTIF('Raw Data'!$A$3:$A$2927,$A4)=0,0,SUMIF('Raw Data'!$A$3:$A$2927, $A4,'Raw Data'!W$3:W$2927) / COUNTIF('Raw Data'!$A$3:$A$2927,$A4))</f>
        <v>0.44444444444444442</v>
      </c>
      <c r="AA4">
        <f>IF( COUNTIF('Raw Data'!$A$3:$A$2927,$A4)=0,0,SUMIF('Raw Data'!$A$3:$A$2927, $A4,'Raw Data'!X$3:X$2927) / COUNTIF('Raw Data'!$A$3:$A$2927,$A4))</f>
        <v>0.22222222222222221</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2</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0.66666666666666663</v>
      </c>
      <c r="AI4">
        <f>IF( COUNTIF('Raw Data'!$A$3:$A$2927,$A4)=0,0,SUMIF('Raw Data'!$A$3:$A$2927, $A4,'Raw Data'!AH$3:AH$2927) / COUNTIF('Raw Data'!$A$3:$A$2927,$A4))</f>
        <v>0.22222222222222221</v>
      </c>
      <c r="AJ4" s="116">
        <f>COUNTIF('Raw Data'!A$3:A$2927, $A4)</f>
        <v>9</v>
      </c>
      <c r="AK4">
        <f t="shared" si="2"/>
        <v>6.522222222222223</v>
      </c>
      <c r="AL4">
        <f t="shared" si="3"/>
        <v>2.4444444444444446</v>
      </c>
      <c r="AM4">
        <f t="shared" si="4"/>
        <v>2.3633333333333333</v>
      </c>
    </row>
    <row r="5" spans="1:49" ht="15.75" thickBot="1">
      <c r="A5">
        <v>746</v>
      </c>
      <c r="B5" t="s">
        <v>367</v>
      </c>
      <c r="C5">
        <f t="shared" si="0"/>
        <v>0</v>
      </c>
      <c r="D5">
        <f t="shared" si="1"/>
        <v>0</v>
      </c>
      <c r="E5">
        <f>IF( COUNTIF('Raw Data'!$A$3:$A$2927,$A5)=0,0,SUMIF('Raw Data'!$A$3:$A$2927, $A5,'Raw Data'!D$3:D$2927) / COUNTIF('Raw Data'!$A$3:$A$2927,$A5))</f>
        <v>0</v>
      </c>
      <c r="F5">
        <f>MAX(IF('Raw Data'!$A$3:$A$927=$A5, 'Raw Data'!$O$3:$O$927))</f>
        <v>0</v>
      </c>
      <c r="G5">
        <f>MAX(IF('Raw Data'!$A$3:$A$927=$A5, 'Raw Data'!$I$3:$I$927))</f>
        <v>0</v>
      </c>
      <c r="H5">
        <f>IF( COUNTIF('Raw Data'!$A$3:$A$2927,$A5)=0,0,SUMIF('Raw Data'!$A$3:$A$2927, $A5,'Raw Data'!E$3:E$2927) / COUNTIF('Raw Data'!$A$3:$A$2927,$A5))</f>
        <v>0</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MAX(IF('Raw Data'!$A$3:$A$927=$A5, 'Raw Data'!$Z$3:$Z$927))</f>
        <v>0</v>
      </c>
      <c r="R5">
        <f>MAX(IF('Raw Data'!$A$3:$A$927=$A5, 'Raw Data'!$T$3:$T$927))</f>
        <v>0</v>
      </c>
      <c r="S5">
        <f>IF( COUNTIF('Raw Data'!$A$3:$A$2927,$A5)=0,0,SUMIF('Raw Data'!$A$3:$A$2927, $A5,'Raw Data'!P$3:P$2927) / COUNTIF('Raw Data'!$A$3:$A$2927,$A5))</f>
        <v>0</v>
      </c>
      <c r="T5">
        <f>IF( COUNTIF('Raw Data'!$A$3:$A$2927,$A5)=0,0,SUMIF('Raw Data'!$A$3:$A$2927, $A5,'Raw Data'!Q$3:Q$2927) / COUNTIF('Raw Data'!$A$3:$A$2927,$A5))</f>
        <v>0</v>
      </c>
      <c r="U5">
        <f>IF( COUNTIF('Raw Data'!$A$3:$A$2927,$A5)=0,0,SUMIF('Raw Data'!$A$3:$A$2927, $A5,'Raw Data'!R$3:R$2927) / COUNTIF('Raw Data'!$A$3:$A$2927,$A5))</f>
        <v>0</v>
      </c>
      <c r="V5">
        <f>IF( COUNTIF('Raw Data'!$A$3:$A$2927,$A5)=0,0,SUMIF('Raw Data'!$A$3:$A$2927, $A5,'Raw Data'!S$3:S$2927) / COUNTIF('Raw Data'!$A$3:$A$2927,$A5))</f>
        <v>0</v>
      </c>
      <c r="W5">
        <f>MAX(IF('Raw Data'!$A$3:$A$927=$A5, 'Raw Data'!$Y$3:$Y$927))</f>
        <v>0</v>
      </c>
      <c r="X5">
        <f>IF( COUNTIF('Raw Data'!$A$3:$A$2927,$A5)=0,0,SUMIF('Raw Data'!$A$3:$A$2927, $A5,'Raw Data'!U$3:U$2927) / COUNTIF('Raw Data'!$A$3:$A$2927,$A5))</f>
        <v>0</v>
      </c>
      <c r="Y5">
        <f>IF( COUNTIF('Raw Data'!$A$3:$A$2927,$A5)=0,0,SUMIF('Raw Data'!$A$3:$A$2927, $A5,'Raw Data'!V$3:V$2927) / COUNTIF('Raw Data'!$A$3:$A$2927,$A5))</f>
        <v>0</v>
      </c>
      <c r="Z5">
        <f>IF( COUNTIF('Raw Data'!$A$3:$A$2927,$A5)=0,0,SUMIF('Raw Data'!$A$3:$A$2927, $A5,'Raw Data'!W$3:W$2927) / COUNTIF('Raw Data'!$A$3:$A$2927,$A5))</f>
        <v>0</v>
      </c>
      <c r="AA5">
        <f>IF( COUNTIF('Raw Data'!$A$3:$A$2927,$A5)=0,0,SUMIF('Raw Data'!$A$3:$A$2927, $A5,'Raw Data'!X$3:X$2927) / COUNTIF('Raw Data'!$A$3:$A$2927,$A5))</f>
        <v>0</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0</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v>
      </c>
      <c r="AI5">
        <f>IF( COUNTIF('Raw Data'!$A$3:$A$2927,$A5)=0,0,SUMIF('Raw Data'!$A$3:$A$2927, $A5,'Raw Data'!AH$3:AH$2927) / COUNTIF('Raw Data'!$A$3:$A$2927,$A5))</f>
        <v>0</v>
      </c>
      <c r="AJ5" s="116">
        <f>COUNTIF('Raw Data'!A$3:A$2927, $A5)</f>
        <v>0</v>
      </c>
      <c r="AK5">
        <f t="shared" si="2"/>
        <v>-21</v>
      </c>
      <c r="AL5">
        <f t="shared" si="3"/>
        <v>-1.5</v>
      </c>
      <c r="AM5">
        <f t="shared" si="4"/>
        <v>-1</v>
      </c>
      <c r="AP5" t="s">
        <v>289</v>
      </c>
    </row>
    <row r="6" spans="1:49" ht="15.75" thickBot="1">
      <c r="A6">
        <v>919</v>
      </c>
      <c r="B6" t="s">
        <v>355</v>
      </c>
      <c r="C6">
        <f t="shared" si="0"/>
        <v>0</v>
      </c>
      <c r="D6">
        <f t="shared" si="1"/>
        <v>0</v>
      </c>
      <c r="E6">
        <f>IF( COUNTIF('Raw Data'!$A$3:$A$2927,$A6)=0,0,SUMIF('Raw Data'!$A$3:$A$2927, $A6,'Raw Data'!D$3:D$2927) / COUNTIF('Raw Data'!$A$3:$A$2927,$A6))</f>
        <v>0</v>
      </c>
      <c r="F6">
        <f>MAX(IF('Raw Data'!$A$3:$A$927=$A6, 'Raw Data'!$O$3:$O$927))</f>
        <v>0</v>
      </c>
      <c r="G6">
        <f>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MAX(IF('Raw Data'!$A$3:$A$927=$A6, 'Raw Data'!$N$3:$N$927))</f>
        <v>0</v>
      </c>
      <c r="M6">
        <f>IF( COUNTIF('Raw Data'!$A$3:$A$2927,$A6)=0,0,SUMIF('Raw Data'!$A$3:$A$2927, $A6,'Raw Data'!J$3:J$2927) / COUNTIF('Raw Data'!$A$3:$A$2927,$A6))</f>
        <v>0</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MAX(IF('Raw Data'!$A$3:$A$927=$A6, 'Raw Data'!$Z$3:$Z$927))</f>
        <v>0</v>
      </c>
      <c r="R6">
        <f>MAX(IF('Raw Data'!$A$3:$A$927=$A6, 'Raw Data'!$T$3:$T$927))</f>
        <v>0</v>
      </c>
      <c r="S6">
        <f>IF( COUNTIF('Raw Data'!$A$3:$A$2927,$A6)=0,0,SUMIF('Raw Data'!$A$3:$A$2927, $A6,'Raw Data'!P$3:P$2927) / COUNTIF('Raw Data'!$A$3:$A$2927,$A6))</f>
        <v>0</v>
      </c>
      <c r="T6">
        <f>IF( COUNTIF('Raw Data'!$A$3:$A$2927,$A6)=0,0,SUMIF('Raw Data'!$A$3:$A$2927, $A6,'Raw Data'!Q$3:Q$2927) / COUNTIF('Raw Data'!$A$3:$A$2927,$A6))</f>
        <v>0</v>
      </c>
      <c r="U6">
        <f>IF( COUNTIF('Raw Data'!$A$3:$A$2927,$A6)=0,0,SUMIF('Raw Data'!$A$3:$A$2927, $A6,'Raw Data'!R$3:R$2927) / COUNTIF('Raw Data'!$A$3:$A$2927,$A6))</f>
        <v>0</v>
      </c>
      <c r="V6">
        <f>IF( COUNTIF('Raw Data'!$A$3:$A$2927,$A6)=0,0,SUMIF('Raw Data'!$A$3:$A$2927, $A6,'Raw Data'!S$3:S$2927) / COUNTIF('Raw Data'!$A$3:$A$2927,$A6))</f>
        <v>0</v>
      </c>
      <c r="W6">
        <f>MAX(IF('Raw Data'!$A$3:$A$927=$A6, 'Raw Data'!$Y$3:$Y$927))</f>
        <v>0</v>
      </c>
      <c r="X6">
        <f>IF( COUNTIF('Raw Data'!$A$3:$A$2927,$A6)=0,0,SUMIF('Raw Data'!$A$3:$A$2927, $A6,'Raw Data'!U$3:U$2927) / COUNTIF('Raw Data'!$A$3:$A$2927,$A6))</f>
        <v>0</v>
      </c>
      <c r="Y6">
        <f>IF( COUNTIF('Raw Data'!$A$3:$A$2927,$A6)=0,0,SUMIF('Raw Data'!$A$3:$A$2927, $A6,'Raw Data'!V$3:V$2927) / COUNTIF('Raw Data'!$A$3:$A$2927,$A6))</f>
        <v>0</v>
      </c>
      <c r="Z6">
        <f>IF( COUNTIF('Raw Data'!$A$3:$A$2927,$A6)=0,0,SUMIF('Raw Data'!$A$3:$A$2927, $A6,'Raw Data'!W$3:W$2927) / COUNTIF('Raw Data'!$A$3:$A$2927,$A6))</f>
        <v>0</v>
      </c>
      <c r="AA6">
        <f>IF( COUNTIF('Raw Data'!$A$3:$A$2927,$A6)=0,0,SUMIF('Raw Data'!$A$3:$A$2927, $A6,'Raw Data'!X$3:X$2927) / COUNTIF('Raw Data'!$A$3:$A$2927,$A6))</f>
        <v>0</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0</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v>
      </c>
      <c r="AJ6" s="116">
        <f>COUNTIF('Raw Data'!A$3:A$2927, $A6)</f>
        <v>0</v>
      </c>
      <c r="AK6">
        <f t="shared" si="2"/>
        <v>-21</v>
      </c>
      <c r="AL6">
        <f t="shared" si="3"/>
        <v>-1.5</v>
      </c>
      <c r="AM6">
        <f t="shared" si="4"/>
        <v>-1</v>
      </c>
      <c r="AP6" t="s">
        <v>261</v>
      </c>
    </row>
    <row r="7" spans="1:49" ht="15.75" thickBot="1">
      <c r="A7">
        <v>1246</v>
      </c>
      <c r="B7" t="s">
        <v>368</v>
      </c>
      <c r="C7">
        <f t="shared" si="0"/>
        <v>0</v>
      </c>
      <c r="D7">
        <f t="shared" si="1"/>
        <v>0</v>
      </c>
      <c r="E7">
        <f>IF( COUNTIF('Raw Data'!$A$3:$A$2927,$A7)=0,0,SUMIF('Raw Data'!$A$3:$A$2927, $A7,'Raw Data'!D$3:D$2927) / COUNTIF('Raw Data'!$A$3:$A$2927,$A7))</f>
        <v>0</v>
      </c>
      <c r="F7">
        <f>MAX(IF('Raw Data'!$A$3:$A$927=$A7, 'Raw Data'!$O$3:$O$927))</f>
        <v>0</v>
      </c>
      <c r="G7">
        <f>MAX(IF('Raw Data'!$A$3:$A$927=$A7, 'Raw Data'!$I$3:$I$927))</f>
        <v>0</v>
      </c>
      <c r="H7">
        <f>IF( COUNTIF('Raw Data'!$A$3:$A$2927,$A7)=0,0,SUMIF('Raw Data'!$A$3:$A$2927, $A7,'Raw Data'!E$3:E$2927) / COUNTIF('Raw Data'!$A$3:$A$2927,$A7))</f>
        <v>0</v>
      </c>
      <c r="I7">
        <f>IF( COUNTIF('Raw Data'!$A$3:$A$2927,$A7)=0,0,SUMIF('Raw Data'!$A$3:$A$2927, $A7,'Raw Data'!F$3:F$2927) / COUNTIF('Raw Data'!$A$3:$A$2927,$A7))</f>
        <v>0</v>
      </c>
      <c r="J7">
        <f>IF( COUNTIF('Raw Data'!$A$3:$A$2927,$A7)=0,0,SUMIF('Raw Data'!$A$3:$A$2927, $A7,'Raw Data'!G$3:G$2927) / COUNTIF('Raw Data'!$A$3:$A$2927,$A7))</f>
        <v>0</v>
      </c>
      <c r="K7">
        <f>IF( COUNTIF('Raw Data'!$A$3:$A$2927,$A7)=0,0,SUMIF('Raw Data'!$A$3:$A$2927, $A7,'Raw Data'!H$3:H$2927) / COUNTIF('Raw Data'!$A$3:$A$2927,$A7))</f>
        <v>0</v>
      </c>
      <c r="L7">
        <f>MAX(IF('Raw Data'!$A$3:$A$927=$A7, 'Raw Data'!$N$3:$N$927))</f>
        <v>0</v>
      </c>
      <c r="M7">
        <f>IF( COUNTIF('Raw Data'!$A$3:$A$2927,$A7)=0,0,SUMIF('Raw Data'!$A$3:$A$2927, $A7,'Raw Data'!J$3:J$2927) / COUNTIF('Raw Data'!$A$3:$A$2927,$A7))</f>
        <v>0</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MAX(IF('Raw Data'!$A$3:$A$927=$A7, 'Raw Data'!$Z$3:$Z$927))</f>
        <v>0</v>
      </c>
      <c r="R7">
        <f>MAX(IF('Raw Data'!$A$3:$A$927=$A7, 'Raw Data'!$T$3:$T$927))</f>
        <v>0</v>
      </c>
      <c r="S7">
        <f>IF( COUNTIF('Raw Data'!$A$3:$A$2927,$A7)=0,0,SUMIF('Raw Data'!$A$3:$A$2927, $A7,'Raw Data'!P$3:P$2927) / COUNTIF('Raw Data'!$A$3:$A$2927,$A7))</f>
        <v>0</v>
      </c>
      <c r="T7">
        <f>IF( COUNTIF('Raw Data'!$A$3:$A$2927,$A7)=0,0,SUMIF('Raw Data'!$A$3:$A$2927, $A7,'Raw Data'!Q$3:Q$2927) / COUNTIF('Raw Data'!$A$3:$A$2927,$A7))</f>
        <v>0</v>
      </c>
      <c r="U7">
        <f>IF( COUNTIF('Raw Data'!$A$3:$A$2927,$A7)=0,0,SUMIF('Raw Data'!$A$3:$A$2927, $A7,'Raw Data'!R$3:R$2927) / COUNTIF('Raw Data'!$A$3:$A$2927,$A7))</f>
        <v>0</v>
      </c>
      <c r="V7">
        <f>IF( COUNTIF('Raw Data'!$A$3:$A$2927,$A7)=0,0,SUMIF('Raw Data'!$A$3:$A$2927, $A7,'Raw Data'!S$3:S$2927) / COUNTIF('Raw Data'!$A$3:$A$2927,$A7))</f>
        <v>0</v>
      </c>
      <c r="W7">
        <f>MAX(IF('Raw Data'!$A$3:$A$927=$A7, 'Raw Data'!$Y$3:$Y$927))</f>
        <v>0</v>
      </c>
      <c r="X7">
        <f>IF( COUNTIF('Raw Data'!$A$3:$A$2927,$A7)=0,0,SUMIF('Raw Data'!$A$3:$A$2927, $A7,'Raw Data'!U$3:U$2927) / COUNTIF('Raw Data'!$A$3:$A$2927,$A7))</f>
        <v>0</v>
      </c>
      <c r="Y7">
        <f>IF( COUNTIF('Raw Data'!$A$3:$A$2927,$A7)=0,0,SUMIF('Raw Data'!$A$3:$A$2927, $A7,'Raw Data'!V$3:V$2927) / COUNTIF('Raw Data'!$A$3:$A$2927,$A7))</f>
        <v>0</v>
      </c>
      <c r="Z7">
        <f>IF( COUNTIF('Raw Data'!$A$3:$A$2927,$A7)=0,0,SUMIF('Raw Data'!$A$3:$A$2927, $A7,'Raw Data'!W$3:W$2927) / COUNTIF('Raw Data'!$A$3:$A$2927,$A7))</f>
        <v>0</v>
      </c>
      <c r="AA7">
        <f>IF( COUNTIF('Raw Data'!$A$3:$A$2927,$A7)=0,0,SUMIF('Raw Data'!$A$3:$A$2927, $A7,'Raw Data'!X$3:X$2927) / COUNTIF('Raw Data'!$A$3:$A$2927,$A7))</f>
        <v>0</v>
      </c>
      <c r="AB7">
        <f>IF( COUNTIF('Raw Data'!$A$3:$A$2927,$A7)=0,0,SUMIF('Raw Data'!$A$3:$A$2927, $A7,'Raw Data'!AA$3:AA$2927) / COUNTIF('Raw Data'!$A$3:$A$2927,$A7))</f>
        <v>0</v>
      </c>
      <c r="AC7">
        <f>IF( COUNTIF('Raw Data'!$A$3:$A$2927,$A7)=0,0,SUMIF('Raw Data'!$A$3:$A$2927, $A7,'Raw Data'!AB$3:AB$2927) / COUNTIF('Raw Data'!$A$3:$A$2927,$A7))</f>
        <v>0</v>
      </c>
      <c r="AD7">
        <f>IF( COUNTIF('Raw Data'!$A$3:$A$2927,$A7)=0,0,SUMIF('Raw Data'!$A$3:$A$2927, $A7,'Raw Data'!AC$3:AC$2927) / COUNTIF('Raw Data'!$A$3:$A$2927,$A7))</f>
        <v>0</v>
      </c>
      <c r="AE7" s="117">
        <f>IF( COUNTIF('Raw Data'!$A$3:$A$2927,$A7)=0,0,SUMIF('Raw Data'!$A$3:$A$2927, $A7,'Raw Data'!AD$3:AD$2927) / COUNTIF('Raw Data'!$A$3:$A$2927,$A7))</f>
        <v>0</v>
      </c>
      <c r="AF7">
        <f>IF( COUNTIF('Raw Data'!$A$3:$A$2927,$A7)=0,0,SUMIF('Raw Data'!$A$3:$A$2927, $A7,'Raw Data'!AE$3:AE$2927) / COUNTIF('Raw Data'!$A$3:$A$2927,$A7))</f>
        <v>0</v>
      </c>
      <c r="AG7">
        <f>IF( COUNTIF('Raw Data'!$A$3:$A$2927,$A7)=0,0,SUMIF('Raw Data'!$A$3:$A$2927, $A7,'Raw Data'!AF$3:AF$2927) / COUNTIF('Raw Data'!$A$3:$A$2927,$A7))</f>
        <v>0</v>
      </c>
      <c r="AH7">
        <f>IF( COUNTIF('Raw Data'!$A$3:$A$2927,$A7)=0,0,SUMIF('Raw Data'!$A$3:$A$2927, $A7,'Raw Data'!AG$3:AG$2927) / COUNTIF('Raw Data'!$A$3:$A$2927,$A7))</f>
        <v>0</v>
      </c>
      <c r="AI7">
        <f>IF( COUNTIF('Raw Data'!$A$3:$A$2927,$A7)=0,0,SUMIF('Raw Data'!$A$3:$A$2927, $A7,'Raw Data'!AH$3:AH$2927) / COUNTIF('Raw Data'!$A$3:$A$2927,$A7))</f>
        <v>0</v>
      </c>
      <c r="AJ7" s="116">
        <f>COUNTIF('Raw Data'!A$3:A$2927, $A7)</f>
        <v>0</v>
      </c>
      <c r="AK7">
        <f t="shared" si="2"/>
        <v>-21</v>
      </c>
      <c r="AL7">
        <f t="shared" si="3"/>
        <v>-1.5</v>
      </c>
      <c r="AM7">
        <f t="shared" si="4"/>
        <v>-1</v>
      </c>
      <c r="AP7" t="s">
        <v>248</v>
      </c>
    </row>
    <row r="8" spans="1:49" ht="15.75" thickBot="1">
      <c r="A8">
        <v>1285</v>
      </c>
      <c r="B8" t="s">
        <v>356</v>
      </c>
      <c r="C8">
        <f t="shared" si="0"/>
        <v>0</v>
      </c>
      <c r="D8">
        <f t="shared" si="1"/>
        <v>0</v>
      </c>
      <c r="E8">
        <f>IF( COUNTIF('Raw Data'!$A$3:$A$2927,$A8)=0,0,SUMIF('Raw Data'!$A$3:$A$2927, $A8,'Raw Data'!D$3:D$2927) / COUNTIF('Raw Data'!$A$3:$A$2927,$A8))</f>
        <v>0</v>
      </c>
      <c r="F8">
        <f>MAX(IF('Raw Data'!$A$3:$A$927=$A8, 'Raw Data'!$O$3:$O$927))</f>
        <v>0</v>
      </c>
      <c r="G8">
        <f>MAX(IF('Raw Data'!$A$3:$A$927=$A8, 'Raw Data'!$I$3:$I$927))</f>
        <v>0</v>
      </c>
      <c r="H8">
        <f>IF( COUNTIF('Raw Data'!$A$3:$A$2927,$A8)=0,0,SUMIF('Raw Data'!$A$3:$A$2927, $A8,'Raw Data'!E$3:E$2927) / COUNTIF('Raw Data'!$A$3:$A$2927,$A8))</f>
        <v>0</v>
      </c>
      <c r="I8">
        <f>IF( COUNTIF('Raw Data'!$A$3:$A$2927,$A8)=0,0,SUMIF('Raw Data'!$A$3:$A$2927, $A8,'Raw Data'!F$3:F$2927) / COUNTIF('Raw Data'!$A$3:$A$2927,$A8))</f>
        <v>0</v>
      </c>
      <c r="J8">
        <f>IF( COUNTIF('Raw Data'!$A$3:$A$2927,$A8)=0,0,SUMIF('Raw Data'!$A$3:$A$2927, $A8,'Raw Data'!G$3:G$2927) / COUNTIF('Raw Data'!$A$3:$A$2927,$A8))</f>
        <v>0</v>
      </c>
      <c r="K8">
        <f>IF( COUNTIF('Raw Data'!$A$3:$A$2927,$A8)=0,0,SUMIF('Raw Data'!$A$3:$A$2927, $A8,'Raw Data'!H$3:H$2927) / COUNTIF('Raw Data'!$A$3:$A$2927,$A8))</f>
        <v>0</v>
      </c>
      <c r="L8">
        <f>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MAX(IF('Raw Data'!$A$3:$A$927=$A8, 'Raw Data'!$Z$3:$Z$927))</f>
        <v>0</v>
      </c>
      <c r="R8">
        <f>MAX(IF('Raw Data'!$A$3:$A$927=$A8, 'Raw Data'!$T$3:$T$927))</f>
        <v>0</v>
      </c>
      <c r="S8">
        <f>IF( COUNTIF('Raw Data'!$A$3:$A$2927,$A8)=0,0,SUMIF('Raw Data'!$A$3:$A$2927, $A8,'Raw Data'!P$3:P$2927) / COUNTIF('Raw Data'!$A$3:$A$2927,$A8))</f>
        <v>0</v>
      </c>
      <c r="T8">
        <f>IF( COUNTIF('Raw Data'!$A$3:$A$2927,$A8)=0,0,SUMIF('Raw Data'!$A$3:$A$2927, $A8,'Raw Data'!Q$3:Q$2927) / COUNTIF('Raw Data'!$A$3:$A$2927,$A8))</f>
        <v>0</v>
      </c>
      <c r="U8">
        <f>IF( COUNTIF('Raw Data'!$A$3:$A$2927,$A8)=0,0,SUMIF('Raw Data'!$A$3:$A$2927, $A8,'Raw Data'!R$3:R$2927) / COUNTIF('Raw Data'!$A$3:$A$2927,$A8))</f>
        <v>0</v>
      </c>
      <c r="V8">
        <f>IF( COUNTIF('Raw Data'!$A$3:$A$2927,$A8)=0,0,SUMIF('Raw Data'!$A$3:$A$2927, $A8,'Raw Data'!S$3:S$2927) / COUNTIF('Raw Data'!$A$3:$A$2927,$A8))</f>
        <v>0</v>
      </c>
      <c r="W8">
        <f>MAX(IF('Raw Data'!$A$3:$A$927=$A8, 'Raw Data'!$Y$3:$Y$927))</f>
        <v>0</v>
      </c>
      <c r="X8">
        <f>IF( COUNTIF('Raw Data'!$A$3:$A$2927,$A8)=0,0,SUMIF('Raw Data'!$A$3:$A$2927, $A8,'Raw Data'!U$3:U$2927) / COUNTIF('Raw Data'!$A$3:$A$2927,$A8))</f>
        <v>0</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0</v>
      </c>
      <c r="AC8">
        <f>IF( COUNTIF('Raw Data'!$A$3:$A$2927,$A8)=0,0,SUMIF('Raw Data'!$A$3:$A$2927, $A8,'Raw Data'!AB$3:AB$2927) / COUNTIF('Raw Data'!$A$3:$A$2927,$A8))</f>
        <v>0</v>
      </c>
      <c r="AD8">
        <f>IF( COUNTIF('Raw Data'!$A$3:$A$2927,$A8)=0,0,SUMIF('Raw Data'!$A$3:$A$2927, $A8,'Raw Data'!AC$3:AC$2927) / COUNTIF('Raw Data'!$A$3:$A$2927,$A8))</f>
        <v>0</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0</v>
      </c>
      <c r="AI8">
        <f>IF( COUNTIF('Raw Data'!$A$3:$A$2927,$A8)=0,0,SUMIF('Raw Data'!$A$3:$A$2927, $A8,'Raw Data'!AH$3:AH$2927) / COUNTIF('Raw Data'!$A$3:$A$2927,$A8))</f>
        <v>0</v>
      </c>
      <c r="AJ8" s="116">
        <f>COUNTIF('Raw Data'!A$3:A$2927, $A8)</f>
        <v>0</v>
      </c>
      <c r="AK8">
        <f t="shared" si="2"/>
        <v>-21</v>
      </c>
      <c r="AL8">
        <f t="shared" si="3"/>
        <v>-1.5</v>
      </c>
      <c r="AM8">
        <f t="shared" si="4"/>
        <v>-1</v>
      </c>
      <c r="AP8" t="s">
        <v>260</v>
      </c>
    </row>
    <row r="9" spans="1:49" ht="15.75" thickBot="1">
      <c r="A9">
        <v>1334</v>
      </c>
      <c r="B9" t="s">
        <v>369</v>
      </c>
      <c r="C9">
        <f t="shared" si="0"/>
        <v>0</v>
      </c>
      <c r="D9">
        <f t="shared" si="1"/>
        <v>0</v>
      </c>
      <c r="E9">
        <f>IF( COUNTIF('Raw Data'!$A$3:$A$2927,$A9)=0,0,SUMIF('Raw Data'!$A$3:$A$2927, $A9,'Raw Data'!D$3:D$2927) / COUNTIF('Raw Data'!$A$3:$A$2927,$A9))</f>
        <v>0</v>
      </c>
      <c r="F9">
        <f>MAX(IF('Raw Data'!$A$3:$A$927=$A9, 'Raw Data'!$O$3:$O$927))</f>
        <v>0</v>
      </c>
      <c r="G9">
        <f>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MAX(IF('Raw Data'!$A$3:$A$927=$A9, 'Raw Data'!$Z$3:$Z$927))</f>
        <v>0</v>
      </c>
      <c r="R9">
        <f>MAX(IF('Raw Data'!$A$3:$A$927=$A9, 'Raw Data'!$T$3:$T$927))</f>
        <v>0</v>
      </c>
      <c r="S9">
        <f>IF( COUNTIF('Raw Data'!$A$3:$A$2927,$A9)=0,0,SUMIF('Raw Data'!$A$3:$A$2927, $A9,'Raw Data'!P$3:P$2927) / COUNTIF('Raw Data'!$A$3:$A$2927,$A9))</f>
        <v>0</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MAX(IF('Raw Data'!$A$3:$A$927=$A9, 'Raw Data'!$Y$3:$Y$927))</f>
        <v>0</v>
      </c>
      <c r="X9">
        <f>IF( COUNTIF('Raw Data'!$A$3:$A$2927,$A9)=0,0,SUMIF('Raw Data'!$A$3:$A$2927, $A9,'Raw Data'!U$3:U$2927) / COUNTIF('Raw Data'!$A$3:$A$2927,$A9))</f>
        <v>0</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0</v>
      </c>
      <c r="AE9" s="117">
        <f>IF( COUNTIF('Raw Data'!$A$3:$A$2927,$A9)=0,0,SUMIF('Raw Data'!$A$3:$A$2927, $A9,'Raw Data'!AD$3:AD$2927) / COUNTIF('Raw Data'!$A$3:$A$2927,$A9))</f>
        <v>0</v>
      </c>
      <c r="AF9">
        <f>IF( COUNTIF('Raw Data'!$A$3:$A$2927,$A9)=0,0,SUMIF('Raw Data'!$A$3:$A$2927, $A9,'Raw Data'!AE$3:AE$2927) / COUNTIF('Raw Data'!$A$3:$A$2927,$A9))</f>
        <v>0</v>
      </c>
      <c r="AG9">
        <f>IF( COUNTIF('Raw Data'!$A$3:$A$2927,$A9)=0,0,SUMIF('Raw Data'!$A$3:$A$2927, $A9,'Raw Data'!AF$3:AF$2927) / COUNTIF('Raw Data'!$A$3:$A$2927,$A9))</f>
        <v>0</v>
      </c>
      <c r="AH9">
        <f>IF( COUNTIF('Raw Data'!$A$3:$A$2927,$A9)=0,0,SUMIF('Raw Data'!$A$3:$A$2927, $A9,'Raw Data'!AG$3:AG$2927) / COUNTIF('Raw Data'!$A$3:$A$2927,$A9))</f>
        <v>0</v>
      </c>
      <c r="AI9">
        <f>IF( COUNTIF('Raw Data'!$A$3:$A$2927,$A9)=0,0,SUMIF('Raw Data'!$A$3:$A$2927, $A9,'Raw Data'!AH$3:AH$2927) / COUNTIF('Raw Data'!$A$3:$A$2927,$A9))</f>
        <v>0</v>
      </c>
      <c r="AJ9" s="116">
        <f>COUNTIF('Raw Data'!A$3:A$2927, $A9)</f>
        <v>0</v>
      </c>
      <c r="AK9">
        <f t="shared" si="2"/>
        <v>-21</v>
      </c>
      <c r="AL9">
        <f t="shared" si="3"/>
        <v>-1.5</v>
      </c>
      <c r="AM9">
        <f t="shared" si="4"/>
        <v>-1</v>
      </c>
      <c r="AP9" t="s">
        <v>249</v>
      </c>
    </row>
    <row r="10" spans="1:49" ht="15.75" thickBot="1">
      <c r="A10">
        <v>2200</v>
      </c>
      <c r="B10" t="s">
        <v>199</v>
      </c>
      <c r="C10">
        <f t="shared" si="0"/>
        <v>28.125</v>
      </c>
      <c r="D10">
        <f t="shared" si="1"/>
        <v>15</v>
      </c>
      <c r="E10">
        <f>IF( COUNTIF('Raw Data'!$A$3:$A$2927,$A10)=0,0,SUMIF('Raw Data'!$A$3:$A$2927, $A10,'Raw Data'!D$3:D$2927) / COUNTIF('Raw Data'!$A$3:$A$2927,$A10))</f>
        <v>0.875</v>
      </c>
      <c r="F10">
        <f>MAX(IF('Raw Data'!$A$3:$A$927=$A10, 'Raw Data'!$O$3:$O$927))</f>
        <v>0</v>
      </c>
      <c r="G10">
        <f>MAX(IF('Raw Data'!$A$3:$A$927=$A10, 'Raw Data'!$I$3:$I$927))</f>
        <v>0</v>
      </c>
      <c r="H10">
        <f>IF( COUNTIF('Raw Data'!$A$3:$A$2927,$A10)=0,0,SUMIF('Raw Data'!$A$3:$A$2927, $A10,'Raw Data'!E$3:E$2927) / COUNTIF('Raw Data'!$A$3:$A$2927,$A10))</f>
        <v>0.75</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MAX(IF('Raw Data'!$A$3:$A$927=$A10, 'Raw Data'!$Z$3:$Z$927))</f>
        <v>0</v>
      </c>
      <c r="R10">
        <f>MAX(IF('Raw Data'!$A$3:$A$927=$A10, 'Raw Data'!$T$3:$T$927))</f>
        <v>0</v>
      </c>
      <c r="S10">
        <f>IF( COUNTIF('Raw Data'!$A$3:$A$2927,$A10)=0,0,SUMIF('Raw Data'!$A$3:$A$2927, $A10,'Raw Data'!P$3:P$2927) / COUNTIF('Raw Data'!$A$3:$A$2927,$A10))</f>
        <v>1</v>
      </c>
      <c r="T10">
        <f>IF( COUNTIF('Raw Data'!$A$3:$A$2927,$A10)=0,0,SUMIF('Raw Data'!$A$3:$A$2927, $A10,'Raw Data'!Q$3:Q$2927) / COUNTIF('Raw Data'!$A$3:$A$2927,$A10))</f>
        <v>0.875</v>
      </c>
      <c r="U10">
        <f>IF( COUNTIF('Raw Data'!$A$3:$A$2927,$A10)=0,0,SUMIF('Raw Data'!$A$3:$A$2927, $A10,'Raw Data'!R$3:R$2927) / COUNTIF('Raw Data'!$A$3:$A$2927,$A10))</f>
        <v>0.125</v>
      </c>
      <c r="V10">
        <f>IF( COUNTIF('Raw Data'!$A$3:$A$2927,$A10)=0,0,SUMIF('Raw Data'!$A$3:$A$2927, $A10,'Raw Data'!S$3:S$2927) / COUNTIF('Raw Data'!$A$3:$A$2927,$A10))</f>
        <v>0.25</v>
      </c>
      <c r="W10">
        <f>MAX(IF('Raw Data'!$A$3:$A$927=$A10, 'Raw Data'!$Y$3:$Y$927))</f>
        <v>0</v>
      </c>
      <c r="X10">
        <f>IF( COUNTIF('Raw Data'!$A$3:$A$2927,$A10)=0,0,SUMIF('Raw Data'!$A$3:$A$2927, $A10,'Raw Data'!U$3:U$2927) / COUNTIF('Raw Data'!$A$3:$A$2927,$A10))</f>
        <v>3</v>
      </c>
      <c r="Y10">
        <f>IF( COUNTIF('Raw Data'!$A$3:$A$2927,$A10)=0,0,SUMIF('Raw Data'!$A$3:$A$2927, $A10,'Raw Data'!V$3:V$2927) / COUNTIF('Raw Data'!$A$3:$A$2927,$A10))</f>
        <v>0.25</v>
      </c>
      <c r="Z10">
        <f>IF( COUNTIF('Raw Data'!$A$3:$A$2927,$A10)=0,0,SUMIF('Raw Data'!$A$3:$A$2927, $A10,'Raw Data'!W$3:W$2927) / COUNTIF('Raw Data'!$A$3:$A$2927,$A10))</f>
        <v>0</v>
      </c>
      <c r="AA10">
        <f>IF( COUNTIF('Raw Data'!$A$3:$A$2927,$A10)=0,0,SUMIF('Raw Data'!$A$3:$A$2927, $A10,'Raw Data'!X$3:X$2927) / COUNTIF('Raw Data'!$A$3:$A$2927,$A10))</f>
        <v>0.25</v>
      </c>
      <c r="AB10">
        <f>IF( COUNTIF('Raw Data'!$A$3:$A$2927,$A10)=0,0,SUMIF('Raw Data'!$A$3:$A$2927, $A10,'Raw Data'!AA$3:AA$2927) / COUNTIF('Raw Data'!$A$3:$A$2927,$A10))</f>
        <v>0</v>
      </c>
      <c r="AC10">
        <f>IF( COUNTIF('Raw Data'!$A$3:$A$2927,$A10)=0,0,SUMIF('Raw Data'!$A$3:$A$2927, $A10,'Raw Data'!AB$3:AB$2927) / COUNTIF('Raw Data'!$A$3:$A$2927,$A10))</f>
        <v>0</v>
      </c>
      <c r="AD10">
        <f>IF( COUNTIF('Raw Data'!$A$3:$A$2927,$A10)=0,0,SUMIF('Raw Data'!$A$3:$A$2927, $A10,'Raw Data'!AC$3:AC$2927) / COUNTIF('Raw Data'!$A$3:$A$2927,$A10))</f>
        <v>2.625</v>
      </c>
      <c r="AE10" s="117">
        <f>IF( COUNTIF('Raw Data'!$A$3:$A$2927,$A10)=0,0,SUMIF('Raw Data'!$A$3:$A$2927, $A10,'Raw Data'!AD$3:AD$2927) / COUNTIF('Raw Data'!$A$3:$A$2927,$A10))</f>
        <v>0</v>
      </c>
      <c r="AF10">
        <f>IF( COUNTIF('Raw Data'!$A$3:$A$2927,$A10)=0,0,SUMIF('Raw Data'!$A$3:$A$2927, $A10,'Raw Data'!AE$3:AE$2927) / COUNTIF('Raw Data'!$A$3:$A$2927,$A10))</f>
        <v>0</v>
      </c>
      <c r="AG10">
        <f>IF( COUNTIF('Raw Data'!$A$3:$A$2927,$A10)=0,0,SUMIF('Raw Data'!$A$3:$A$2927, $A10,'Raw Data'!AF$3:AF$2927) / COUNTIF('Raw Data'!$A$3:$A$2927,$A10))</f>
        <v>0</v>
      </c>
      <c r="AH10">
        <f>IF( COUNTIF('Raw Data'!$A$3:$A$2927,$A10)=0,0,SUMIF('Raw Data'!$A$3:$A$2927, $A10,'Raw Data'!AG$3:AG$2927) / COUNTIF('Raw Data'!$A$3:$A$2927,$A10))</f>
        <v>0.75</v>
      </c>
      <c r="AI10">
        <f>IF( COUNTIF('Raw Data'!$A$3:$A$2927,$A10)=0,0,SUMIF('Raw Data'!$A$3:$A$2927, $A10,'Raw Data'!AH$3:AH$2927) / COUNTIF('Raw Data'!$A$3:$A$2927,$A10))</f>
        <v>0.125</v>
      </c>
      <c r="AJ10" s="116">
        <f>COUNTIF('Raw Data'!A$3:A$2927, $A10)</f>
        <v>8</v>
      </c>
      <c r="AK10">
        <f t="shared" si="2"/>
        <v>10.9975</v>
      </c>
      <c r="AL10">
        <f t="shared" si="3"/>
        <v>1.1875</v>
      </c>
      <c r="AM10">
        <f t="shared" si="4"/>
        <v>2.3774999999999999</v>
      </c>
      <c r="AP10" t="s">
        <v>250</v>
      </c>
    </row>
    <row r="11" spans="1:49" ht="15.75" thickBot="1">
      <c r="A11">
        <v>2386</v>
      </c>
      <c r="B11" t="s">
        <v>200</v>
      </c>
      <c r="C11">
        <f t="shared" si="0"/>
        <v>28</v>
      </c>
      <c r="D11">
        <f t="shared" si="1"/>
        <v>9.1111111111111107</v>
      </c>
      <c r="E11">
        <f>IF( COUNTIF('Raw Data'!$A$3:$A$2927,$A11)=0,0,SUMIF('Raw Data'!$A$3:$A$2927, $A11,'Raw Data'!D$3:D$2927) / COUNTIF('Raw Data'!$A$3:$A$2927,$A11))</f>
        <v>1.8888888888888888</v>
      </c>
      <c r="F11">
        <f>MAX(IF('Raw Data'!$A$3:$A$927=$A11, 'Raw Data'!$O$3:$O$927))</f>
        <v>0</v>
      </c>
      <c r="G11">
        <f>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MAX(IF('Raw Data'!$A$3:$A$927=$A11, 'Raw Data'!$N$3:$N$927))</f>
        <v>0</v>
      </c>
      <c r="M11">
        <f>IF( COUNTIF('Raw Data'!$A$3:$A$2927,$A11)=0,0,SUMIF('Raw Data'!$A$3:$A$2927, $A11,'Raw Data'!J$3:J$2927) / COUNTIF('Raw Data'!$A$3:$A$2927,$A11))</f>
        <v>0.55555555555555558</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MAX(IF('Raw Data'!$A$3:$A$927=$A11, 'Raw Data'!$Z$3:$Z$927))</f>
        <v>0</v>
      </c>
      <c r="R11">
        <f>MAX(IF('Raw Data'!$A$3:$A$927=$A11, 'Raw Data'!$T$3:$T$927))</f>
        <v>0</v>
      </c>
      <c r="S11">
        <f>IF( COUNTIF('Raw Data'!$A$3:$A$2927,$A11)=0,0,SUMIF('Raw Data'!$A$3:$A$2927, $A11,'Raw Data'!P$3:P$2927) / COUNTIF('Raw Data'!$A$3:$A$2927,$A11))</f>
        <v>0.33333333333333331</v>
      </c>
      <c r="T11">
        <f>IF( COUNTIF('Raw Data'!$A$3:$A$2927,$A11)=0,0,SUMIF('Raw Data'!$A$3:$A$2927, $A11,'Raw Data'!Q$3:Q$2927) / COUNTIF('Raw Data'!$A$3:$A$2927,$A11))</f>
        <v>0.22222222222222221</v>
      </c>
      <c r="U11">
        <f>IF( COUNTIF('Raw Data'!$A$3:$A$2927,$A11)=0,0,SUMIF('Raw Data'!$A$3:$A$2927, $A11,'Raw Data'!R$3:R$2927) / COUNTIF('Raw Data'!$A$3:$A$2927,$A11))</f>
        <v>0</v>
      </c>
      <c r="V11">
        <f>IF( COUNTIF('Raw Data'!$A$3:$A$2927,$A11)=0,0,SUMIF('Raw Data'!$A$3:$A$2927, $A11,'Raw Data'!S$3:S$2927) / COUNTIF('Raw Data'!$A$3:$A$2927,$A11))</f>
        <v>0.44444444444444442</v>
      </c>
      <c r="W11">
        <f>MAX(IF('Raw Data'!$A$3:$A$927=$A11, 'Raw Data'!$Y$3:$Y$927))</f>
        <v>0</v>
      </c>
      <c r="X11">
        <f>IF( COUNTIF('Raw Data'!$A$3:$A$2927,$A11)=0,0,SUMIF('Raw Data'!$A$3:$A$2927, $A11,'Raw Data'!U$3:U$2927) / COUNTIF('Raw Data'!$A$3:$A$2927,$A11))</f>
        <v>1.7777777777777777</v>
      </c>
      <c r="Y11">
        <f>IF( COUNTIF('Raw Data'!$A$3:$A$2927,$A11)=0,0,SUMIF('Raw Data'!$A$3:$A$2927, $A11,'Raw Data'!V$3:V$2927) / COUNTIF('Raw Data'!$A$3:$A$2927,$A11))</f>
        <v>0.33333333333333331</v>
      </c>
      <c r="Z11">
        <f>IF( COUNTIF('Raw Data'!$A$3:$A$2927,$A11)=0,0,SUMIF('Raw Data'!$A$3:$A$2927, $A11,'Raw Data'!W$3:W$2927) / COUNTIF('Raw Data'!$A$3:$A$2927,$A11))</f>
        <v>0</v>
      </c>
      <c r="AA11">
        <f>IF( COUNTIF('Raw Data'!$A$3:$A$2927,$A11)=0,0,SUMIF('Raw Data'!$A$3:$A$2927, $A11,'Raw Data'!X$3:X$2927) / COUNTIF('Raw Data'!$A$3:$A$2927,$A11))</f>
        <v>0.1111111111111111</v>
      </c>
      <c r="AB11">
        <f>IF( COUNTIF('Raw Data'!$A$3:$A$2927,$A11)=0,0,SUMIF('Raw Data'!$A$3:$A$2927, $A11,'Raw Data'!AA$3:AA$2927) / COUNTIF('Raw Data'!$A$3:$A$2927,$A11))</f>
        <v>0</v>
      </c>
      <c r="AC11">
        <f>IF( COUNTIF('Raw Data'!$A$3:$A$2927,$A11)=0,0,SUMIF('Raw Data'!$A$3:$A$2927, $A11,'Raw Data'!AB$3:AB$2927) / COUNTIF('Raw Data'!$A$3:$A$2927,$A11))</f>
        <v>0</v>
      </c>
      <c r="AD11">
        <f>IF( COUNTIF('Raw Data'!$A$3:$A$2927,$A11)=0,0,SUMIF('Raw Data'!$A$3:$A$2927, $A11,'Raw Data'!AC$3:AC$2927) / COUNTIF('Raw Data'!$A$3:$A$2927,$A11))</f>
        <v>3</v>
      </c>
      <c r="AE11" s="117">
        <f>IF( COUNTIF('Raw Data'!$A$3:$A$2927,$A11)=0,0,SUMIF('Raw Data'!$A$3:$A$2927, $A11,'Raw Data'!AD$3:AD$2927) / COUNTIF('Raw Data'!$A$3:$A$2927,$A11))</f>
        <v>0</v>
      </c>
      <c r="AF11">
        <f>IF( COUNTIF('Raw Data'!$A$3:$A$2927,$A11)=0,0,SUMIF('Raw Data'!$A$3:$A$2927, $A11,'Raw Data'!AE$3:AE$2927) / COUNTIF('Raw Data'!$A$3:$A$2927,$A11))</f>
        <v>0</v>
      </c>
      <c r="AG11">
        <f>IF( COUNTIF('Raw Data'!$A$3:$A$2927,$A11)=0,0,SUMIF('Raw Data'!$A$3:$A$2927, $A11,'Raw Data'!AF$3:AF$2927) / COUNTIF('Raw Data'!$A$3:$A$2927,$A11))</f>
        <v>0</v>
      </c>
      <c r="AH11">
        <f>IF( COUNTIF('Raw Data'!$A$3:$A$2927,$A11)=0,0,SUMIF('Raw Data'!$A$3:$A$2927, $A11,'Raw Data'!AG$3:AG$2927) / COUNTIF('Raw Data'!$A$3:$A$2927,$A11))</f>
        <v>0</v>
      </c>
      <c r="AI11">
        <f>IF( COUNTIF('Raw Data'!$A$3:$A$2927,$A11)=0,0,SUMIF('Raw Data'!$A$3:$A$2927, $A11,'Raw Data'!AH$3:AH$2927) / COUNTIF('Raw Data'!$A$3:$A$2927,$A11))</f>
        <v>0.44444444444444442</v>
      </c>
      <c r="AJ11" s="116">
        <f>COUNTIF('Raw Data'!A$3:A$2927, $A11)</f>
        <v>9</v>
      </c>
      <c r="AK11">
        <f t="shared" si="2"/>
        <v>10.222222222222221</v>
      </c>
      <c r="AL11">
        <f t="shared" si="3"/>
        <v>-0.55555555555555536</v>
      </c>
      <c r="AM11">
        <f t="shared" si="4"/>
        <v>2.9722222222222219</v>
      </c>
    </row>
    <row r="12" spans="1:49" ht="15.75" thickBot="1">
      <c r="A12">
        <v>2706</v>
      </c>
      <c r="B12" t="s">
        <v>357</v>
      </c>
      <c r="C12">
        <f t="shared" si="0"/>
        <v>0</v>
      </c>
      <c r="D12">
        <f t="shared" si="1"/>
        <v>0</v>
      </c>
      <c r="E12">
        <f>IF( COUNTIF('Raw Data'!$A$3:$A$2927,$A12)=0,0,SUMIF('Raw Data'!$A$3:$A$2927, $A12,'Raw Data'!D$3:D$2927) / COUNTIF('Raw Data'!$A$3:$A$2927,$A12))</f>
        <v>0</v>
      </c>
      <c r="F12">
        <f>MAX(IF('Raw Data'!$A$3:$A$927=$A12, 'Raw Data'!$O$3:$O$927))</f>
        <v>0</v>
      </c>
      <c r="G12">
        <f>MAX(IF('Raw Data'!$A$3:$A$927=$A12, 'Raw Data'!$I$3:$I$927))</f>
        <v>0</v>
      </c>
      <c r="H12">
        <f>IF( COUNTIF('Raw Data'!$A$3:$A$2927,$A12)=0,0,SUMIF('Raw Data'!$A$3:$A$2927, $A12,'Raw Data'!E$3:E$2927) / COUNTIF('Raw Data'!$A$3:$A$2927,$A12))</f>
        <v>0</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MAX(IF('Raw Data'!$A$3:$A$927=$A12, 'Raw Data'!$N$3:$N$927))</f>
        <v>0</v>
      </c>
      <c r="M12">
        <f>IF( COUNTIF('Raw Data'!$A$3:$A$2927,$A12)=0,0,SUMIF('Raw Data'!$A$3:$A$2927, $A12,'Raw Data'!J$3:J$2927) / COUNTIF('Raw Data'!$A$3:$A$2927,$A12))</f>
        <v>0</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MAX(IF('Raw Data'!$A$3:$A$927=$A12, 'Raw Data'!$Z$3:$Z$927))</f>
        <v>0</v>
      </c>
      <c r="R12">
        <f>MAX(IF('Raw Data'!$A$3:$A$927=$A12, 'Raw Data'!$T$3:$T$927))</f>
        <v>0</v>
      </c>
      <c r="S12">
        <f>IF( COUNTIF('Raw Data'!$A$3:$A$2927,$A12)=0,0,SUMIF('Raw Data'!$A$3:$A$2927, $A12,'Raw Data'!P$3:P$2927) / COUNTIF('Raw Data'!$A$3:$A$2927,$A12))</f>
        <v>0</v>
      </c>
      <c r="T12">
        <f>IF( COUNTIF('Raw Data'!$A$3:$A$2927,$A12)=0,0,SUMIF('Raw Data'!$A$3:$A$2927, $A12,'Raw Data'!Q$3:Q$2927) / COUNTIF('Raw Data'!$A$3:$A$2927,$A12))</f>
        <v>0</v>
      </c>
      <c r="U12">
        <f>IF( COUNTIF('Raw Data'!$A$3:$A$2927,$A12)=0,0,SUMIF('Raw Data'!$A$3:$A$2927, $A12,'Raw Data'!R$3:R$2927) / COUNTIF('Raw Data'!$A$3:$A$2927,$A12))</f>
        <v>0</v>
      </c>
      <c r="V12">
        <f>IF( COUNTIF('Raw Data'!$A$3:$A$2927,$A12)=0,0,SUMIF('Raw Data'!$A$3:$A$2927, $A12,'Raw Data'!S$3:S$2927) / COUNTIF('Raw Data'!$A$3:$A$2927,$A12))</f>
        <v>0</v>
      </c>
      <c r="W12">
        <f>MAX(IF('Raw Data'!$A$3:$A$927=$A12, 'Raw Data'!$Y$3:$Y$927))</f>
        <v>0</v>
      </c>
      <c r="X12">
        <f>IF( COUNTIF('Raw Data'!$A$3:$A$2927,$A12)=0,0,SUMIF('Raw Data'!$A$3:$A$2927, $A12,'Raw Data'!U$3:U$2927) / COUNTIF('Raw Data'!$A$3:$A$2927,$A12))</f>
        <v>0</v>
      </c>
      <c r="Y12">
        <f>IF( COUNTIF('Raw Data'!$A$3:$A$2927,$A12)=0,0,SUMIF('Raw Data'!$A$3:$A$2927, $A12,'Raw Data'!V$3:V$2927) / COUNTIF('Raw Data'!$A$3:$A$2927,$A12))</f>
        <v>0</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0</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v>
      </c>
      <c r="AI12">
        <f>IF( COUNTIF('Raw Data'!$A$3:$A$2927,$A12)=0,0,SUMIF('Raw Data'!$A$3:$A$2927, $A12,'Raw Data'!AH$3:AH$2927) / COUNTIF('Raw Data'!$A$3:$A$2927,$A12))</f>
        <v>0</v>
      </c>
      <c r="AJ12" s="116">
        <f>COUNTIF('Raw Data'!A$3:A$2927, $A12)</f>
        <v>0</v>
      </c>
      <c r="AK12">
        <f t="shared" si="2"/>
        <v>-21</v>
      </c>
      <c r="AL12">
        <f t="shared" si="3"/>
        <v>-1.5</v>
      </c>
      <c r="AM12">
        <f t="shared" si="4"/>
        <v>-1</v>
      </c>
      <c r="AP12" t="s">
        <v>251</v>
      </c>
    </row>
    <row r="13" spans="1:49" ht="15.75" thickBot="1">
      <c r="A13">
        <v>2708</v>
      </c>
      <c r="B13" t="s">
        <v>201</v>
      </c>
      <c r="C13">
        <f t="shared" si="0"/>
        <v>4.625</v>
      </c>
      <c r="D13">
        <f t="shared" si="1"/>
        <v>1.875</v>
      </c>
      <c r="E13">
        <f>IF( COUNTIF('Raw Data'!$A$3:$A$2927,$A13)=0,0,SUMIF('Raw Data'!$A$3:$A$2927, $A13,'Raw Data'!D$3:D$2927) / COUNTIF('Raw Data'!$A$3:$A$2927,$A13))</f>
        <v>1.25</v>
      </c>
      <c r="F13">
        <f>MAX(IF('Raw Data'!$A$3:$A$927=$A13, 'Raw Data'!$O$3:$O$927))</f>
        <v>0</v>
      </c>
      <c r="G13">
        <f>MAX(IF('Raw Data'!$A$3:$A$927=$A13, 'Raw Data'!$I$3:$I$927))</f>
        <v>0</v>
      </c>
      <c r="H13">
        <f>IF( COUNTIF('Raw Data'!$A$3:$A$2927,$A13)=0,0,SUMIF('Raw Data'!$A$3:$A$2927, $A13,'Raw Data'!E$3:E$2927) / COUNTIF('Raw Data'!$A$3:$A$2927,$A13))</f>
        <v>0</v>
      </c>
      <c r="I13">
        <f>IF( COUNTIF('Raw Data'!$A$3:$A$2927,$A13)=0,0,SUMIF('Raw Data'!$A$3:$A$2927, $A13,'Raw Data'!F$3:F$2927) / COUNTIF('Raw Data'!$A$3:$A$2927,$A13))</f>
        <v>0</v>
      </c>
      <c r="J13">
        <f>IF( COUNTIF('Raw Data'!$A$3:$A$2927,$A13)=0,0,SUMIF('Raw Data'!$A$3:$A$2927, $A13,'Raw Data'!G$3:G$2927) / COUNTIF('Raw Data'!$A$3:$A$2927,$A13))</f>
        <v>0</v>
      </c>
      <c r="K13">
        <f>IF( COUNTIF('Raw Data'!$A$3:$A$2927,$A13)=0,0,SUMIF('Raw Data'!$A$3:$A$2927, $A13,'Raw Data'!H$3:H$2927) / COUNTIF('Raw Data'!$A$3:$A$2927,$A13))</f>
        <v>0</v>
      </c>
      <c r="L13">
        <f>MAX(IF('Raw Data'!$A$3:$A$927=$A13, 'Raw Data'!$N$3:$N$927))</f>
        <v>0</v>
      </c>
      <c r="M13">
        <f>IF( COUNTIF('Raw Data'!$A$3:$A$2927,$A13)=0,0,SUMIF('Raw Data'!$A$3:$A$2927, $A13,'Raw Data'!J$3:J$2927) / COUNTIF('Raw Data'!$A$3:$A$2927,$A13))</f>
        <v>0</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MAX(IF('Raw Data'!$A$3:$A$927=$A13, 'Raw Data'!$Z$3:$Z$927))</f>
        <v>0</v>
      </c>
      <c r="R13">
        <f>MAX(IF('Raw Data'!$A$3:$A$927=$A13, 'Raw Data'!$T$3:$T$927))</f>
        <v>0</v>
      </c>
      <c r="S13">
        <f>IF( COUNTIF('Raw Data'!$A$3:$A$2927,$A13)=0,0,SUMIF('Raw Data'!$A$3:$A$2927, $A13,'Raw Data'!P$3:P$2927) / COUNTIF('Raw Data'!$A$3:$A$2927,$A13))</f>
        <v>0</v>
      </c>
      <c r="T13">
        <f>IF( COUNTIF('Raw Data'!$A$3:$A$2927,$A13)=0,0,SUMIF('Raw Data'!$A$3:$A$2927, $A13,'Raw Data'!Q$3:Q$2927) / COUNTIF('Raw Data'!$A$3:$A$2927,$A13))</f>
        <v>0</v>
      </c>
      <c r="U13">
        <f>IF( COUNTIF('Raw Data'!$A$3:$A$2927,$A13)=0,0,SUMIF('Raw Data'!$A$3:$A$2927, $A13,'Raw Data'!R$3:R$2927) / COUNTIF('Raw Data'!$A$3:$A$2927,$A13))</f>
        <v>0</v>
      </c>
      <c r="V13">
        <f>IF( COUNTIF('Raw Data'!$A$3:$A$2927,$A13)=0,0,SUMIF('Raw Data'!$A$3:$A$2927, $A13,'Raw Data'!S$3:S$2927) / COUNTIF('Raw Data'!$A$3:$A$2927,$A13))</f>
        <v>0.125</v>
      </c>
      <c r="W13">
        <f>MAX(IF('Raw Data'!$A$3:$A$927=$A13, 'Raw Data'!$Y$3:$Y$927))</f>
        <v>0</v>
      </c>
      <c r="X13">
        <f>IF( COUNTIF('Raw Data'!$A$3:$A$2927,$A13)=0,0,SUMIF('Raw Data'!$A$3:$A$2927, $A13,'Raw Data'!U$3:U$2927) / COUNTIF('Raw Data'!$A$3:$A$2927,$A13))</f>
        <v>0.5</v>
      </c>
      <c r="Y13">
        <f>IF( COUNTIF('Raw Data'!$A$3:$A$2927,$A13)=0,0,SUMIF('Raw Data'!$A$3:$A$2927, $A13,'Raw Data'!V$3:V$2927) / COUNTIF('Raw Data'!$A$3:$A$2927,$A13))</f>
        <v>0.125</v>
      </c>
      <c r="Z13">
        <f>IF( COUNTIF('Raw Data'!$A$3:$A$2927,$A13)=0,0,SUMIF('Raw Data'!$A$3:$A$2927, $A13,'Raw Data'!W$3:W$2927) / COUNTIF('Raw Data'!$A$3:$A$2927,$A13))</f>
        <v>0</v>
      </c>
      <c r="AA13">
        <f>IF( COUNTIF('Raw Data'!$A$3:$A$2927,$A13)=0,0,SUMIF('Raw Data'!$A$3:$A$2927, $A13,'Raw Data'!X$3:X$2927) / COUNTIF('Raw Data'!$A$3:$A$2927,$A13))</f>
        <v>0</v>
      </c>
      <c r="AB13">
        <f>IF( COUNTIF('Raw Data'!$A$3:$A$2927,$A13)=0,0,SUMIF('Raw Data'!$A$3:$A$2927, $A13,'Raw Data'!AA$3:AA$2927) / COUNTIF('Raw Data'!$A$3:$A$2927,$A13))</f>
        <v>15</v>
      </c>
      <c r="AC13">
        <f>IF( COUNTIF('Raw Data'!$A$3:$A$2927,$A13)=0,0,SUMIF('Raw Data'!$A$3:$A$2927, $A13,'Raw Data'!AB$3:AB$2927) / COUNTIF('Raw Data'!$A$3:$A$2927,$A13))</f>
        <v>0</v>
      </c>
      <c r="AD13">
        <f>IF( COUNTIF('Raw Data'!$A$3:$A$2927,$A13)=0,0,SUMIF('Raw Data'!$A$3:$A$2927, $A13,'Raw Data'!AC$3:AC$2927) / COUNTIF('Raw Data'!$A$3:$A$2927,$A13))</f>
        <v>0.75</v>
      </c>
      <c r="AE13" s="117">
        <f>IF( COUNTIF('Raw Data'!$A$3:$A$2927,$A13)=0,0,SUMIF('Raw Data'!$A$3:$A$2927, $A13,'Raw Data'!AD$3:AD$2927) / COUNTIF('Raw Data'!$A$3:$A$2927,$A13))</f>
        <v>0</v>
      </c>
      <c r="AF13">
        <f>IF( COUNTIF('Raw Data'!$A$3:$A$2927,$A13)=0,0,SUMIF('Raw Data'!$A$3:$A$2927, $A13,'Raw Data'!AE$3:AE$2927) / COUNTIF('Raw Data'!$A$3:$A$2927,$A13))</f>
        <v>0.125</v>
      </c>
      <c r="AG13">
        <f>IF( COUNTIF('Raw Data'!$A$3:$A$2927,$A13)=0,0,SUMIF('Raw Data'!$A$3:$A$2927, $A13,'Raw Data'!AF$3:AF$2927) / COUNTIF('Raw Data'!$A$3:$A$2927,$A13))</f>
        <v>0</v>
      </c>
      <c r="AH13">
        <f>IF( COUNTIF('Raw Data'!$A$3:$A$2927,$A13)=0,0,SUMIF('Raw Data'!$A$3:$A$2927, $A13,'Raw Data'!AG$3:AG$2927) / COUNTIF('Raw Data'!$A$3:$A$2927,$A13))</f>
        <v>3.5</v>
      </c>
      <c r="AI13">
        <f>IF( COUNTIF('Raw Data'!$A$3:$A$2927,$A13)=0,0,SUMIF('Raw Data'!$A$3:$A$2927, $A13,'Raw Data'!AH$3:AH$2927) / COUNTIF('Raw Data'!$A$3:$A$2927,$A13))</f>
        <v>0.5</v>
      </c>
      <c r="AJ13" s="116">
        <f>COUNTIF('Raw Data'!A$3:A$2927, $A13)</f>
        <v>8</v>
      </c>
      <c r="AK13">
        <f t="shared" si="2"/>
        <v>-22.4</v>
      </c>
      <c r="AL13">
        <f t="shared" si="3"/>
        <v>-3.8125</v>
      </c>
      <c r="AM13">
        <f t="shared" si="4"/>
        <v>-0.78</v>
      </c>
      <c r="AP13" t="s">
        <v>252</v>
      </c>
      <c r="AS13" t="s">
        <v>117</v>
      </c>
      <c r="AV13" t="s">
        <v>116</v>
      </c>
    </row>
    <row r="14" spans="1:49" ht="15.75" thickBot="1">
      <c r="A14">
        <v>2852</v>
      </c>
      <c r="B14" t="s">
        <v>202</v>
      </c>
      <c r="C14">
        <f t="shared" si="0"/>
        <v>9.2857142857142847</v>
      </c>
      <c r="D14">
        <f t="shared" si="1"/>
        <v>3.8571428571428568</v>
      </c>
      <c r="E14">
        <f>IF( COUNTIF('Raw Data'!$A$3:$A$2927,$A14)=0,0,SUMIF('Raw Data'!$A$3:$A$2927, $A14,'Raw Data'!D$3:D$2927) / COUNTIF('Raw Data'!$A$3:$A$2927,$A14))</f>
        <v>1.8571428571428572</v>
      </c>
      <c r="F14">
        <f>MAX(IF('Raw Data'!$A$3:$A$927=$A14, 'Raw Data'!$O$3:$O$927))</f>
        <v>0</v>
      </c>
      <c r="G14">
        <f>MAX(IF('Raw Data'!$A$3:$A$927=$A14, 'Raw Data'!$I$3:$I$927))</f>
        <v>0</v>
      </c>
      <c r="H14">
        <f>IF( COUNTIF('Raw Data'!$A$3:$A$2927,$A14)=0,0,SUMIF('Raw Data'!$A$3:$A$2927, $A14,'Raw Data'!E$3:E$2927) / COUNTIF('Raw Data'!$A$3:$A$2927,$A14))</f>
        <v>0</v>
      </c>
      <c r="I14">
        <f>IF( COUNTIF('Raw Data'!$A$3:$A$2927,$A14)=0,0,SUMIF('Raw Data'!$A$3:$A$2927, $A14,'Raw Data'!F$3:F$2927) / COUNTIF('Raw Data'!$A$3:$A$2927,$A14))</f>
        <v>0.14285714285714285</v>
      </c>
      <c r="J14">
        <f>IF( COUNTIF('Raw Data'!$A$3:$A$2927,$A14)=0,0,SUMIF('Raw Data'!$A$3:$A$2927, $A14,'Raw Data'!G$3:G$2927) / COUNTIF('Raw Data'!$A$3:$A$2927,$A14))</f>
        <v>0</v>
      </c>
      <c r="K14">
        <f>IF( COUNTIF('Raw Data'!$A$3:$A$2927,$A14)=0,0,SUMIF('Raw Data'!$A$3:$A$2927, $A14,'Raw Data'!H$3:H$2927) / COUNTIF('Raw Data'!$A$3:$A$2927,$A14))</f>
        <v>0</v>
      </c>
      <c r="L14">
        <f>MAX(IF('Raw Data'!$A$3:$A$927=$A14, 'Raw Data'!$N$3:$N$927))</f>
        <v>0</v>
      </c>
      <c r="M14">
        <f>IF( COUNTIF('Raw Data'!$A$3:$A$2927,$A14)=0,0,SUMIF('Raw Data'!$A$3:$A$2927, $A14,'Raw Data'!J$3:J$2927) / COUNTIF('Raw Data'!$A$3:$A$2927,$A14))</f>
        <v>0</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MAX(IF('Raw Data'!$A$3:$A$927=$A14, 'Raw Data'!$Z$3:$Z$927))</f>
        <v>0</v>
      </c>
      <c r="R14">
        <f>MAX(IF('Raw Data'!$A$3:$A$927=$A14, 'Raw Data'!$T$3:$T$927))</f>
        <v>0</v>
      </c>
      <c r="S14">
        <f>IF( COUNTIF('Raw Data'!$A$3:$A$2927,$A14)=0,0,SUMIF('Raw Data'!$A$3:$A$2927, $A14,'Raw Data'!P$3:P$2927) / COUNTIF('Raw Data'!$A$3:$A$2927,$A14))</f>
        <v>0.5714285714285714</v>
      </c>
      <c r="T14">
        <f>IF( COUNTIF('Raw Data'!$A$3:$A$2927,$A14)=0,0,SUMIF('Raw Data'!$A$3:$A$2927, $A14,'Raw Data'!Q$3:Q$2927) / COUNTIF('Raw Data'!$A$3:$A$2927,$A14))</f>
        <v>1</v>
      </c>
      <c r="U14">
        <f>IF( COUNTIF('Raw Data'!$A$3:$A$2927,$A14)=0,0,SUMIF('Raw Data'!$A$3:$A$2927, $A14,'Raw Data'!R$3:R$2927) / COUNTIF('Raw Data'!$A$3:$A$2927,$A14))</f>
        <v>0.7142857142857143</v>
      </c>
      <c r="V14">
        <f>IF( COUNTIF('Raw Data'!$A$3:$A$2927,$A14)=0,0,SUMIF('Raw Data'!$A$3:$A$2927, $A14,'Raw Data'!S$3:S$2927) / COUNTIF('Raw Data'!$A$3:$A$2927,$A14))</f>
        <v>0.14285714285714285</v>
      </c>
      <c r="W14">
        <f>MAX(IF('Raw Data'!$A$3:$A$927=$A14, 'Raw Data'!$Y$3:$Y$927))</f>
        <v>0</v>
      </c>
      <c r="X14">
        <f>IF( COUNTIF('Raw Data'!$A$3:$A$2927,$A14)=0,0,SUMIF('Raw Data'!$A$3:$A$2927, $A14,'Raw Data'!U$3:U$2927) / COUNTIF('Raw Data'!$A$3:$A$2927,$A14))</f>
        <v>0.14285714285714285</v>
      </c>
      <c r="Y14">
        <f>IF( COUNTIF('Raw Data'!$A$3:$A$2927,$A14)=0,0,SUMIF('Raw Data'!$A$3:$A$2927, $A14,'Raw Data'!V$3:V$2927) / COUNTIF('Raw Data'!$A$3:$A$2927,$A14))</f>
        <v>0</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5.7142857142857144</v>
      </c>
      <c r="AC14">
        <f>IF( COUNTIF('Raw Data'!$A$3:$A$2927,$A14)=0,0,SUMIF('Raw Data'!$A$3:$A$2927, $A14,'Raw Data'!AB$3:AB$2927) / COUNTIF('Raw Data'!$A$3:$A$2927,$A14))</f>
        <v>0</v>
      </c>
      <c r="AD14">
        <f>IF( COUNTIF('Raw Data'!$A$3:$A$2927,$A14)=0,0,SUMIF('Raw Data'!$A$3:$A$2927, $A14,'Raw Data'!AC$3:AC$2927) / COUNTIF('Raw Data'!$A$3:$A$2927,$A14))</f>
        <v>0.7142857142857143</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4</v>
      </c>
      <c r="AI14">
        <f>IF( COUNTIF('Raw Data'!$A$3:$A$2927,$A14)=0,0,SUMIF('Raw Data'!$A$3:$A$2927, $A14,'Raw Data'!AH$3:AH$2927) / COUNTIF('Raw Data'!$A$3:$A$2927,$A14))</f>
        <v>0.5714285714285714</v>
      </c>
      <c r="AJ14" s="116">
        <f>COUNTIF('Raw Data'!A$3:A$2927, $A14)</f>
        <v>7</v>
      </c>
      <c r="AK14">
        <f t="shared" si="2"/>
        <v>0.95142857142857151</v>
      </c>
      <c r="AL14">
        <f t="shared" si="3"/>
        <v>-1.214285714285714</v>
      </c>
      <c r="AM14">
        <f t="shared" si="4"/>
        <v>-1.1771428571428573</v>
      </c>
      <c r="AP14" t="s">
        <v>259</v>
      </c>
      <c r="AQ14">
        <v>1</v>
      </c>
      <c r="AS14" t="s">
        <v>270</v>
      </c>
      <c r="AT14">
        <v>1</v>
      </c>
      <c r="AV14" t="s">
        <v>273</v>
      </c>
      <c r="AW14">
        <v>1</v>
      </c>
    </row>
    <row r="15" spans="1:49" ht="15.75" thickBot="1">
      <c r="A15">
        <v>2994</v>
      </c>
      <c r="B15" t="s">
        <v>203</v>
      </c>
      <c r="C15">
        <f t="shared" si="0"/>
        <v>13.799999999999999</v>
      </c>
      <c r="D15">
        <f t="shared" si="1"/>
        <v>4.1999999999999993</v>
      </c>
      <c r="E15">
        <f>IF( COUNTIF('Raw Data'!$A$3:$A$2927,$A15)=0,0,SUMIF('Raw Data'!$A$3:$A$2927, $A15,'Raw Data'!D$3:D$2927) / COUNTIF('Raw Data'!$A$3:$A$2927,$A15))</f>
        <v>1.7</v>
      </c>
      <c r="F15">
        <f>MAX(IF('Raw Data'!$A$3:$A$927=$A15, 'Raw Data'!$O$3:$O$927))</f>
        <v>0</v>
      </c>
      <c r="G15">
        <f>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MAX(IF('Raw Data'!$A$3:$A$927=$A15, 'Raw Data'!$Z$3:$Z$927))</f>
        <v>0</v>
      </c>
      <c r="R15">
        <f>MAX(IF('Raw Data'!$A$3:$A$927=$A15, 'Raw Data'!$T$3:$T$927))</f>
        <v>0</v>
      </c>
      <c r="S15">
        <f>IF( COUNTIF('Raw Data'!$A$3:$A$2927,$A15)=0,0,SUMIF('Raw Data'!$A$3:$A$2927, $A15,'Raw Data'!P$3:P$2927) / COUNTIF('Raw Data'!$A$3:$A$2927,$A15))</f>
        <v>0.3</v>
      </c>
      <c r="T15">
        <f>IF( COUNTIF('Raw Data'!$A$3:$A$2927,$A15)=0,0,SUMIF('Raw Data'!$A$3:$A$2927, $A15,'Raw Data'!Q$3:Q$2927) / COUNTIF('Raw Data'!$A$3:$A$2927,$A15))</f>
        <v>0</v>
      </c>
      <c r="U15">
        <f>IF( COUNTIF('Raw Data'!$A$3:$A$2927,$A15)=0,0,SUMIF('Raw Data'!$A$3:$A$2927, $A15,'Raw Data'!R$3:R$2927) / COUNTIF('Raw Data'!$A$3:$A$2927,$A15))</f>
        <v>0</v>
      </c>
      <c r="V15">
        <f>IF( COUNTIF('Raw Data'!$A$3:$A$2927,$A15)=0,0,SUMIF('Raw Data'!$A$3:$A$2927, $A15,'Raw Data'!S$3:S$2927) / COUNTIF('Raw Data'!$A$3:$A$2927,$A15))</f>
        <v>0</v>
      </c>
      <c r="W15">
        <f>MAX(IF('Raw Data'!$A$3:$A$927=$A15, 'Raw Data'!$Y$3:$Y$927))</f>
        <v>0</v>
      </c>
      <c r="X15">
        <f>IF( COUNTIF('Raw Data'!$A$3:$A$2927,$A15)=0,0,SUMIF('Raw Data'!$A$3:$A$2927, $A15,'Raw Data'!U$3:U$2927) / COUNTIF('Raw Data'!$A$3:$A$2927,$A15))</f>
        <v>1.2</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0</v>
      </c>
      <c r="AC15">
        <f>IF( COUNTIF('Raw Data'!$A$3:$A$2927,$A15)=0,0,SUMIF('Raw Data'!$A$3:$A$2927, $A15,'Raw Data'!AB$3:AB$2927) / COUNTIF('Raw Data'!$A$3:$A$2927,$A15))</f>
        <v>0</v>
      </c>
      <c r="AD15">
        <f>IF( COUNTIF('Raw Data'!$A$3:$A$2927,$A15)=0,0,SUMIF('Raw Data'!$A$3:$A$2927, $A15,'Raw Data'!AC$3:AC$2927) / COUNTIF('Raw Data'!$A$3:$A$2927,$A15))</f>
        <v>1.6</v>
      </c>
      <c r="AE15" s="117">
        <f>IF( COUNTIF('Raw Data'!$A$3:$A$2927,$A15)=0,0,SUMIF('Raw Data'!$A$3:$A$2927, $A15,'Raw Data'!AD$3:AD$2927) / COUNTIF('Raw Data'!$A$3:$A$2927,$A15))</f>
        <v>0.1</v>
      </c>
      <c r="AF15">
        <f>IF( COUNTIF('Raw Data'!$A$3:$A$2927,$A15)=0,0,SUMIF('Raw Data'!$A$3:$A$2927, $A15,'Raw Data'!AE$3:AE$2927) / COUNTIF('Raw Data'!$A$3:$A$2927,$A15))</f>
        <v>0.1</v>
      </c>
      <c r="AG15">
        <f>IF( COUNTIF('Raw Data'!$A$3:$A$2927,$A15)=0,0,SUMIF('Raw Data'!$A$3:$A$2927, $A15,'Raw Data'!AF$3:AF$2927) / COUNTIF('Raw Data'!$A$3:$A$2927,$A15))</f>
        <v>0</v>
      </c>
      <c r="AH15">
        <f>IF( COUNTIF('Raw Data'!$A$3:$A$2927,$A15)=0,0,SUMIF('Raw Data'!$A$3:$A$2927, $A15,'Raw Data'!AG$3:AG$2927) / COUNTIF('Raw Data'!$A$3:$A$2927,$A15))</f>
        <v>0.3</v>
      </c>
      <c r="AI15">
        <f>IF( COUNTIF('Raw Data'!$A$3:$A$2927,$A15)=0,0,SUMIF('Raw Data'!$A$3:$A$2927, $A15,'Raw Data'!AH$3:AH$2927) / COUNTIF('Raw Data'!$A$3:$A$2927,$A15))</f>
        <v>0.8</v>
      </c>
      <c r="AJ15" s="116">
        <f>COUNTIF('Raw Data'!A$3:A$2927, $A15)</f>
        <v>10</v>
      </c>
      <c r="AK15">
        <f t="shared" si="2"/>
        <v>1.9420000000000002</v>
      </c>
      <c r="AL15">
        <f t="shared" si="3"/>
        <v>-3.45</v>
      </c>
      <c r="AM15">
        <f t="shared" si="4"/>
        <v>0.70099999999999996</v>
      </c>
      <c r="AP15" t="s">
        <v>278</v>
      </c>
      <c r="AQ15">
        <v>1.5</v>
      </c>
      <c r="AS15" t="s">
        <v>285</v>
      </c>
      <c r="AT15">
        <v>0.5</v>
      </c>
      <c r="AV15" t="s">
        <v>287</v>
      </c>
      <c r="AW15">
        <v>0.5</v>
      </c>
    </row>
    <row r="16" spans="1:49" ht="15.75" thickBot="1">
      <c r="A16">
        <v>3571</v>
      </c>
      <c r="B16" t="s">
        <v>204</v>
      </c>
      <c r="C16">
        <f t="shared" si="0"/>
        <v>5.25</v>
      </c>
      <c r="D16">
        <f t="shared" si="1"/>
        <v>0</v>
      </c>
      <c r="E16">
        <f>IF( COUNTIF('Raw Data'!$A$3:$A$2927,$A16)=0,0,SUMIF('Raw Data'!$A$3:$A$2927, $A16,'Raw Data'!D$3:D$2927) / COUNTIF('Raw Data'!$A$3:$A$2927,$A16))</f>
        <v>1.375</v>
      </c>
      <c r="F16">
        <f>MAX(IF('Raw Data'!$A$3:$A$927=$A16, 'Raw Data'!$O$3:$O$927))</f>
        <v>0</v>
      </c>
      <c r="G16">
        <f>MAX(IF('Raw Data'!$A$3:$A$927=$A16, 'Raw Data'!$I$3:$I$927))</f>
        <v>0</v>
      </c>
      <c r="H16">
        <f>IF( COUNTIF('Raw Data'!$A$3:$A$2927,$A16)=0,0,SUMIF('Raw Data'!$A$3:$A$2927, $A16,'Raw Data'!E$3:E$2927) / COUNTIF('Raw Data'!$A$3:$A$2927,$A16))</f>
        <v>0</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MAX(IF('Raw Data'!$A$3:$A$927=$A16, 'Raw Data'!$Z$3:$Z$927))</f>
        <v>0</v>
      </c>
      <c r="R16">
        <f>MAX(IF('Raw Data'!$A$3:$A$927=$A16, 'Raw Data'!$T$3:$T$927))</f>
        <v>0</v>
      </c>
      <c r="S16">
        <f>IF( COUNTIF('Raw Data'!$A$3:$A$2927,$A16)=0,0,SUMIF('Raw Data'!$A$3:$A$2927, $A16,'Raw Data'!P$3:P$2927) / COUNTIF('Raw Data'!$A$3:$A$2927,$A16))</f>
        <v>0</v>
      </c>
      <c r="T16">
        <f>IF( COUNTIF('Raw Data'!$A$3:$A$2927,$A16)=0,0,SUMIF('Raw Data'!$A$3:$A$2927, $A16,'Raw Data'!Q$3:Q$2927) / COUNTIF('Raw Data'!$A$3:$A$2927,$A16))</f>
        <v>0</v>
      </c>
      <c r="U16">
        <f>IF( COUNTIF('Raw Data'!$A$3:$A$2927,$A16)=0,0,SUMIF('Raw Data'!$A$3:$A$2927, $A16,'Raw Data'!R$3:R$2927) / COUNTIF('Raw Data'!$A$3:$A$2927,$A16))</f>
        <v>0</v>
      </c>
      <c r="V16">
        <f>IF( COUNTIF('Raw Data'!$A$3:$A$2927,$A16)=0,0,SUMIF('Raw Data'!$A$3:$A$2927, $A16,'Raw Data'!S$3:S$2927) / COUNTIF('Raw Data'!$A$3:$A$2927,$A16))</f>
        <v>0</v>
      </c>
      <c r="W16">
        <f>MAX(IF('Raw Data'!$A$3:$A$927=$A16, 'Raw Data'!$Y$3:$Y$927))</f>
        <v>0</v>
      </c>
      <c r="X16">
        <f>IF( COUNTIF('Raw Data'!$A$3:$A$2927,$A16)=0,0,SUMIF('Raw Data'!$A$3:$A$2927, $A16,'Raw Data'!U$3:U$2927) / COUNTIF('Raw Data'!$A$3:$A$2927,$A16))</f>
        <v>0</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v>
      </c>
      <c r="AB16">
        <f>IF( COUNTIF('Raw Data'!$A$3:$A$2927,$A16)=0,0,SUMIF('Raw Data'!$A$3:$A$2927, $A16,'Raw Data'!AA$3:AA$2927) / COUNTIF('Raw Data'!$A$3:$A$2927,$A16))</f>
        <v>7.5</v>
      </c>
      <c r="AC16">
        <f>IF( COUNTIF('Raw Data'!$A$3:$A$2927,$A16)=0,0,SUMIF('Raw Data'!$A$3:$A$2927, $A16,'Raw Data'!AB$3:AB$2927) / COUNTIF('Raw Data'!$A$3:$A$2927,$A16))</f>
        <v>0</v>
      </c>
      <c r="AD16">
        <f>IF( COUNTIF('Raw Data'!$A$3:$A$2927,$A16)=0,0,SUMIF('Raw Data'!$A$3:$A$2927, $A16,'Raw Data'!AC$3:AC$2927) / COUNTIF('Raw Data'!$A$3:$A$2927,$A16))</f>
        <v>0.5</v>
      </c>
      <c r="AE16" s="117">
        <f>IF( COUNTIF('Raw Data'!$A$3:$A$2927,$A16)=0,0,SUMIF('Raw Data'!$A$3:$A$2927, $A16,'Raw Data'!AD$3:AD$2927) / COUNTIF('Raw Data'!$A$3:$A$2927,$A16))</f>
        <v>0</v>
      </c>
      <c r="AF16">
        <f>IF( COUNTIF('Raw Data'!$A$3:$A$2927,$A16)=0,0,SUMIF('Raw Data'!$A$3:$A$2927, $A16,'Raw Data'!AE$3:AE$2927) / COUNTIF('Raw Data'!$A$3:$A$2927,$A16))</f>
        <v>0.5</v>
      </c>
      <c r="AG16">
        <f>IF( COUNTIF('Raw Data'!$A$3:$A$2927,$A16)=0,0,SUMIF('Raw Data'!$A$3:$A$2927, $A16,'Raw Data'!AF$3:AF$2927) / COUNTIF('Raw Data'!$A$3:$A$2927,$A16))</f>
        <v>0</v>
      </c>
      <c r="AH16">
        <f>IF( COUNTIF('Raw Data'!$A$3:$A$2927,$A16)=0,0,SUMIF('Raw Data'!$A$3:$A$2927, $A16,'Raw Data'!AG$3:AG$2927) / COUNTIF('Raw Data'!$A$3:$A$2927,$A16))</f>
        <v>0.375</v>
      </c>
      <c r="AI16">
        <f>IF( COUNTIF('Raw Data'!$A$3:$A$2927,$A16)=0,0,SUMIF('Raw Data'!$A$3:$A$2927, $A16,'Raw Data'!AH$3:AH$2927) / COUNTIF('Raw Data'!$A$3:$A$2927,$A16))</f>
        <v>0</v>
      </c>
      <c r="AJ16" s="116">
        <f>COUNTIF('Raw Data'!A$3:A$2927, $A16)</f>
        <v>8</v>
      </c>
      <c r="AK16">
        <f t="shared" si="2"/>
        <v>-1.1875</v>
      </c>
      <c r="AL16">
        <f t="shared" si="3"/>
        <v>-1.1875</v>
      </c>
      <c r="AM16">
        <f t="shared" si="4"/>
        <v>-1.12375</v>
      </c>
      <c r="AP16" t="s">
        <v>253</v>
      </c>
      <c r="AQ16">
        <v>1</v>
      </c>
      <c r="AS16" t="s">
        <v>262</v>
      </c>
      <c r="AT16">
        <v>0.5</v>
      </c>
      <c r="AV16" t="s">
        <v>274</v>
      </c>
      <c r="AW16">
        <v>0.25</v>
      </c>
    </row>
    <row r="17" spans="1:51" ht="15.75" thickBot="1">
      <c r="A17">
        <v>4015</v>
      </c>
      <c r="B17" t="s">
        <v>205</v>
      </c>
      <c r="C17">
        <f t="shared" si="0"/>
        <v>9.3000000000000007</v>
      </c>
      <c r="D17">
        <f t="shared" si="1"/>
        <v>5.5000000000000009</v>
      </c>
      <c r="E17">
        <f>IF( COUNTIF('Raw Data'!$A$3:$A$2927,$A17)=0,0,SUMIF('Raw Data'!$A$3:$A$2927, $A17,'Raw Data'!D$3:D$2927) / COUNTIF('Raw Data'!$A$3:$A$2927,$A17))</f>
        <v>0.9</v>
      </c>
      <c r="F17">
        <f>MAX(IF('Raw Data'!$A$3:$A$927=$A17, 'Raw Data'!$O$3:$O$927))</f>
        <v>0</v>
      </c>
      <c r="G17">
        <f>MAX(IF('Raw Data'!$A$3:$A$927=$A17, 'Raw Data'!$I$3:$I$927))</f>
        <v>0</v>
      </c>
      <c r="H17">
        <f>IF( COUNTIF('Raw Data'!$A$3:$A$2927,$A17)=0,0,SUMIF('Raw Data'!$A$3:$A$2927, $A17,'Raw Data'!E$3:E$2927) / COUNTIF('Raw Data'!$A$3:$A$2927,$A17))</f>
        <v>0</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MAX(IF('Raw Data'!$A$3:$A$927=$A17, 'Raw Data'!$N$3:$N$927))</f>
        <v>0</v>
      </c>
      <c r="M17">
        <f>IF( COUNTIF('Raw Data'!$A$3:$A$2927,$A17)=0,0,SUMIF('Raw Data'!$A$3:$A$2927, $A17,'Raw Data'!J$3:J$2927) / COUNTIF('Raw Data'!$A$3:$A$2927,$A17))</f>
        <v>0.1</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MAX(IF('Raw Data'!$A$3:$A$927=$A17, 'Raw Data'!$Z$3:$Z$927))</f>
        <v>0</v>
      </c>
      <c r="R17">
        <f>MAX(IF('Raw Data'!$A$3:$A$927=$A17, 'Raw Data'!$T$3:$T$927))</f>
        <v>0</v>
      </c>
      <c r="S17">
        <f>IF( COUNTIF('Raw Data'!$A$3:$A$2927,$A17)=0,0,SUMIF('Raw Data'!$A$3:$A$2927, $A17,'Raw Data'!P$3:P$2927) / COUNTIF('Raw Data'!$A$3:$A$2927,$A17))</f>
        <v>0</v>
      </c>
      <c r="T17">
        <f>IF( COUNTIF('Raw Data'!$A$3:$A$2927,$A17)=0,0,SUMIF('Raw Data'!$A$3:$A$2927, $A17,'Raw Data'!Q$3:Q$2927) / COUNTIF('Raw Data'!$A$3:$A$2927,$A17))</f>
        <v>0.2</v>
      </c>
      <c r="U17">
        <f>IF( COUNTIF('Raw Data'!$A$3:$A$2927,$A17)=0,0,SUMIF('Raw Data'!$A$3:$A$2927, $A17,'Raw Data'!R$3:R$2927) / COUNTIF('Raw Data'!$A$3:$A$2927,$A17))</f>
        <v>0.1</v>
      </c>
      <c r="V17">
        <f>IF( COUNTIF('Raw Data'!$A$3:$A$2927,$A17)=0,0,SUMIF('Raw Data'!$A$3:$A$2927, $A17,'Raw Data'!S$3:S$2927) / COUNTIF('Raw Data'!$A$3:$A$2927,$A17))</f>
        <v>0</v>
      </c>
      <c r="W17">
        <f>MAX(IF('Raw Data'!$A$3:$A$927=$A17, 'Raw Data'!$Y$3:$Y$927))</f>
        <v>0</v>
      </c>
      <c r="X17">
        <f>IF( COUNTIF('Raw Data'!$A$3:$A$2927,$A17)=0,0,SUMIF('Raw Data'!$A$3:$A$2927, $A17,'Raw Data'!U$3:U$2927) / COUNTIF('Raw Data'!$A$3:$A$2927,$A17))</f>
        <v>1.3</v>
      </c>
      <c r="Y17">
        <f>IF( COUNTIF('Raw Data'!$A$3:$A$2927,$A17)=0,0,SUMIF('Raw Data'!$A$3:$A$2927, $A17,'Raw Data'!V$3:V$2927) / COUNTIF('Raw Data'!$A$3:$A$2927,$A17))</f>
        <v>0.3</v>
      </c>
      <c r="Z17">
        <f>IF( COUNTIF('Raw Data'!$A$3:$A$2927,$A17)=0,0,SUMIF('Raw Data'!$A$3:$A$2927, $A17,'Raw Data'!W$3:W$2927) / COUNTIF('Raw Data'!$A$3:$A$2927,$A17))</f>
        <v>0</v>
      </c>
      <c r="AA17">
        <f>IF( COUNTIF('Raw Data'!$A$3:$A$2927,$A17)=0,0,SUMIF('Raw Data'!$A$3:$A$2927, $A17,'Raw Data'!X$3:X$2927) / COUNTIF('Raw Data'!$A$3:$A$2927,$A17))</f>
        <v>0</v>
      </c>
      <c r="AB17">
        <f>IF( COUNTIF('Raw Data'!$A$3:$A$2927,$A17)=0,0,SUMIF('Raw Data'!$A$3:$A$2927, $A17,'Raw Data'!AA$3:AA$2927) / COUNTIF('Raw Data'!$A$3:$A$2927,$A17))</f>
        <v>3.8</v>
      </c>
      <c r="AC17">
        <f>IF( COUNTIF('Raw Data'!$A$3:$A$2927,$A17)=0,0,SUMIF('Raw Data'!$A$3:$A$2927, $A17,'Raw Data'!AB$3:AB$2927) / COUNTIF('Raw Data'!$A$3:$A$2927,$A17))</f>
        <v>0</v>
      </c>
      <c r="AD17">
        <f>IF( COUNTIF('Raw Data'!$A$3:$A$2927,$A17)=0,0,SUMIF('Raw Data'!$A$3:$A$2927, $A17,'Raw Data'!AC$3:AC$2927) / COUNTIF('Raw Data'!$A$3:$A$2927,$A17))</f>
        <v>0.5</v>
      </c>
      <c r="AE17" s="117">
        <f>IF( COUNTIF('Raw Data'!$A$3:$A$2927,$A17)=0,0,SUMIF('Raw Data'!$A$3:$A$2927, $A17,'Raw Data'!AD$3:AD$2927) / COUNTIF('Raw Data'!$A$3:$A$2927,$A17))</f>
        <v>0</v>
      </c>
      <c r="AF17">
        <f>IF( COUNTIF('Raw Data'!$A$3:$A$2927,$A17)=0,0,SUMIF('Raw Data'!$A$3:$A$2927, $A17,'Raw Data'!AE$3:AE$2927) / COUNTIF('Raw Data'!$A$3:$A$2927,$A17))</f>
        <v>0.3</v>
      </c>
      <c r="AG17">
        <f>IF( COUNTIF('Raw Data'!$A$3:$A$2927,$A17)=0,0,SUMIF('Raw Data'!$A$3:$A$2927, $A17,'Raw Data'!AF$3:AF$2927) / COUNTIF('Raw Data'!$A$3:$A$2927,$A17))</f>
        <v>0</v>
      </c>
      <c r="AH17">
        <f>IF( COUNTIF('Raw Data'!$A$3:$A$2927,$A17)=0,0,SUMIF('Raw Data'!$A$3:$A$2927, $A17,'Raw Data'!AG$3:AG$2927) / COUNTIF('Raw Data'!$A$3:$A$2927,$A17))</f>
        <v>0.6</v>
      </c>
      <c r="AI17">
        <f>IF( COUNTIF('Raw Data'!$A$3:$A$2927,$A17)=0,0,SUMIF('Raw Data'!$A$3:$A$2927, $A17,'Raw Data'!AH$3:AH$2927) / COUNTIF('Raw Data'!$A$3:$A$2927,$A17))</f>
        <v>0.2</v>
      </c>
      <c r="AJ17" s="116">
        <f>COUNTIF('Raw Data'!A$3:A$2927, $A17)</f>
        <v>10</v>
      </c>
      <c r="AK17">
        <f t="shared" si="2"/>
        <v>-0.82799999999999985</v>
      </c>
      <c r="AL17">
        <f t="shared" si="3"/>
        <v>-2.85</v>
      </c>
      <c r="AM17">
        <f t="shared" si="4"/>
        <v>-7.2999999999999843E-2</v>
      </c>
      <c r="AP17" t="s">
        <v>254</v>
      </c>
      <c r="AQ17">
        <v>0.66</v>
      </c>
      <c r="AS17" t="s">
        <v>263</v>
      </c>
      <c r="AT17">
        <v>-0.5</v>
      </c>
      <c r="AV17" t="s">
        <v>275</v>
      </c>
      <c r="AW17">
        <v>-0.33</v>
      </c>
    </row>
    <row r="18" spans="1:51" ht="15.75" thickBot="1">
      <c r="A18">
        <v>4152</v>
      </c>
      <c r="B18" t="s">
        <v>206</v>
      </c>
      <c r="C18">
        <f t="shared" si="0"/>
        <v>19.8</v>
      </c>
      <c r="D18">
        <f t="shared" si="1"/>
        <v>9</v>
      </c>
      <c r="E18">
        <f>IF( COUNTIF('Raw Data'!$A$3:$A$2927,$A18)=0,0,SUMIF('Raw Data'!$A$3:$A$2927, $A18,'Raw Data'!D$3:D$2927) / COUNTIF('Raw Data'!$A$3:$A$2927,$A18))</f>
        <v>1.7</v>
      </c>
      <c r="F18">
        <f>MAX(IF('Raw Data'!$A$3:$A$927=$A18, 'Raw Data'!$O$3:$O$927))</f>
        <v>0</v>
      </c>
      <c r="G18">
        <f>MAX(IF('Raw Data'!$A$3:$A$927=$A18, 'Raw Data'!$I$3:$I$927))</f>
        <v>0</v>
      </c>
      <c r="H18">
        <f>IF( COUNTIF('Raw Data'!$A$3:$A$2927,$A18)=0,0,SUMIF('Raw Data'!$A$3:$A$2927, $A18,'Raw Data'!E$3:E$2927) / COUNTIF('Raw Data'!$A$3:$A$2927,$A18))</f>
        <v>0.5</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v>
      </c>
      <c r="L18">
        <f>MAX(IF('Raw Data'!$A$3:$A$927=$A18, 'Raw Data'!$N$3:$N$927))</f>
        <v>0</v>
      </c>
      <c r="M18">
        <f>IF( COUNTIF('Raw Data'!$A$3:$A$2927,$A18)=0,0,SUMIF('Raw Data'!$A$3:$A$2927, $A18,'Raw Data'!J$3:J$2927) / COUNTIF('Raw Data'!$A$3:$A$2927,$A18))</f>
        <v>0.1</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MAX(IF('Raw Data'!$A$3:$A$927=$A18, 'Raw Data'!$Z$3:$Z$927))</f>
        <v>0</v>
      </c>
      <c r="R18">
        <f>MAX(IF('Raw Data'!$A$3:$A$927=$A18, 'Raw Data'!$T$3:$T$927))</f>
        <v>0</v>
      </c>
      <c r="S18">
        <f>IF( COUNTIF('Raw Data'!$A$3:$A$2927,$A18)=0,0,SUMIF('Raw Data'!$A$3:$A$2927, $A18,'Raw Data'!P$3:P$2927) / COUNTIF('Raw Data'!$A$3:$A$2927,$A18))</f>
        <v>1.5</v>
      </c>
      <c r="T18">
        <f>IF( COUNTIF('Raw Data'!$A$3:$A$2927,$A18)=0,0,SUMIF('Raw Data'!$A$3:$A$2927, $A18,'Raw Data'!Q$3:Q$2927) / COUNTIF('Raw Data'!$A$3:$A$2927,$A18))</f>
        <v>0.7</v>
      </c>
      <c r="U18">
        <f>IF( COUNTIF('Raw Data'!$A$3:$A$2927,$A18)=0,0,SUMIF('Raw Data'!$A$3:$A$2927, $A18,'Raw Data'!R$3:R$2927) / COUNTIF('Raw Data'!$A$3:$A$2927,$A18))</f>
        <v>0.4</v>
      </c>
      <c r="V18">
        <f>IF( COUNTIF('Raw Data'!$A$3:$A$2927,$A18)=0,0,SUMIF('Raw Data'!$A$3:$A$2927, $A18,'Raw Data'!S$3:S$2927) / COUNTIF('Raw Data'!$A$3:$A$2927,$A18))</f>
        <v>0.2</v>
      </c>
      <c r="W18">
        <f>MAX(IF('Raw Data'!$A$3:$A$927=$A18, 'Raw Data'!$Y$3:$Y$927))</f>
        <v>0</v>
      </c>
      <c r="X18">
        <f>IF( COUNTIF('Raw Data'!$A$3:$A$2927,$A18)=0,0,SUMIF('Raw Data'!$A$3:$A$2927, $A18,'Raw Data'!U$3:U$2927) / COUNTIF('Raw Data'!$A$3:$A$2927,$A18))</f>
        <v>0.7</v>
      </c>
      <c r="Y18">
        <f>IF( COUNTIF('Raw Data'!$A$3:$A$2927,$A18)=0,0,SUMIF('Raw Data'!$A$3:$A$2927, $A18,'Raw Data'!V$3:V$2927) / COUNTIF('Raw Data'!$A$3:$A$2927,$A18))</f>
        <v>0.4</v>
      </c>
      <c r="Z18">
        <f>IF( COUNTIF('Raw Data'!$A$3:$A$2927,$A18)=0,0,SUMIF('Raw Data'!$A$3:$A$2927, $A18,'Raw Data'!W$3:W$2927) / COUNTIF('Raw Data'!$A$3:$A$2927,$A18))</f>
        <v>0</v>
      </c>
      <c r="AA18">
        <f>IF( COUNTIF('Raw Data'!$A$3:$A$2927,$A18)=0,0,SUMIF('Raw Data'!$A$3:$A$2927, $A18,'Raw Data'!X$3:X$2927) / COUNTIF('Raw Data'!$A$3:$A$2927,$A18))</f>
        <v>0</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1.6</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0.3</v>
      </c>
      <c r="AI18">
        <f>IF( COUNTIF('Raw Data'!$A$3:$A$2927,$A18)=0,0,SUMIF('Raw Data'!$A$3:$A$2927, $A18,'Raw Data'!AH$3:AH$2927) / COUNTIF('Raw Data'!$A$3:$A$2927,$A18))</f>
        <v>0.1</v>
      </c>
      <c r="AJ18" s="116">
        <f>COUNTIF('Raw Data'!A$3:A$2927, $A18)</f>
        <v>10</v>
      </c>
      <c r="AK18">
        <f t="shared" si="2"/>
        <v>7.0419999999999998</v>
      </c>
      <c r="AL18">
        <f t="shared" si="3"/>
        <v>3.3000000000000007</v>
      </c>
      <c r="AM18">
        <f t="shared" si="4"/>
        <v>1.1260000000000001</v>
      </c>
      <c r="AP18" t="s">
        <v>286</v>
      </c>
      <c r="AQ18">
        <v>0.5</v>
      </c>
      <c r="AR18" t="s">
        <v>255</v>
      </c>
      <c r="AS18" t="s">
        <v>271</v>
      </c>
      <c r="AT18">
        <v>-4</v>
      </c>
      <c r="AV18" t="s">
        <v>288</v>
      </c>
      <c r="AW18">
        <v>-2</v>
      </c>
    </row>
    <row r="19" spans="1:51" ht="15.75" thickBot="1">
      <c r="A19">
        <v>4252</v>
      </c>
      <c r="B19" t="s">
        <v>370</v>
      </c>
      <c r="C19">
        <f t="shared" si="0"/>
        <v>0</v>
      </c>
      <c r="D19">
        <f t="shared" si="1"/>
        <v>0</v>
      </c>
      <c r="E19">
        <f>IF( COUNTIF('Raw Data'!$A$3:$A$2927,$A19)=0,0,SUMIF('Raw Data'!$A$3:$A$2927, $A19,'Raw Data'!D$3:D$2927) / COUNTIF('Raw Data'!$A$3:$A$2927,$A19))</f>
        <v>0</v>
      </c>
      <c r="F19">
        <f>MAX(IF('Raw Data'!$A$3:$A$927=$A19, 'Raw Data'!$O$3:$O$927))</f>
        <v>0</v>
      </c>
      <c r="G19">
        <f>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MAX(IF('Raw Data'!$A$3:$A$927=$A19, 'Raw Data'!$Z$3:$Z$927))</f>
        <v>0</v>
      </c>
      <c r="R19">
        <f>MAX(IF('Raw Data'!$A$3:$A$927=$A19, 'Raw Data'!$T$3:$T$927))</f>
        <v>0</v>
      </c>
      <c r="S19">
        <f>IF( COUNTIF('Raw Data'!$A$3:$A$2927,$A19)=0,0,SUMIF('Raw Data'!$A$3:$A$2927, $A19,'Raw Data'!P$3:P$2927) / COUNTIF('Raw Data'!$A$3:$A$2927,$A19))</f>
        <v>0</v>
      </c>
      <c r="T19">
        <f>IF( COUNTIF('Raw Data'!$A$3:$A$2927,$A19)=0,0,SUMIF('Raw Data'!$A$3:$A$2927, $A19,'Raw Data'!Q$3:Q$2927) / COUNTIF('Raw Data'!$A$3:$A$2927,$A19))</f>
        <v>0</v>
      </c>
      <c r="U19">
        <f>IF( COUNTIF('Raw Data'!$A$3:$A$2927,$A19)=0,0,SUMIF('Raw Data'!$A$3:$A$2927, $A19,'Raw Data'!R$3:R$2927) / COUNTIF('Raw Data'!$A$3:$A$2927,$A19))</f>
        <v>0</v>
      </c>
      <c r="V19">
        <f>IF( COUNTIF('Raw Data'!$A$3:$A$2927,$A19)=0,0,SUMIF('Raw Data'!$A$3:$A$2927, $A19,'Raw Data'!S$3:S$2927) / COUNTIF('Raw Data'!$A$3:$A$2927,$A19))</f>
        <v>0</v>
      </c>
      <c r="W19">
        <f>MAX(IF('Raw Data'!$A$3:$A$927=$A19, 'Raw Data'!$Y$3:$Y$927))</f>
        <v>0</v>
      </c>
      <c r="X19">
        <f>IF( COUNTIF('Raw Data'!$A$3:$A$2927,$A19)=0,0,SUMIF('Raw Data'!$A$3:$A$2927, $A19,'Raw Data'!U$3:U$2927) / COUNTIF('Raw Data'!$A$3:$A$2927,$A19))</f>
        <v>0</v>
      </c>
      <c r="Y19">
        <f>IF( COUNTIF('Raw Data'!$A$3:$A$2927,$A19)=0,0,SUMIF('Raw Data'!$A$3:$A$2927, $A19,'Raw Data'!V$3:V$2927) / COUNTIF('Raw Data'!$A$3:$A$2927,$A19))</f>
        <v>0</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v>
      </c>
      <c r="AI19">
        <f>IF( COUNTIF('Raw Data'!$A$3:$A$2927,$A19)=0,0,SUMIF('Raw Data'!$A$3:$A$2927, $A19,'Raw Data'!AH$3:AH$2927) / COUNTIF('Raw Data'!$A$3:$A$2927,$A19))</f>
        <v>0</v>
      </c>
      <c r="AJ19" s="116">
        <f>COUNTIF('Raw Data'!A$3:A$2927, $A19)</f>
        <v>0</v>
      </c>
      <c r="AK19">
        <f t="shared" si="2"/>
        <v>-21</v>
      </c>
      <c r="AL19">
        <f t="shared" si="3"/>
        <v>-1.5</v>
      </c>
      <c r="AM19">
        <f t="shared" si="4"/>
        <v>-1</v>
      </c>
      <c r="AP19" t="s">
        <v>256</v>
      </c>
      <c r="AQ19">
        <v>5</v>
      </c>
      <c r="AS19" t="s">
        <v>284</v>
      </c>
      <c r="AT19">
        <v>-2</v>
      </c>
      <c r="AV19" t="s">
        <v>276</v>
      </c>
      <c r="AW19">
        <v>-1</v>
      </c>
    </row>
    <row r="20" spans="1:51" ht="15.75" thickBot="1">
      <c r="A20">
        <v>4308</v>
      </c>
      <c r="B20" t="s">
        <v>358</v>
      </c>
      <c r="C20">
        <f t="shared" si="0"/>
        <v>0</v>
      </c>
      <c r="D20">
        <f t="shared" si="1"/>
        <v>0</v>
      </c>
      <c r="E20">
        <f>IF( COUNTIF('Raw Data'!$A$3:$A$2927,$A20)=0,0,SUMIF('Raw Data'!$A$3:$A$2927, $A20,'Raw Data'!D$3:D$2927) / COUNTIF('Raw Data'!$A$3:$A$2927,$A20))</f>
        <v>0</v>
      </c>
      <c r="F20">
        <f>MAX(IF('Raw Data'!$A$3:$A$927=$A20, 'Raw Data'!$O$3:$O$927))</f>
        <v>0</v>
      </c>
      <c r="G20">
        <f>MAX(IF('Raw Data'!$A$3:$A$927=$A20, 'Raw Data'!$I$3:$I$927))</f>
        <v>0</v>
      </c>
      <c r="H20">
        <f>IF( COUNTIF('Raw Data'!$A$3:$A$2927,$A20)=0,0,SUMIF('Raw Data'!$A$3:$A$2927, $A20,'Raw Data'!E$3:E$2927) / COUNTIF('Raw Data'!$A$3:$A$2927,$A20))</f>
        <v>0</v>
      </c>
      <c r="I20">
        <f>IF( COUNTIF('Raw Data'!$A$3:$A$2927,$A20)=0,0,SUMIF('Raw Data'!$A$3:$A$2927, $A20,'Raw Data'!F$3:F$2927) / COUNTIF('Raw Data'!$A$3:$A$2927,$A20))</f>
        <v>0</v>
      </c>
      <c r="J20">
        <f>IF( COUNTIF('Raw Data'!$A$3:$A$2927,$A20)=0,0,SUMIF('Raw Data'!$A$3:$A$2927, $A20,'Raw Data'!G$3:G$2927) / COUNTIF('Raw Data'!$A$3:$A$2927,$A20))</f>
        <v>0</v>
      </c>
      <c r="K20">
        <f>IF( COUNTIF('Raw Data'!$A$3:$A$2927,$A20)=0,0,SUMIF('Raw Data'!$A$3:$A$2927, $A20,'Raw Data'!H$3:H$2927) / COUNTIF('Raw Data'!$A$3:$A$2927,$A20))</f>
        <v>0</v>
      </c>
      <c r="L20">
        <f>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MAX(IF('Raw Data'!$A$3:$A$927=$A20, 'Raw Data'!$Z$3:$Z$927))</f>
        <v>0</v>
      </c>
      <c r="R20">
        <f>MAX(IF('Raw Data'!$A$3:$A$927=$A20, 'Raw Data'!$T$3:$T$927))</f>
        <v>0</v>
      </c>
      <c r="S20">
        <f>IF( COUNTIF('Raw Data'!$A$3:$A$2927,$A20)=0,0,SUMIF('Raw Data'!$A$3:$A$2927, $A20,'Raw Data'!P$3:P$2927) / COUNTIF('Raw Data'!$A$3:$A$2927,$A20))</f>
        <v>0</v>
      </c>
      <c r="T20">
        <f>IF( COUNTIF('Raw Data'!$A$3:$A$2927,$A20)=0,0,SUMIF('Raw Data'!$A$3:$A$2927, $A20,'Raw Data'!Q$3:Q$2927) / COUNTIF('Raw Data'!$A$3:$A$2927,$A20))</f>
        <v>0</v>
      </c>
      <c r="U20">
        <f>IF( COUNTIF('Raw Data'!$A$3:$A$2927,$A20)=0,0,SUMIF('Raw Data'!$A$3:$A$2927, $A20,'Raw Data'!R$3:R$2927) / COUNTIF('Raw Data'!$A$3:$A$2927,$A20))</f>
        <v>0</v>
      </c>
      <c r="V20">
        <f>IF( COUNTIF('Raw Data'!$A$3:$A$2927,$A20)=0,0,SUMIF('Raw Data'!$A$3:$A$2927, $A20,'Raw Data'!S$3:S$2927) / COUNTIF('Raw Data'!$A$3:$A$2927,$A20))</f>
        <v>0</v>
      </c>
      <c r="W20">
        <f>MAX(IF('Raw Data'!$A$3:$A$927=$A20, 'Raw Data'!$Y$3:$Y$927))</f>
        <v>0</v>
      </c>
      <c r="X20">
        <f>IF( COUNTIF('Raw Data'!$A$3:$A$2927,$A20)=0,0,SUMIF('Raw Data'!$A$3:$A$2927, $A20,'Raw Data'!U$3:U$2927) / COUNTIF('Raw Data'!$A$3:$A$2927,$A20))</f>
        <v>0</v>
      </c>
      <c r="Y20">
        <f>IF( COUNTIF('Raw Data'!$A$3:$A$2927,$A20)=0,0,SUMIF('Raw Data'!$A$3:$A$2927, $A20,'Raw Data'!V$3:V$2927) / COUNTIF('Raw Data'!$A$3:$A$2927,$A20))</f>
        <v>0</v>
      </c>
      <c r="Z20">
        <f>IF( COUNTIF('Raw Data'!$A$3:$A$2927,$A20)=0,0,SUMIF('Raw Data'!$A$3:$A$2927, $A20,'Raw Data'!W$3:W$2927) / COUNTIF('Raw Data'!$A$3:$A$2927,$A20))</f>
        <v>0</v>
      </c>
      <c r="AA20">
        <f>IF( COUNTIF('Raw Data'!$A$3:$A$2927,$A20)=0,0,SUMIF('Raw Data'!$A$3:$A$2927, $A20,'Raw Data'!X$3:X$2927) / COUNTIF('Raw Data'!$A$3:$A$2927,$A20))</f>
        <v>0</v>
      </c>
      <c r="AB20">
        <f>IF( COUNTIF('Raw Data'!$A$3:$A$2927,$A20)=0,0,SUMIF('Raw Data'!$A$3:$A$2927, $A20,'Raw Data'!AA$3:AA$2927) / COUNTIF('Raw Data'!$A$3:$A$2927,$A20))</f>
        <v>0</v>
      </c>
      <c r="AC20">
        <f>IF( COUNTIF('Raw Data'!$A$3:$A$2927,$A20)=0,0,SUMIF('Raw Data'!$A$3:$A$2927, $A20,'Raw Data'!AB$3:AB$2927) / COUNTIF('Raw Data'!$A$3:$A$2927,$A20))</f>
        <v>0</v>
      </c>
      <c r="AD20">
        <f>IF( COUNTIF('Raw Data'!$A$3:$A$2927,$A20)=0,0,SUMIF('Raw Data'!$A$3:$A$2927, $A20,'Raw Data'!AC$3:AC$2927) / COUNTIF('Raw Data'!$A$3:$A$2927,$A20))</f>
        <v>0</v>
      </c>
      <c r="AE20" s="117">
        <f>IF( COUNTIF('Raw Data'!$A$3:$A$2927,$A20)=0,0,SUMIF('Raw Data'!$A$3:$A$2927, $A20,'Raw Data'!AD$3:AD$2927) / COUNTIF('Raw Data'!$A$3:$A$2927,$A20))</f>
        <v>0</v>
      </c>
      <c r="AF20">
        <f>IF( COUNTIF('Raw Data'!$A$3:$A$2927,$A20)=0,0,SUMIF('Raw Data'!$A$3:$A$2927, $A20,'Raw Data'!AE$3:AE$2927) / COUNTIF('Raw Data'!$A$3:$A$2927,$A20))</f>
        <v>0</v>
      </c>
      <c r="AG20">
        <f>IF( COUNTIF('Raw Data'!$A$3:$A$2927,$A20)=0,0,SUMIF('Raw Data'!$A$3:$A$2927, $A20,'Raw Data'!AF$3:AF$2927) / COUNTIF('Raw Data'!$A$3:$A$2927,$A20))</f>
        <v>0</v>
      </c>
      <c r="AH20">
        <f>IF( COUNTIF('Raw Data'!$A$3:$A$2927,$A20)=0,0,SUMIF('Raw Data'!$A$3:$A$2927, $A20,'Raw Data'!AG$3:AG$2927) / COUNTIF('Raw Data'!$A$3:$A$2927,$A20))</f>
        <v>0</v>
      </c>
      <c r="AI20">
        <f>IF( COUNTIF('Raw Data'!$A$3:$A$2927,$A20)=0,0,SUMIF('Raw Data'!$A$3:$A$2927, $A20,'Raw Data'!AH$3:AH$2927) / COUNTIF('Raw Data'!$A$3:$A$2927,$A20))</f>
        <v>0</v>
      </c>
      <c r="AJ20" s="116">
        <f>COUNTIF('Raw Data'!A$3:A$2927, $A20)</f>
        <v>0</v>
      </c>
      <c r="AK20">
        <f t="shared" si="2"/>
        <v>-21</v>
      </c>
      <c r="AL20">
        <f t="shared" si="3"/>
        <v>-1.5</v>
      </c>
      <c r="AM20">
        <f t="shared" si="4"/>
        <v>-1</v>
      </c>
      <c r="AP20" t="s">
        <v>279</v>
      </c>
      <c r="AQ20">
        <v>2.4500000000000002</v>
      </c>
      <c r="AS20" t="s">
        <v>272</v>
      </c>
      <c r="AT20">
        <v>-1.5</v>
      </c>
      <c r="AV20" t="s">
        <v>277</v>
      </c>
      <c r="AW20">
        <v>1</v>
      </c>
    </row>
    <row r="21" spans="1:51" ht="15.75" thickBot="1">
      <c r="A21">
        <v>4476</v>
      </c>
      <c r="B21" t="s">
        <v>207</v>
      </c>
      <c r="C21">
        <f t="shared" si="0"/>
        <v>18.36363636363636</v>
      </c>
      <c r="D21">
        <f t="shared" si="1"/>
        <v>13.18181818181818</v>
      </c>
      <c r="E21">
        <f>IF( COUNTIF('Raw Data'!$A$3:$A$2927,$A21)=0,0,SUMIF('Raw Data'!$A$3:$A$2927, $A21,'Raw Data'!D$3:D$2927) / COUNTIF('Raw Data'!$A$3:$A$2927,$A21))</f>
        <v>1.7272727272727273</v>
      </c>
      <c r="F21">
        <f>MAX(IF('Raw Data'!$A$3:$A$927=$A21, 'Raw Data'!$O$3:$O$927))</f>
        <v>0</v>
      </c>
      <c r="G21">
        <f>MAX(IF('Raw Data'!$A$3:$A$927=$A21, 'Raw Data'!$I$3:$I$927))</f>
        <v>0</v>
      </c>
      <c r="H21">
        <f>IF( COUNTIF('Raw Data'!$A$3:$A$2927,$A21)=0,0,SUMIF('Raw Data'!$A$3:$A$2927, $A21,'Raw Data'!E$3:E$2927) / COUNTIF('Raw Data'!$A$3:$A$2927,$A21))</f>
        <v>0.54545454545454541</v>
      </c>
      <c r="I21">
        <f>IF( COUNTIF('Raw Data'!$A$3:$A$2927,$A21)=0,0,SUMIF('Raw Data'!$A$3:$A$2927, $A21,'Raw Data'!F$3:F$2927) / COUNTIF('Raw Data'!$A$3:$A$2927,$A21))</f>
        <v>9.0909090909090912E-2</v>
      </c>
      <c r="J21">
        <f>IF( COUNTIF('Raw Data'!$A$3:$A$2927,$A21)=0,0,SUMIF('Raw Data'!$A$3:$A$2927, $A21,'Raw Data'!G$3:G$2927) / COUNTIF('Raw Data'!$A$3:$A$2927,$A21))</f>
        <v>0</v>
      </c>
      <c r="K21">
        <f>IF( COUNTIF('Raw Data'!$A$3:$A$2927,$A21)=0,0,SUMIF('Raw Data'!$A$3:$A$2927, $A21,'Raw Data'!H$3:H$2927) / COUNTIF('Raw Data'!$A$3:$A$2927,$A21))</f>
        <v>0</v>
      </c>
      <c r="L21">
        <f>MAX(IF('Raw Data'!$A$3:$A$927=$A21, 'Raw Data'!$N$3:$N$927))</f>
        <v>0</v>
      </c>
      <c r="M21">
        <f>IF( COUNTIF('Raw Data'!$A$3:$A$2927,$A21)=0,0,SUMIF('Raw Data'!$A$3:$A$2927, $A21,'Raw Data'!J$3:J$2927) / COUNTIF('Raw Data'!$A$3:$A$2927,$A21))</f>
        <v>9.0909090909090912E-2</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MAX(IF('Raw Data'!$A$3:$A$927=$A21, 'Raw Data'!$Z$3:$Z$927))</f>
        <v>0</v>
      </c>
      <c r="R21">
        <f>MAX(IF('Raw Data'!$A$3:$A$927=$A21, 'Raw Data'!$T$3:$T$927))</f>
        <v>0</v>
      </c>
      <c r="S21">
        <f>IF( COUNTIF('Raw Data'!$A$3:$A$2927,$A21)=0,0,SUMIF('Raw Data'!$A$3:$A$2927, $A21,'Raw Data'!P$3:P$2927) / COUNTIF('Raw Data'!$A$3:$A$2927,$A21))</f>
        <v>0.54545454545454541</v>
      </c>
      <c r="T21">
        <f>IF( COUNTIF('Raw Data'!$A$3:$A$2927,$A21)=0,0,SUMIF('Raw Data'!$A$3:$A$2927, $A21,'Raw Data'!Q$3:Q$2927) / COUNTIF('Raw Data'!$A$3:$A$2927,$A21))</f>
        <v>0.36363636363636365</v>
      </c>
      <c r="U21">
        <f>IF( COUNTIF('Raw Data'!$A$3:$A$2927,$A21)=0,0,SUMIF('Raw Data'!$A$3:$A$2927, $A21,'Raw Data'!R$3:R$2927) / COUNTIF('Raw Data'!$A$3:$A$2927,$A21))</f>
        <v>0</v>
      </c>
      <c r="V21">
        <f>IF( COUNTIF('Raw Data'!$A$3:$A$2927,$A21)=0,0,SUMIF('Raw Data'!$A$3:$A$2927, $A21,'Raw Data'!S$3:S$2927) / COUNTIF('Raw Data'!$A$3:$A$2927,$A21))</f>
        <v>0</v>
      </c>
      <c r="W21">
        <f>MAX(IF('Raw Data'!$A$3:$A$927=$A21, 'Raw Data'!$Y$3:$Y$927))</f>
        <v>0</v>
      </c>
      <c r="X21">
        <f>IF( COUNTIF('Raw Data'!$A$3:$A$2927,$A21)=0,0,SUMIF('Raw Data'!$A$3:$A$2927, $A21,'Raw Data'!U$3:U$2927) / COUNTIF('Raw Data'!$A$3:$A$2927,$A21))</f>
        <v>2.7272727272727271</v>
      </c>
      <c r="Y21">
        <f>IF( COUNTIF('Raw Data'!$A$3:$A$2927,$A21)=0,0,SUMIF('Raw Data'!$A$3:$A$2927, $A21,'Raw Data'!V$3:V$2927) / COUNTIF('Raw Data'!$A$3:$A$2927,$A21))</f>
        <v>0.54545454545454541</v>
      </c>
      <c r="Z21">
        <f>IF( COUNTIF('Raw Data'!$A$3:$A$2927,$A21)=0,0,SUMIF('Raw Data'!$A$3:$A$2927, $A21,'Raw Data'!W$3:W$2927) / COUNTIF('Raw Data'!$A$3:$A$2927,$A21))</f>
        <v>9.0909090909090912E-2</v>
      </c>
      <c r="AA21">
        <f>IF( COUNTIF('Raw Data'!$A$3:$A$2927,$A21)=0,0,SUMIF('Raw Data'!$A$3:$A$2927, $A21,'Raw Data'!X$3:X$2927) / COUNTIF('Raw Data'!$A$3:$A$2927,$A21))</f>
        <v>0</v>
      </c>
      <c r="AB21">
        <f>IF( COUNTIF('Raw Data'!$A$3:$A$2927,$A21)=0,0,SUMIF('Raw Data'!$A$3:$A$2927, $A21,'Raw Data'!AA$3:AA$2927) / COUNTIF('Raw Data'!$A$3:$A$2927,$A21))</f>
        <v>2.2727272727272729</v>
      </c>
      <c r="AC21">
        <f>IF( COUNTIF('Raw Data'!$A$3:$A$2927,$A21)=0,0,SUMIF('Raw Data'!$A$3:$A$2927, $A21,'Raw Data'!AB$3:AB$2927) / COUNTIF('Raw Data'!$A$3:$A$2927,$A21))</f>
        <v>0</v>
      </c>
      <c r="AD21">
        <f>IF( COUNTIF('Raw Data'!$A$3:$A$2927,$A21)=0,0,SUMIF('Raw Data'!$A$3:$A$2927, $A21,'Raw Data'!AC$3:AC$2927) / COUNTIF('Raw Data'!$A$3:$A$2927,$A21))</f>
        <v>0.54545454545454541</v>
      </c>
      <c r="AE21" s="117">
        <f>IF( COUNTIF('Raw Data'!$A$3:$A$2927,$A21)=0,0,SUMIF('Raw Data'!$A$3:$A$2927, $A21,'Raw Data'!AD$3:AD$2927) / COUNTIF('Raw Data'!$A$3:$A$2927,$A21))</f>
        <v>0</v>
      </c>
      <c r="AF21">
        <f>IF( COUNTIF('Raw Data'!$A$3:$A$2927,$A21)=0,0,SUMIF('Raw Data'!$A$3:$A$2927, $A21,'Raw Data'!AE$3:AE$2927) / COUNTIF('Raw Data'!$A$3:$A$2927,$A21))</f>
        <v>0</v>
      </c>
      <c r="AG21">
        <f>IF( COUNTIF('Raw Data'!$A$3:$A$2927,$A21)=0,0,SUMIF('Raw Data'!$A$3:$A$2927, $A21,'Raw Data'!AF$3:AF$2927) / COUNTIF('Raw Data'!$A$3:$A$2927,$A21))</f>
        <v>9.0909090909090912E-2</v>
      </c>
      <c r="AH21">
        <f>IF( COUNTIF('Raw Data'!$A$3:$A$2927,$A21)=0,0,SUMIF('Raw Data'!$A$3:$A$2927, $A21,'Raw Data'!AG$3:AG$2927) / COUNTIF('Raw Data'!$A$3:$A$2927,$A21))</f>
        <v>1.9090909090909092</v>
      </c>
      <c r="AI21">
        <f>IF( COUNTIF('Raw Data'!$A$3:$A$2927,$A21)=0,0,SUMIF('Raw Data'!$A$3:$A$2927, $A21,'Raw Data'!AH$3:AH$2927) / COUNTIF('Raw Data'!$A$3:$A$2927,$A21))</f>
        <v>9.0909090909090912E-2</v>
      </c>
      <c r="AJ21" s="116">
        <f>COUNTIF('Raw Data'!A$3:A$2927, $A21)</f>
        <v>11</v>
      </c>
      <c r="AK21">
        <f t="shared" si="2"/>
        <v>3.7345454545454548</v>
      </c>
      <c r="AL21">
        <f t="shared" si="3"/>
        <v>0.5454545454545453</v>
      </c>
      <c r="AM21">
        <f t="shared" si="4"/>
        <v>2.8927272727272726</v>
      </c>
      <c r="AP21" t="s">
        <v>257</v>
      </c>
      <c r="AQ21">
        <v>2</v>
      </c>
      <c r="AS21" t="s">
        <v>267</v>
      </c>
      <c r="AT21">
        <v>1</v>
      </c>
    </row>
    <row r="22" spans="1:51" ht="15.75" thickBot="1">
      <c r="A22">
        <v>4519</v>
      </c>
      <c r="B22" t="s">
        <v>208</v>
      </c>
      <c r="C22">
        <f t="shared" si="0"/>
        <v>12.444444444444446</v>
      </c>
      <c r="D22">
        <f t="shared" si="1"/>
        <v>5.5555555555555554</v>
      </c>
      <c r="E22">
        <f>IF( COUNTIF('Raw Data'!$A$3:$A$2927,$A22)=0,0,SUMIF('Raw Data'!$A$3:$A$2927, $A22,'Raw Data'!D$3:D$2927) / COUNTIF('Raw Data'!$A$3:$A$2927,$A22))</f>
        <v>1.6666666666666667</v>
      </c>
      <c r="F22">
        <f>MAX(IF('Raw Data'!$A$3:$A$927=$A22, 'Raw Data'!$O$3:$O$927))</f>
        <v>0</v>
      </c>
      <c r="G22">
        <f>MAX(IF('Raw Data'!$A$3:$A$927=$A22, 'Raw Data'!$I$3:$I$927))</f>
        <v>0</v>
      </c>
      <c r="H22">
        <f>IF( COUNTIF('Raw Data'!$A$3:$A$2927,$A22)=0,0,SUMIF('Raw Data'!$A$3:$A$2927, $A22,'Raw Data'!E$3:E$2927) / COUNTIF('Raw Data'!$A$3:$A$2927,$A22))</f>
        <v>0.22222222222222221</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MAX(IF('Raw Data'!$A$3:$A$927=$A22, 'Raw Data'!$N$3:$N$927))</f>
        <v>0</v>
      </c>
      <c r="M22">
        <f>IF( COUNTIF('Raw Data'!$A$3:$A$2927,$A22)=0,0,SUMIF('Raw Data'!$A$3:$A$2927, $A22,'Raw Data'!J$3:J$2927) / COUNTIF('Raw Data'!$A$3:$A$2927,$A22))</f>
        <v>0.1111111111111111</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MAX(IF('Raw Data'!$A$3:$A$927=$A22, 'Raw Data'!$Z$3:$Z$927))</f>
        <v>0</v>
      </c>
      <c r="R22">
        <f>MAX(IF('Raw Data'!$A$3:$A$927=$A22, 'Raw Data'!$T$3:$T$927))</f>
        <v>0</v>
      </c>
      <c r="S22">
        <f>IF( COUNTIF('Raw Data'!$A$3:$A$2927,$A22)=0,0,SUMIF('Raw Data'!$A$3:$A$2927, $A22,'Raw Data'!P$3:P$2927) / COUNTIF('Raw Data'!$A$3:$A$2927,$A22))</f>
        <v>0.33333333333333331</v>
      </c>
      <c r="T22">
        <f>IF( COUNTIF('Raw Data'!$A$3:$A$2927,$A22)=0,0,SUMIF('Raw Data'!$A$3:$A$2927, $A22,'Raw Data'!Q$3:Q$2927) / COUNTIF('Raw Data'!$A$3:$A$2927,$A22))</f>
        <v>0.22222222222222221</v>
      </c>
      <c r="U22">
        <f>IF( COUNTIF('Raw Data'!$A$3:$A$2927,$A22)=0,0,SUMIF('Raw Data'!$A$3:$A$2927, $A22,'Raw Data'!R$3:R$2927) / COUNTIF('Raw Data'!$A$3:$A$2927,$A22))</f>
        <v>0</v>
      </c>
      <c r="V22">
        <f>IF( COUNTIF('Raw Data'!$A$3:$A$2927,$A22)=0,0,SUMIF('Raw Data'!$A$3:$A$2927, $A22,'Raw Data'!S$3:S$2927) / COUNTIF('Raw Data'!$A$3:$A$2927,$A22))</f>
        <v>0</v>
      </c>
      <c r="W22">
        <f>MAX(IF('Raw Data'!$A$3:$A$927=$A22, 'Raw Data'!$Y$3:$Y$927))</f>
        <v>0</v>
      </c>
      <c r="X22">
        <f>IF( COUNTIF('Raw Data'!$A$3:$A$2927,$A22)=0,0,SUMIF('Raw Data'!$A$3:$A$2927, $A22,'Raw Data'!U$3:U$2927) / COUNTIF('Raw Data'!$A$3:$A$2927,$A22))</f>
        <v>1.1111111111111112</v>
      </c>
      <c r="Y22">
        <f>IF( COUNTIF('Raw Data'!$A$3:$A$2927,$A22)=0,0,SUMIF('Raw Data'!$A$3:$A$2927, $A22,'Raw Data'!V$3:V$2927) / COUNTIF('Raw Data'!$A$3:$A$2927,$A22))</f>
        <v>0.1111111111111111</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25.333333333333332</v>
      </c>
      <c r="AC22">
        <f>IF( COUNTIF('Raw Data'!$A$3:$A$2927,$A22)=0,0,SUMIF('Raw Data'!$A$3:$A$2927, $A22,'Raw Data'!AB$3:AB$2927) / COUNTIF('Raw Data'!$A$3:$A$2927,$A22))</f>
        <v>0</v>
      </c>
      <c r="AD22">
        <f>IF( COUNTIF('Raw Data'!$A$3:$A$2927,$A22)=0,0,SUMIF('Raw Data'!$A$3:$A$2927, $A22,'Raw Data'!AC$3:AC$2927) / COUNTIF('Raw Data'!$A$3:$A$2927,$A22))</f>
        <v>1.2222222222222223</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1.7777777777777777</v>
      </c>
      <c r="AI22">
        <f>IF( COUNTIF('Raw Data'!$A$3:$A$2927,$A22)=0,0,SUMIF('Raw Data'!$A$3:$A$2927, $A22,'Raw Data'!AH$3:AH$2927) / COUNTIF('Raw Data'!$A$3:$A$2927,$A22))</f>
        <v>0.1111111111111111</v>
      </c>
      <c r="AJ22" s="116">
        <f>COUNTIF('Raw Data'!A$3:A$2927, $A22)</f>
        <v>9</v>
      </c>
      <c r="AK22">
        <f t="shared" si="2"/>
        <v>1.5466666666666669</v>
      </c>
      <c r="AL22">
        <f t="shared" si="3"/>
        <v>-0.44444444444444442</v>
      </c>
      <c r="AM22">
        <f t="shared" si="4"/>
        <v>0.77444444444444449</v>
      </c>
      <c r="AP22" t="s">
        <v>280</v>
      </c>
      <c r="AQ22">
        <v>1</v>
      </c>
      <c r="AS22" t="s">
        <v>268</v>
      </c>
      <c r="AT22">
        <v>2</v>
      </c>
    </row>
    <row r="23" spans="1:51" ht="15.75" thickBot="1">
      <c r="A23">
        <v>4525</v>
      </c>
      <c r="B23" t="s">
        <v>209</v>
      </c>
      <c r="C23">
        <f t="shared" si="0"/>
        <v>7</v>
      </c>
      <c r="D23">
        <f t="shared" si="1"/>
        <v>3.625</v>
      </c>
      <c r="E23">
        <f>IF( COUNTIF('Raw Data'!$A$3:$A$2927,$A23)=0,0,SUMIF('Raw Data'!$A$3:$A$2927, $A23,'Raw Data'!D$3:D$2927) / COUNTIF('Raw Data'!$A$3:$A$2927,$A23))</f>
        <v>1</v>
      </c>
      <c r="F23">
        <f>MAX(IF('Raw Data'!$A$3:$A$927=$A23, 'Raw Data'!$O$3:$O$927))</f>
        <v>0</v>
      </c>
      <c r="G23">
        <f>MAX(IF('Raw Data'!$A$3:$A$927=$A23, 'Raw Data'!$I$3:$I$927))</f>
        <v>0</v>
      </c>
      <c r="H23">
        <f>IF( COUNTIF('Raw Data'!$A$3:$A$2927,$A23)=0,0,SUMIF('Raw Data'!$A$3:$A$2927, $A23,'Raw Data'!E$3:E$2927) / COUNTIF('Raw Data'!$A$3:$A$2927,$A23))</f>
        <v>0</v>
      </c>
      <c r="I23">
        <f>IF( COUNTIF('Raw Data'!$A$3:$A$2927,$A23)=0,0,SUMIF('Raw Data'!$A$3:$A$2927, $A23,'Raw Data'!F$3:F$2927) / COUNTIF('Raw Data'!$A$3:$A$2927,$A23))</f>
        <v>0</v>
      </c>
      <c r="J23">
        <f>IF( COUNTIF('Raw Data'!$A$3:$A$2927,$A23)=0,0,SUMIF('Raw Data'!$A$3:$A$2927, $A23,'Raw Data'!G$3:G$2927) / COUNTIF('Raw Data'!$A$3:$A$2927,$A23))</f>
        <v>0</v>
      </c>
      <c r="K23">
        <f>IF( COUNTIF('Raw Data'!$A$3:$A$2927,$A23)=0,0,SUMIF('Raw Data'!$A$3:$A$2927, $A23,'Raw Data'!H$3:H$2927) / COUNTIF('Raw Data'!$A$3:$A$2927,$A23))</f>
        <v>0</v>
      </c>
      <c r="L23">
        <f>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MAX(IF('Raw Data'!$A$3:$A$927=$A23, 'Raw Data'!$Z$3:$Z$927))</f>
        <v>0</v>
      </c>
      <c r="R23">
        <f>MAX(IF('Raw Data'!$A$3:$A$927=$A23, 'Raw Data'!$T$3:$T$927))</f>
        <v>0</v>
      </c>
      <c r="S23">
        <f>IF( COUNTIF('Raw Data'!$A$3:$A$2927,$A23)=0,0,SUMIF('Raw Data'!$A$3:$A$2927, $A23,'Raw Data'!P$3:P$2927) / COUNTIF('Raw Data'!$A$3:$A$2927,$A23))</f>
        <v>0.75</v>
      </c>
      <c r="T23">
        <f>IF( COUNTIF('Raw Data'!$A$3:$A$2927,$A23)=0,0,SUMIF('Raw Data'!$A$3:$A$2927, $A23,'Raw Data'!Q$3:Q$2927) / COUNTIF('Raw Data'!$A$3:$A$2927,$A23))</f>
        <v>0.875</v>
      </c>
      <c r="U23">
        <f>IF( COUNTIF('Raw Data'!$A$3:$A$2927,$A23)=0,0,SUMIF('Raw Data'!$A$3:$A$2927, $A23,'Raw Data'!R$3:R$2927) / COUNTIF('Raw Data'!$A$3:$A$2927,$A23))</f>
        <v>0</v>
      </c>
      <c r="V23">
        <f>IF( COUNTIF('Raw Data'!$A$3:$A$2927,$A23)=0,0,SUMIF('Raw Data'!$A$3:$A$2927, $A23,'Raw Data'!S$3:S$2927) / COUNTIF('Raw Data'!$A$3:$A$2927,$A23))</f>
        <v>0</v>
      </c>
      <c r="W23">
        <f>MAX(IF('Raw Data'!$A$3:$A$927=$A23, 'Raw Data'!$Y$3:$Y$927))</f>
        <v>0</v>
      </c>
      <c r="X23">
        <f>IF( COUNTIF('Raw Data'!$A$3:$A$2927,$A23)=0,0,SUMIF('Raw Data'!$A$3:$A$2927, $A23,'Raw Data'!U$3:U$2927) / COUNTIF('Raw Data'!$A$3:$A$2927,$A23))</f>
        <v>0.125</v>
      </c>
      <c r="Y23">
        <f>IF( COUNTIF('Raw Data'!$A$3:$A$2927,$A23)=0,0,SUMIF('Raw Data'!$A$3:$A$2927, $A23,'Raw Data'!V$3:V$2927) / COUNTIF('Raw Data'!$A$3:$A$2927,$A23))</f>
        <v>0</v>
      </c>
      <c r="Z23">
        <f>IF( COUNTIF('Raw Data'!$A$3:$A$2927,$A23)=0,0,SUMIF('Raw Data'!$A$3:$A$2927, $A23,'Raw Data'!W$3:W$2927) / COUNTIF('Raw Data'!$A$3:$A$2927,$A23))</f>
        <v>0</v>
      </c>
      <c r="AA23">
        <f>IF( COUNTIF('Raw Data'!$A$3:$A$2927,$A23)=0,0,SUMIF('Raw Data'!$A$3:$A$2927, $A23,'Raw Data'!X$3:X$2927) / COUNTIF('Raw Data'!$A$3:$A$2927,$A23))</f>
        <v>0</v>
      </c>
      <c r="AB23">
        <f>IF( COUNTIF('Raw Data'!$A$3:$A$2927,$A23)=0,0,SUMIF('Raw Data'!$A$3:$A$2927, $A23,'Raw Data'!AA$3:AA$2927) / COUNTIF('Raw Data'!$A$3:$A$2927,$A23))</f>
        <v>6.875</v>
      </c>
      <c r="AC23">
        <f>IF( COUNTIF('Raw Data'!$A$3:$A$2927,$A23)=0,0,SUMIF('Raw Data'!$A$3:$A$2927, $A23,'Raw Data'!AB$3:AB$2927) / COUNTIF('Raw Data'!$A$3:$A$2927,$A23))</f>
        <v>0</v>
      </c>
      <c r="AD23">
        <f>IF( COUNTIF('Raw Data'!$A$3:$A$2927,$A23)=0,0,SUMIF('Raw Data'!$A$3:$A$2927, $A23,'Raw Data'!AC$3:AC$2927) / COUNTIF('Raw Data'!$A$3:$A$2927,$A23))</f>
        <v>0.75</v>
      </c>
      <c r="AE23" s="117">
        <f>IF( COUNTIF('Raw Data'!$A$3:$A$2927,$A23)=0,0,SUMIF('Raw Data'!$A$3:$A$2927, $A23,'Raw Data'!AD$3:AD$2927) / COUNTIF('Raw Data'!$A$3:$A$2927,$A23))</f>
        <v>0</v>
      </c>
      <c r="AF23">
        <f>IF( COUNTIF('Raw Data'!$A$3:$A$2927,$A23)=0,0,SUMIF('Raw Data'!$A$3:$A$2927, $A23,'Raw Data'!AE$3:AE$2927) / COUNTIF('Raw Data'!$A$3:$A$2927,$A23))</f>
        <v>0</v>
      </c>
      <c r="AG23">
        <f>IF( COUNTIF('Raw Data'!$A$3:$A$2927,$A23)=0,0,SUMIF('Raw Data'!$A$3:$A$2927, $A23,'Raw Data'!AF$3:AF$2927) / COUNTIF('Raw Data'!$A$3:$A$2927,$A23))</f>
        <v>0</v>
      </c>
      <c r="AH23">
        <f>IF( COUNTIF('Raw Data'!$A$3:$A$2927,$A23)=0,0,SUMIF('Raw Data'!$A$3:$A$2927, $A23,'Raw Data'!AG$3:AG$2927) / COUNTIF('Raw Data'!$A$3:$A$2927,$A23))</f>
        <v>1.875</v>
      </c>
      <c r="AI23">
        <f>IF( COUNTIF('Raw Data'!$A$3:$A$2927,$A23)=0,0,SUMIF('Raw Data'!$A$3:$A$2927, $A23,'Raw Data'!AH$3:AH$2927) / COUNTIF('Raw Data'!$A$3:$A$2927,$A23))</f>
        <v>1</v>
      </c>
      <c r="AJ23" s="116">
        <f>COUNTIF('Raw Data'!A$3:A$2927, $A23)</f>
        <v>8</v>
      </c>
      <c r="AK23">
        <f t="shared" si="2"/>
        <v>-1.23</v>
      </c>
      <c r="AL23">
        <f t="shared" si="3"/>
        <v>-3.3125</v>
      </c>
      <c r="AM23">
        <f t="shared" si="4"/>
        <v>-0.49375000000000002</v>
      </c>
      <c r="AP23" t="s">
        <v>258</v>
      </c>
      <c r="AQ23">
        <v>-0.5</v>
      </c>
      <c r="AS23" t="s">
        <v>269</v>
      </c>
      <c r="AT23">
        <v>0.5</v>
      </c>
    </row>
    <row r="24" spans="1:51" ht="15.75" thickBot="1">
      <c r="A24">
        <v>4704</v>
      </c>
      <c r="B24" t="s">
        <v>210</v>
      </c>
      <c r="C24">
        <f t="shared" si="0"/>
        <v>8.5</v>
      </c>
      <c r="D24">
        <f t="shared" si="1"/>
        <v>3.8</v>
      </c>
      <c r="E24">
        <f>IF( COUNTIF('Raw Data'!$A$3:$A$2927,$A24)=0,0,SUMIF('Raw Data'!$A$3:$A$2927, $A24,'Raw Data'!D$3:D$2927) / COUNTIF('Raw Data'!$A$3:$A$2927,$A24))</f>
        <v>0.9</v>
      </c>
      <c r="F24">
        <f>MAX(IF('Raw Data'!$A$3:$A$927=$A24, 'Raw Data'!$O$3:$O$927))</f>
        <v>0</v>
      </c>
      <c r="G24">
        <f>MAX(IF('Raw Data'!$A$3:$A$927=$A24, 'Raw Data'!$I$3:$I$927))</f>
        <v>0</v>
      </c>
      <c r="H24">
        <f>IF( COUNTIF('Raw Data'!$A$3:$A$2927,$A24)=0,0,SUMIF('Raw Data'!$A$3:$A$2927, $A24,'Raw Data'!E$3:E$2927) / COUNTIF('Raw Data'!$A$3:$A$2927,$A24))</f>
        <v>0.2</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MAX(IF('Raw Data'!$A$3:$A$927=$A24, 'Raw Data'!$Z$3:$Z$927))</f>
        <v>0</v>
      </c>
      <c r="R24">
        <f>MAX(IF('Raw Data'!$A$3:$A$927=$A24, 'Raw Data'!$T$3:$T$927))</f>
        <v>0</v>
      </c>
      <c r="S24">
        <f>IF( COUNTIF('Raw Data'!$A$3:$A$2927,$A24)=0,0,SUMIF('Raw Data'!$A$3:$A$2927, $A24,'Raw Data'!P$3:P$2927) / COUNTIF('Raw Data'!$A$3:$A$2927,$A24))</f>
        <v>0.4</v>
      </c>
      <c r="T24">
        <f>IF( COUNTIF('Raw Data'!$A$3:$A$2927,$A24)=0,0,SUMIF('Raw Data'!$A$3:$A$2927, $A24,'Raw Data'!Q$3:Q$2927) / COUNTIF('Raw Data'!$A$3:$A$2927,$A24))</f>
        <v>0.4</v>
      </c>
      <c r="U24">
        <f>IF( COUNTIF('Raw Data'!$A$3:$A$2927,$A24)=0,0,SUMIF('Raw Data'!$A$3:$A$2927, $A24,'Raw Data'!R$3:R$2927) / COUNTIF('Raw Data'!$A$3:$A$2927,$A24))</f>
        <v>0</v>
      </c>
      <c r="V24">
        <f>IF( COUNTIF('Raw Data'!$A$3:$A$2927,$A24)=0,0,SUMIF('Raw Data'!$A$3:$A$2927, $A24,'Raw Data'!S$3:S$2927) / COUNTIF('Raw Data'!$A$3:$A$2927,$A24))</f>
        <v>0</v>
      </c>
      <c r="W24">
        <f>MAX(IF('Raw Data'!$A$3:$A$927=$A24, 'Raw Data'!$Y$3:$Y$927))</f>
        <v>0</v>
      </c>
      <c r="X24">
        <f>IF( COUNTIF('Raw Data'!$A$3:$A$2927,$A24)=0,0,SUMIF('Raw Data'!$A$3:$A$2927, $A24,'Raw Data'!U$3:U$2927) / COUNTIF('Raw Data'!$A$3:$A$2927,$A24))</f>
        <v>0.6</v>
      </c>
      <c r="Y24">
        <f>IF( COUNTIF('Raw Data'!$A$3:$A$2927,$A24)=0,0,SUMIF('Raw Data'!$A$3:$A$2927, $A24,'Raw Data'!V$3:V$2927) / COUNTIF('Raw Data'!$A$3:$A$2927,$A24))</f>
        <v>0</v>
      </c>
      <c r="Z24">
        <f>IF( COUNTIF('Raw Data'!$A$3:$A$2927,$A24)=0,0,SUMIF('Raw Data'!$A$3:$A$2927, $A24,'Raw Data'!W$3:W$2927) / COUNTIF('Raw Data'!$A$3:$A$2927,$A24))</f>
        <v>0</v>
      </c>
      <c r="AA24">
        <f>IF( COUNTIF('Raw Data'!$A$3:$A$2927,$A24)=0,0,SUMIF('Raw Data'!$A$3:$A$2927, $A24,'Raw Data'!X$3:X$2927) / COUNTIF('Raw Data'!$A$3:$A$2927,$A24))</f>
        <v>0.1</v>
      </c>
      <c r="AB24">
        <f>IF( COUNTIF('Raw Data'!$A$3:$A$2927,$A24)=0,0,SUMIF('Raw Data'!$A$3:$A$2927, $A24,'Raw Data'!AA$3:AA$2927) / COUNTIF('Raw Data'!$A$3:$A$2927,$A24))</f>
        <v>0</v>
      </c>
      <c r="AC24">
        <f>IF( COUNTIF('Raw Data'!$A$3:$A$2927,$A24)=0,0,SUMIF('Raw Data'!$A$3:$A$2927, $A24,'Raw Data'!AB$3:AB$2927) / COUNTIF('Raw Data'!$A$3:$A$2927,$A24))</f>
        <v>0</v>
      </c>
      <c r="AD24">
        <f>IF( COUNTIF('Raw Data'!$A$3:$A$2927,$A24)=0,0,SUMIF('Raw Data'!$A$3:$A$2927, $A24,'Raw Data'!AC$3:AC$2927) / COUNTIF('Raw Data'!$A$3:$A$2927,$A24))</f>
        <v>0.9</v>
      </c>
      <c r="AE24" s="117">
        <f>IF( COUNTIF('Raw Data'!$A$3:$A$2927,$A24)=0,0,SUMIF('Raw Data'!$A$3:$A$2927, $A24,'Raw Data'!AD$3:AD$2927) / COUNTIF('Raw Data'!$A$3:$A$2927,$A24))</f>
        <v>0</v>
      </c>
      <c r="AF24">
        <f>IF( COUNTIF('Raw Data'!$A$3:$A$2927,$A24)=0,0,SUMIF('Raw Data'!$A$3:$A$2927, $A24,'Raw Data'!AE$3:AE$2927) / COUNTIF('Raw Data'!$A$3:$A$2927,$A24))</f>
        <v>0</v>
      </c>
      <c r="AG24">
        <f>IF( COUNTIF('Raw Data'!$A$3:$A$2927,$A24)=0,0,SUMIF('Raw Data'!$A$3:$A$2927, $A24,'Raw Data'!AF$3:AF$2927) / COUNTIF('Raw Data'!$A$3:$A$2927,$A24))</f>
        <v>0</v>
      </c>
      <c r="AH24">
        <f>IF( COUNTIF('Raw Data'!$A$3:$A$2927,$A24)=0,0,SUMIF('Raw Data'!$A$3:$A$2927, $A24,'Raw Data'!AG$3:AG$2927) / COUNTIF('Raw Data'!$A$3:$A$2927,$A24))</f>
        <v>1</v>
      </c>
      <c r="AI24">
        <f>IF( COUNTIF('Raw Data'!$A$3:$A$2927,$A24)=0,0,SUMIF('Raw Data'!$A$3:$A$2927, $A24,'Raw Data'!AH$3:AH$2927) / COUNTIF('Raw Data'!$A$3:$A$2927,$A24))</f>
        <v>0.9</v>
      </c>
      <c r="AJ24" s="116">
        <f>COUNTIF('Raw Data'!A$3:A$2927, $A24)</f>
        <v>10</v>
      </c>
      <c r="AK24">
        <f t="shared" si="2"/>
        <v>-1.788</v>
      </c>
      <c r="AL24">
        <f t="shared" si="3"/>
        <v>-4.5</v>
      </c>
      <c r="AM24">
        <f t="shared" si="4"/>
        <v>-0.58000000000000007</v>
      </c>
      <c r="AP24" t="s">
        <v>264</v>
      </c>
      <c r="AQ24">
        <v>-2</v>
      </c>
    </row>
    <row r="25" spans="1:51" ht="15.75" thickBot="1">
      <c r="A25">
        <v>4783</v>
      </c>
      <c r="B25" t="s">
        <v>211</v>
      </c>
      <c r="C25">
        <f t="shared" si="0"/>
        <v>8.4444444444444446</v>
      </c>
      <c r="D25">
        <f t="shared" si="1"/>
        <v>2.4444444444444446</v>
      </c>
      <c r="E25">
        <f>IF( COUNTIF('Raw Data'!$A$3:$A$2927,$A25)=0,0,SUMIF('Raw Data'!$A$3:$A$2927, $A25,'Raw Data'!D$3:D$2927) / COUNTIF('Raw Data'!$A$3:$A$2927,$A25))</f>
        <v>1.4444444444444444</v>
      </c>
      <c r="F25">
        <f>MAX(IF('Raw Data'!$A$3:$A$927=$A25, 'Raw Data'!$O$3:$O$927))</f>
        <v>0</v>
      </c>
      <c r="G25">
        <f>MAX(IF('Raw Data'!$A$3:$A$927=$A25, 'Raw Data'!$I$3:$I$927))</f>
        <v>0</v>
      </c>
      <c r="H25">
        <f>IF( COUNTIF('Raw Data'!$A$3:$A$2927,$A25)=0,0,SUMIF('Raw Data'!$A$3:$A$2927, $A25,'Raw Data'!E$3:E$2927) / COUNTIF('Raw Data'!$A$3:$A$2927,$A25))</f>
        <v>0.22222222222222221</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MAX(IF('Raw Data'!$A$3:$A$927=$A25, 'Raw Data'!$Z$3:$Z$927))</f>
        <v>0</v>
      </c>
      <c r="R25">
        <f>MAX(IF('Raw Data'!$A$3:$A$927=$A25, 'Raw Data'!$T$3:$T$927))</f>
        <v>0</v>
      </c>
      <c r="S25">
        <f>IF( COUNTIF('Raw Data'!$A$3:$A$2927,$A25)=0,0,SUMIF('Raw Data'!$A$3:$A$2927, $A25,'Raw Data'!P$3:P$2927) / COUNTIF('Raw Data'!$A$3:$A$2927,$A25))</f>
        <v>0.77777777777777779</v>
      </c>
      <c r="T25">
        <f>IF( COUNTIF('Raw Data'!$A$3:$A$2927,$A25)=0,0,SUMIF('Raw Data'!$A$3:$A$2927, $A25,'Raw Data'!Q$3:Q$2927) / COUNTIF('Raw Data'!$A$3:$A$2927,$A25))</f>
        <v>0.22222222222222221</v>
      </c>
      <c r="U25">
        <f>IF( COUNTIF('Raw Data'!$A$3:$A$2927,$A25)=0,0,SUMIF('Raw Data'!$A$3:$A$2927, $A25,'Raw Data'!R$3:R$2927) / COUNTIF('Raw Data'!$A$3:$A$2927,$A25))</f>
        <v>0</v>
      </c>
      <c r="V25">
        <f>IF( COUNTIF('Raw Data'!$A$3:$A$2927,$A25)=0,0,SUMIF('Raw Data'!$A$3:$A$2927, $A25,'Raw Data'!S$3:S$2927) / COUNTIF('Raw Data'!$A$3:$A$2927,$A25))</f>
        <v>0</v>
      </c>
      <c r="W25">
        <f>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48</v>
      </c>
      <c r="AC25">
        <f>IF( COUNTIF('Raw Data'!$A$3:$A$2927,$A25)=0,0,SUMIF('Raw Data'!$A$3:$A$2927, $A25,'Raw Data'!AB$3:AB$2927) / COUNTIF('Raw Data'!$A$3:$A$2927,$A25))</f>
        <v>0</v>
      </c>
      <c r="AD25">
        <f>IF( COUNTIF('Raw Data'!$A$3:$A$2927,$A25)=0,0,SUMIF('Raw Data'!$A$3:$A$2927, $A25,'Raw Data'!AC$3:AC$2927) / COUNTIF('Raw Data'!$A$3:$A$2927,$A25))</f>
        <v>0.88888888888888884</v>
      </c>
      <c r="AE25" s="117">
        <f>IF( COUNTIF('Raw Data'!$A$3:$A$2927,$A25)=0,0,SUMIF('Raw Data'!$A$3:$A$2927, $A25,'Raw Data'!AD$3:AD$2927) / COUNTIF('Raw Data'!$A$3:$A$2927,$A25))</f>
        <v>0</v>
      </c>
      <c r="AF25">
        <f>IF( COUNTIF('Raw Data'!$A$3:$A$2927,$A25)=0,0,SUMIF('Raw Data'!$A$3:$A$2927, $A25,'Raw Data'!AE$3:AE$2927) / COUNTIF('Raw Data'!$A$3:$A$2927,$A25))</f>
        <v>0.1111111111111111</v>
      </c>
      <c r="AG25">
        <f>IF( COUNTIF('Raw Data'!$A$3:$A$2927,$A25)=0,0,SUMIF('Raw Data'!$A$3:$A$2927, $A25,'Raw Data'!AF$3:AF$2927) / COUNTIF('Raw Data'!$A$3:$A$2927,$A25))</f>
        <v>0</v>
      </c>
      <c r="AH25">
        <f>IF( COUNTIF('Raw Data'!$A$3:$A$2927,$A25)=0,0,SUMIF('Raw Data'!$A$3:$A$2927, $A25,'Raw Data'!AG$3:AG$2927) / COUNTIF('Raw Data'!$A$3:$A$2927,$A25))</f>
        <v>1</v>
      </c>
      <c r="AI25">
        <f>IF( COUNTIF('Raw Data'!$A$3:$A$2927,$A25)=0,0,SUMIF('Raw Data'!$A$3:$A$2927, $A25,'Raw Data'!AH$3:AH$2927) / COUNTIF('Raw Data'!$A$3:$A$2927,$A25))</f>
        <v>0.55555555555555558</v>
      </c>
      <c r="AJ25" s="116">
        <f>COUNTIF('Raw Data'!A$3:A$2927, $A25)</f>
        <v>9</v>
      </c>
      <c r="AK25">
        <f t="shared" si="2"/>
        <v>-0.61111111111111105</v>
      </c>
      <c r="AL25">
        <f t="shared" si="3"/>
        <v>-1.6111111111111112</v>
      </c>
      <c r="AM25">
        <f t="shared" si="4"/>
        <v>-0.55222222222222217</v>
      </c>
      <c r="AP25" t="s">
        <v>283</v>
      </c>
      <c r="AQ25">
        <v>-2</v>
      </c>
    </row>
    <row r="26" spans="1:51" ht="15.75" thickBot="1">
      <c r="A26">
        <v>4907</v>
      </c>
      <c r="B26" t="s">
        <v>212</v>
      </c>
      <c r="C26">
        <f t="shared" si="0"/>
        <v>15</v>
      </c>
      <c r="D26">
        <f t="shared" si="1"/>
        <v>1.5999999999999999</v>
      </c>
      <c r="E26">
        <f>IF( COUNTIF('Raw Data'!$A$3:$A$2927,$A26)=0,0,SUMIF('Raw Data'!$A$3:$A$2927, $A26,'Raw Data'!D$3:D$2927) / COUNTIF('Raw Data'!$A$3:$A$2927,$A26))</f>
        <v>1.1000000000000001</v>
      </c>
      <c r="F26">
        <f>MAX(IF('Raw Data'!$A$3:$A$927=$A26, 'Raw Data'!$O$3:$O$927))</f>
        <v>0</v>
      </c>
      <c r="G26">
        <f>MAX(IF('Raw Data'!$A$3:$A$927=$A26, 'Raw Data'!$I$3:$I$927))</f>
        <v>0</v>
      </c>
      <c r="H26">
        <f>IF( COUNTIF('Raw Data'!$A$3:$A$2927,$A26)=0,0,SUMIF('Raw Data'!$A$3:$A$2927, $A26,'Raw Data'!E$3:E$2927) / COUNTIF('Raw Data'!$A$3:$A$2927,$A26))</f>
        <v>0.1</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0.1</v>
      </c>
      <c r="L26">
        <f>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MAX(IF('Raw Data'!$A$3:$A$927=$A26, 'Raw Data'!$Z$3:$Z$927))</f>
        <v>0</v>
      </c>
      <c r="R26">
        <f>MAX(IF('Raw Data'!$A$3:$A$927=$A26, 'Raw Data'!$T$3:$T$927))</f>
        <v>0</v>
      </c>
      <c r="S26">
        <f>IF( COUNTIF('Raw Data'!$A$3:$A$2927,$A26)=0,0,SUMIF('Raw Data'!$A$3:$A$2927, $A26,'Raw Data'!P$3:P$2927) / COUNTIF('Raw Data'!$A$3:$A$2927,$A26))</f>
        <v>0.6</v>
      </c>
      <c r="T26">
        <f>IF( COUNTIF('Raw Data'!$A$3:$A$2927,$A26)=0,0,SUMIF('Raw Data'!$A$3:$A$2927, $A26,'Raw Data'!Q$3:Q$2927) / COUNTIF('Raw Data'!$A$3:$A$2927,$A26))</f>
        <v>0.1</v>
      </c>
      <c r="U26">
        <f>IF( COUNTIF('Raw Data'!$A$3:$A$2927,$A26)=0,0,SUMIF('Raw Data'!$A$3:$A$2927, $A26,'Raw Data'!R$3:R$2927) / COUNTIF('Raw Data'!$A$3:$A$2927,$A26))</f>
        <v>0.2</v>
      </c>
      <c r="V26">
        <f>IF( COUNTIF('Raw Data'!$A$3:$A$2927,$A26)=0,0,SUMIF('Raw Data'!$A$3:$A$2927, $A26,'Raw Data'!S$3:S$2927) / COUNTIF('Raw Data'!$A$3:$A$2927,$A26))</f>
        <v>0.4</v>
      </c>
      <c r="W26">
        <f>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v>
      </c>
      <c r="AC26">
        <f>IF( COUNTIF('Raw Data'!$A$3:$A$2927,$A26)=0,0,SUMIF('Raw Data'!$A$3:$A$2927, $A26,'Raw Data'!AB$3:AB$2927) / COUNTIF('Raw Data'!$A$3:$A$2927,$A26))</f>
        <v>0</v>
      </c>
      <c r="AD26">
        <f>IF( COUNTIF('Raw Data'!$A$3:$A$2927,$A26)=0,0,SUMIF('Raw Data'!$A$3:$A$2927, $A26,'Raw Data'!AC$3:AC$2927) / COUNTIF('Raw Data'!$A$3:$A$2927,$A26))</f>
        <v>2.5</v>
      </c>
      <c r="AE26" s="117">
        <f>IF( COUNTIF('Raw Data'!$A$3:$A$2927,$A26)=0,0,SUMIF('Raw Data'!$A$3:$A$2927, $A26,'Raw Data'!AD$3:AD$2927) / COUNTIF('Raw Data'!$A$3:$A$2927,$A26))</f>
        <v>0</v>
      </c>
      <c r="AF26">
        <f>IF( COUNTIF('Raw Data'!$A$3:$A$2927,$A26)=0,0,SUMIF('Raw Data'!$A$3:$A$2927, $A26,'Raw Data'!AE$3:AE$2927) / COUNTIF('Raw Data'!$A$3:$A$2927,$A26))</f>
        <v>0</v>
      </c>
      <c r="AG26">
        <f>IF( COUNTIF('Raw Data'!$A$3:$A$2927,$A26)=0,0,SUMIF('Raw Data'!$A$3:$A$2927, $A26,'Raw Data'!AF$3:AF$2927) / COUNTIF('Raw Data'!$A$3:$A$2927,$A26))</f>
        <v>0</v>
      </c>
      <c r="AH26">
        <f>IF( COUNTIF('Raw Data'!$A$3:$A$2927,$A26)=0,0,SUMIF('Raw Data'!$A$3:$A$2927, $A26,'Raw Data'!AG$3:AG$2927) / COUNTIF('Raw Data'!$A$3:$A$2927,$A26))</f>
        <v>0.3</v>
      </c>
      <c r="AI26">
        <f>IF( COUNTIF('Raw Data'!$A$3:$A$2927,$A26)=0,0,SUMIF('Raw Data'!$A$3:$A$2927, $A26,'Raw Data'!AH$3:AH$2927) / COUNTIF('Raw Data'!$A$3:$A$2927,$A26))</f>
        <v>0.8</v>
      </c>
      <c r="AJ26" s="116">
        <f>COUNTIF('Raw Data'!A$3:A$2927, $A26)</f>
        <v>10</v>
      </c>
      <c r="AK26">
        <f t="shared" si="2"/>
        <v>7.1</v>
      </c>
      <c r="AL26">
        <f t="shared" si="3"/>
        <v>-1.4000000000000001</v>
      </c>
      <c r="AM26">
        <f t="shared" si="4"/>
        <v>-9.9000000000000005E-2</v>
      </c>
      <c r="AP26" t="s">
        <v>265</v>
      </c>
      <c r="AQ26">
        <v>-1</v>
      </c>
    </row>
    <row r="27" spans="1:51" ht="15.75" thickBot="1">
      <c r="A27">
        <v>4936</v>
      </c>
      <c r="B27" t="s">
        <v>213</v>
      </c>
      <c r="C27">
        <f t="shared" si="0"/>
        <v>14.875</v>
      </c>
      <c r="D27">
        <f t="shared" si="1"/>
        <v>8.125</v>
      </c>
      <c r="E27">
        <f>IF( COUNTIF('Raw Data'!$A$3:$A$2927,$A27)=0,0,SUMIF('Raw Data'!$A$3:$A$2927, $A27,'Raw Data'!D$3:D$2927) / COUNTIF('Raw Data'!$A$3:$A$2927,$A27))</f>
        <v>1.5</v>
      </c>
      <c r="F27">
        <f>MAX(IF('Raw Data'!$A$3:$A$927=$A27, 'Raw Data'!$O$3:$O$927))</f>
        <v>0</v>
      </c>
      <c r="G27">
        <f>MAX(IF('Raw Data'!$A$3:$A$927=$A27, 'Raw Data'!$I$3:$I$927))</f>
        <v>0</v>
      </c>
      <c r="H27">
        <f>IF( COUNTIF('Raw Data'!$A$3:$A$2927,$A27)=0,0,SUMIF('Raw Data'!$A$3:$A$2927, $A27,'Raw Data'!E$3:E$2927) / COUNTIF('Raw Data'!$A$3:$A$2927,$A27))</f>
        <v>0</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MAX(IF('Raw Data'!$A$3:$A$927=$A27, 'Raw Data'!$N$3:$N$927))</f>
        <v>0</v>
      </c>
      <c r="M27">
        <f>IF( COUNTIF('Raw Data'!$A$3:$A$2927,$A27)=0,0,SUMIF('Raw Data'!$A$3:$A$2927, $A27,'Raw Data'!J$3:J$2927) / COUNTIF('Raw Data'!$A$3:$A$2927,$A27))</f>
        <v>0</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MAX(IF('Raw Data'!$A$3:$A$927=$A27, 'Raw Data'!$Z$3:$Z$927))</f>
        <v>0</v>
      </c>
      <c r="R27">
        <f>MAX(IF('Raw Data'!$A$3:$A$927=$A27, 'Raw Data'!$T$3:$T$927))</f>
        <v>0</v>
      </c>
      <c r="S27">
        <f>IF( COUNTIF('Raw Data'!$A$3:$A$2927,$A27)=0,0,SUMIF('Raw Data'!$A$3:$A$2927, $A27,'Raw Data'!P$3:P$2927) / COUNTIF('Raw Data'!$A$3:$A$2927,$A27))</f>
        <v>2.125</v>
      </c>
      <c r="T27">
        <f>IF( COUNTIF('Raw Data'!$A$3:$A$2927,$A27)=0,0,SUMIF('Raw Data'!$A$3:$A$2927, $A27,'Raw Data'!Q$3:Q$2927) / COUNTIF('Raw Data'!$A$3:$A$2927,$A27))</f>
        <v>0.25</v>
      </c>
      <c r="U27">
        <f>IF( COUNTIF('Raw Data'!$A$3:$A$2927,$A27)=0,0,SUMIF('Raw Data'!$A$3:$A$2927, $A27,'Raw Data'!R$3:R$2927) / COUNTIF('Raw Data'!$A$3:$A$2927,$A27))</f>
        <v>0</v>
      </c>
      <c r="V27">
        <f>IF( COUNTIF('Raw Data'!$A$3:$A$2927,$A27)=0,0,SUMIF('Raw Data'!$A$3:$A$2927, $A27,'Raw Data'!S$3:S$2927) / COUNTIF('Raw Data'!$A$3:$A$2927,$A27))</f>
        <v>0</v>
      </c>
      <c r="W27">
        <f>MAX(IF('Raw Data'!$A$3:$A$927=$A27, 'Raw Data'!$Y$3:$Y$927))</f>
        <v>0</v>
      </c>
      <c r="X27">
        <f>IF( COUNTIF('Raw Data'!$A$3:$A$2927,$A27)=0,0,SUMIF('Raw Data'!$A$3:$A$2927, $A27,'Raw Data'!U$3:U$2927) / COUNTIF('Raw Data'!$A$3:$A$2927,$A27))</f>
        <v>1</v>
      </c>
      <c r="Y27">
        <f>IF( COUNTIF('Raw Data'!$A$3:$A$2927,$A27)=0,0,SUMIF('Raw Data'!$A$3:$A$2927, $A27,'Raw Data'!V$3:V$2927) / COUNTIF('Raw Data'!$A$3:$A$2927,$A27))</f>
        <v>0.125</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0</v>
      </c>
      <c r="AC27">
        <f>IF( COUNTIF('Raw Data'!$A$3:$A$2927,$A27)=0,0,SUMIF('Raw Data'!$A$3:$A$2927, $A27,'Raw Data'!AB$3:AB$2927) / COUNTIF('Raw Data'!$A$3:$A$2927,$A27))</f>
        <v>0</v>
      </c>
      <c r="AD27">
        <f>IF( COUNTIF('Raw Data'!$A$3:$A$2927,$A27)=0,0,SUMIF('Raw Data'!$A$3:$A$2927, $A27,'Raw Data'!AC$3:AC$2927) / COUNTIF('Raw Data'!$A$3:$A$2927,$A27))</f>
        <v>0.875</v>
      </c>
      <c r="AE27" s="117">
        <f>IF( COUNTIF('Raw Data'!$A$3:$A$2927,$A27)=0,0,SUMIF('Raw Data'!$A$3:$A$2927, $A27,'Raw Data'!AD$3:AD$2927) / COUNTIF('Raw Data'!$A$3:$A$2927,$A27))</f>
        <v>0</v>
      </c>
      <c r="AF27">
        <f>IF( COUNTIF('Raw Data'!$A$3:$A$2927,$A27)=0,0,SUMIF('Raw Data'!$A$3:$A$2927, $A27,'Raw Data'!AE$3:AE$2927) / COUNTIF('Raw Data'!$A$3:$A$2927,$A27))</f>
        <v>0</v>
      </c>
      <c r="AG27">
        <f>IF( COUNTIF('Raw Data'!$A$3:$A$2927,$A27)=0,0,SUMIF('Raw Data'!$A$3:$A$2927, $A27,'Raw Data'!AF$3:AF$2927) / COUNTIF('Raw Data'!$A$3:$A$2927,$A27))</f>
        <v>0</v>
      </c>
      <c r="AH27">
        <f>IF( COUNTIF('Raw Data'!$A$3:$A$2927,$A27)=0,0,SUMIF('Raw Data'!$A$3:$A$2927, $A27,'Raw Data'!AG$3:AG$2927) / COUNTIF('Raw Data'!$A$3:$A$2927,$A27))</f>
        <v>0.375</v>
      </c>
      <c r="AI27">
        <f>IF( COUNTIF('Raw Data'!$A$3:$A$2927,$A27)=0,0,SUMIF('Raw Data'!$A$3:$A$2927, $A27,'Raw Data'!AH$3:AH$2927) / COUNTIF('Raw Data'!$A$3:$A$2927,$A27))</f>
        <v>0.625</v>
      </c>
      <c r="AJ27" s="116">
        <f>COUNTIF('Raw Data'!A$3:A$2927, $A27)</f>
        <v>8</v>
      </c>
      <c r="AK27">
        <f t="shared" si="2"/>
        <v>1.6800000000000002</v>
      </c>
      <c r="AL27">
        <f t="shared" si="3"/>
        <v>-0.3125</v>
      </c>
      <c r="AM27">
        <f t="shared" si="4"/>
        <v>1.00125</v>
      </c>
      <c r="AP27" t="s">
        <v>266</v>
      </c>
      <c r="AQ27">
        <v>1</v>
      </c>
    </row>
    <row r="28" spans="1:51" ht="15.75" thickBot="1">
      <c r="A28">
        <v>4939</v>
      </c>
      <c r="B28" t="s">
        <v>359</v>
      </c>
      <c r="C28">
        <f t="shared" si="0"/>
        <v>0</v>
      </c>
      <c r="D28">
        <f t="shared" si="1"/>
        <v>0</v>
      </c>
      <c r="E28">
        <f>IF( COUNTIF('Raw Data'!$A$3:$A$2927,$A28)=0,0,SUMIF('Raw Data'!$A$3:$A$2927, $A28,'Raw Data'!D$3:D$2927) / COUNTIF('Raw Data'!$A$3:$A$2927,$A28))</f>
        <v>0</v>
      </c>
      <c r="F28">
        <f>MAX(IF('Raw Data'!$A$3:$A$927=$A28, 'Raw Data'!$O$3:$O$927))</f>
        <v>0</v>
      </c>
      <c r="G28">
        <f>MAX(IF('Raw Data'!$A$3:$A$927=$A28, 'Raw Data'!$I$3:$I$927))</f>
        <v>0</v>
      </c>
      <c r="H28">
        <f>IF( COUNTIF('Raw Data'!$A$3:$A$2927,$A28)=0,0,SUMIF('Raw Data'!$A$3:$A$2927, $A28,'Raw Data'!E$3:E$2927) / COUNTIF('Raw Data'!$A$3:$A$2927,$A28))</f>
        <v>0</v>
      </c>
      <c r="I28">
        <f>IF( COUNTIF('Raw Data'!$A$3:$A$2927,$A28)=0,0,SUMIF('Raw Data'!$A$3:$A$2927, $A28,'Raw Data'!F$3:F$2927) / COUNTIF('Raw Data'!$A$3:$A$2927,$A28))</f>
        <v>0</v>
      </c>
      <c r="J28">
        <f>IF( COUNTIF('Raw Data'!$A$3:$A$2927,$A28)=0,0,SUMIF('Raw Data'!$A$3:$A$2927, $A28,'Raw Data'!G$3:G$2927) / COUNTIF('Raw Data'!$A$3:$A$2927,$A28))</f>
        <v>0</v>
      </c>
      <c r="K28">
        <f>IF( COUNTIF('Raw Data'!$A$3:$A$2927,$A28)=0,0,SUMIF('Raw Data'!$A$3:$A$2927, $A28,'Raw Data'!H$3:H$2927) / COUNTIF('Raw Data'!$A$3:$A$2927,$A28))</f>
        <v>0</v>
      </c>
      <c r="L28">
        <f>MAX(IF('Raw Data'!$A$3:$A$927=$A28, 'Raw Data'!$N$3:$N$927))</f>
        <v>0</v>
      </c>
      <c r="M28">
        <f>IF( COUNTIF('Raw Data'!$A$3:$A$2927,$A28)=0,0,SUMIF('Raw Data'!$A$3:$A$2927, $A28,'Raw Data'!J$3:J$2927) / COUNTIF('Raw Data'!$A$3:$A$2927,$A28))</f>
        <v>0</v>
      </c>
      <c r="N28">
        <f>IF( COUNTIF('Raw Data'!$A$3:$A$2927,$A28)=0,0,SUMIF('Raw Data'!$A$3:$A$2927, $A28,'Raw Data'!K$3:K$2927) / COUNTIF('Raw Data'!$A$3:$A$2927,$A28))</f>
        <v>0</v>
      </c>
      <c r="O28">
        <f>IF( COUNTIF('Raw Data'!$A$3:$A$2927,$A28)=0,0,SUMIF('Raw Data'!$A$3:$A$2927, $A28,'Raw Data'!L$3:L$2927) / COUNTIF('Raw Data'!$A$3:$A$2927,$A28))</f>
        <v>0</v>
      </c>
      <c r="P28" s="58">
        <f>IF( COUNTIF('Raw Data'!$A$3:$A$2927,$A28)=0,0,SUMIF('Raw Data'!$A$3:$A$2927, $A28,'Raw Data'!M$3:M$2927) / COUNTIF('Raw Data'!$A$3:$A$2927,$A28))</f>
        <v>0</v>
      </c>
      <c r="Q28">
        <f>MAX(IF('Raw Data'!$A$3:$A$927=$A28, 'Raw Data'!$Z$3:$Z$927))</f>
        <v>0</v>
      </c>
      <c r="R28">
        <f>MAX(IF('Raw Data'!$A$3:$A$927=$A28, 'Raw Data'!$T$3:$T$927))</f>
        <v>0</v>
      </c>
      <c r="S28">
        <f>IF( COUNTIF('Raw Data'!$A$3:$A$2927,$A28)=0,0,SUMIF('Raw Data'!$A$3:$A$2927, $A28,'Raw Data'!P$3:P$2927) / COUNTIF('Raw Data'!$A$3:$A$2927,$A28))</f>
        <v>0</v>
      </c>
      <c r="T28">
        <f>IF( COUNTIF('Raw Data'!$A$3:$A$2927,$A28)=0,0,SUMIF('Raw Data'!$A$3:$A$2927, $A28,'Raw Data'!Q$3:Q$2927) / COUNTIF('Raw Data'!$A$3:$A$2927,$A28))</f>
        <v>0</v>
      </c>
      <c r="U28">
        <f>IF( COUNTIF('Raw Data'!$A$3:$A$2927,$A28)=0,0,SUMIF('Raw Data'!$A$3:$A$2927, $A28,'Raw Data'!R$3:R$2927) / COUNTIF('Raw Data'!$A$3:$A$2927,$A28))</f>
        <v>0</v>
      </c>
      <c r="V28">
        <f>IF( COUNTIF('Raw Data'!$A$3:$A$2927,$A28)=0,0,SUMIF('Raw Data'!$A$3:$A$2927, $A28,'Raw Data'!S$3:S$2927) / COUNTIF('Raw Data'!$A$3:$A$2927,$A28))</f>
        <v>0</v>
      </c>
      <c r="W28">
        <f>MAX(IF('Raw Data'!$A$3:$A$927=$A28, 'Raw Data'!$Y$3:$Y$927))</f>
        <v>0</v>
      </c>
      <c r="X28">
        <f>IF( COUNTIF('Raw Data'!$A$3:$A$2927,$A28)=0,0,SUMIF('Raw Data'!$A$3:$A$2927, $A28,'Raw Data'!U$3:U$2927) / COUNTIF('Raw Data'!$A$3:$A$2927,$A28))</f>
        <v>0</v>
      </c>
      <c r="Y28">
        <f>IF( COUNTIF('Raw Data'!$A$3:$A$2927,$A28)=0,0,SUMIF('Raw Data'!$A$3:$A$2927, $A28,'Raw Data'!V$3:V$2927) / COUNTIF('Raw Data'!$A$3:$A$2927,$A28))</f>
        <v>0</v>
      </c>
      <c r="Z28">
        <f>IF( COUNTIF('Raw Data'!$A$3:$A$2927,$A28)=0,0,SUMIF('Raw Data'!$A$3:$A$2927, $A28,'Raw Data'!W$3:W$2927) / COUNTIF('Raw Data'!$A$3:$A$2927,$A28))</f>
        <v>0</v>
      </c>
      <c r="AA28">
        <f>IF( COUNTIF('Raw Data'!$A$3:$A$2927,$A28)=0,0,SUMIF('Raw Data'!$A$3:$A$2927, $A28,'Raw Data'!X$3:X$2927) / COUNTIF('Raw Data'!$A$3:$A$2927,$A28))</f>
        <v>0</v>
      </c>
      <c r="AB28">
        <f>IF( COUNTIF('Raw Data'!$A$3:$A$2927,$A28)=0,0,SUMIF('Raw Data'!$A$3:$A$2927, $A28,'Raw Data'!AA$3:AA$2927) / COUNTIF('Raw Data'!$A$3:$A$2927,$A28))</f>
        <v>0</v>
      </c>
      <c r="AC28">
        <f>IF( COUNTIF('Raw Data'!$A$3:$A$2927,$A28)=0,0,SUMIF('Raw Data'!$A$3:$A$2927, $A28,'Raw Data'!AB$3:AB$2927) / COUNTIF('Raw Data'!$A$3:$A$2927,$A28))</f>
        <v>0</v>
      </c>
      <c r="AD28">
        <f>IF( COUNTIF('Raw Data'!$A$3:$A$2927,$A28)=0,0,SUMIF('Raw Data'!$A$3:$A$2927, $A28,'Raw Data'!AC$3:AC$2927) / COUNTIF('Raw Data'!$A$3:$A$2927,$A28))</f>
        <v>0</v>
      </c>
      <c r="AE28" s="117">
        <f>IF( COUNTIF('Raw Data'!$A$3:$A$2927,$A28)=0,0,SUMIF('Raw Data'!$A$3:$A$2927, $A28,'Raw Data'!AD$3:AD$2927) / COUNTIF('Raw Data'!$A$3:$A$2927,$A28))</f>
        <v>0</v>
      </c>
      <c r="AF28">
        <f>IF( COUNTIF('Raw Data'!$A$3:$A$2927,$A28)=0,0,SUMIF('Raw Data'!$A$3:$A$2927, $A28,'Raw Data'!AE$3:AE$2927) / COUNTIF('Raw Data'!$A$3:$A$2927,$A28))</f>
        <v>0</v>
      </c>
      <c r="AG28">
        <f>IF( COUNTIF('Raw Data'!$A$3:$A$2927,$A28)=0,0,SUMIF('Raw Data'!$A$3:$A$2927, $A28,'Raw Data'!AF$3:AF$2927) / COUNTIF('Raw Data'!$A$3:$A$2927,$A28))</f>
        <v>0</v>
      </c>
      <c r="AH28">
        <f>IF( COUNTIF('Raw Data'!$A$3:$A$2927,$A28)=0,0,SUMIF('Raw Data'!$A$3:$A$2927, $A28,'Raw Data'!AG$3:AG$2927) / COUNTIF('Raw Data'!$A$3:$A$2927,$A28))</f>
        <v>0</v>
      </c>
      <c r="AI28">
        <f>IF( COUNTIF('Raw Data'!$A$3:$A$2927,$A28)=0,0,SUMIF('Raw Data'!$A$3:$A$2927, $A28,'Raw Data'!AH$3:AH$2927) / COUNTIF('Raw Data'!$A$3:$A$2927,$A28))</f>
        <v>0</v>
      </c>
      <c r="AJ28" s="116">
        <f>COUNTIF('Raw Data'!A$3:A$2927, $A28)</f>
        <v>0</v>
      </c>
      <c r="AK28">
        <f t="shared" si="2"/>
        <v>-21</v>
      </c>
      <c r="AL28">
        <f t="shared" si="3"/>
        <v>-1.5</v>
      </c>
      <c r="AM28">
        <f t="shared" si="4"/>
        <v>-1</v>
      </c>
      <c r="AP28" t="s">
        <v>281</v>
      </c>
      <c r="AQ28">
        <v>-20</v>
      </c>
    </row>
    <row r="29" spans="1:51" ht="15.75" thickBot="1">
      <c r="A29">
        <v>4946</v>
      </c>
      <c r="B29" t="s">
        <v>214</v>
      </c>
      <c r="C29">
        <f t="shared" si="0"/>
        <v>14.888888888888889</v>
      </c>
      <c r="D29">
        <f t="shared" si="1"/>
        <v>8.1111111111111107</v>
      </c>
      <c r="E29">
        <f>IF( COUNTIF('Raw Data'!$A$3:$A$2927,$A29)=0,0,SUMIF('Raw Data'!$A$3:$A$2927, $A29,'Raw Data'!D$3:D$2927) / COUNTIF('Raw Data'!$A$3:$A$2927,$A29))</f>
        <v>1.1111111111111112</v>
      </c>
      <c r="F29">
        <f>MAX(IF('Raw Data'!$A$3:$A$927=$A29, 'Raw Data'!$O$3:$O$927))</f>
        <v>0</v>
      </c>
      <c r="G29">
        <f>MAX(IF('Raw Data'!$A$3:$A$927=$A29, 'Raw Data'!$I$3:$I$927))</f>
        <v>0</v>
      </c>
      <c r="H29">
        <f>IF( COUNTIF('Raw Data'!$A$3:$A$2927,$A29)=0,0,SUMIF('Raw Data'!$A$3:$A$2927, $A29,'Raw Data'!E$3:E$2927) / COUNTIF('Raw Data'!$A$3:$A$2927,$A29))</f>
        <v>0.55555555555555558</v>
      </c>
      <c r="I29">
        <f>IF( COUNTIF('Raw Data'!$A$3:$A$2927,$A29)=0,0,SUMIF('Raw Data'!$A$3:$A$2927, $A29,'Raw Data'!F$3:F$2927) / COUNTIF('Raw Data'!$A$3:$A$2927,$A29))</f>
        <v>0.1111111111111111</v>
      </c>
      <c r="J29">
        <f>IF( COUNTIF('Raw Data'!$A$3:$A$2927,$A29)=0,0,SUMIF('Raw Data'!$A$3:$A$2927, $A29,'Raw Data'!G$3:G$2927) / COUNTIF('Raw Data'!$A$3:$A$2927,$A29))</f>
        <v>0</v>
      </c>
      <c r="K29">
        <f>IF( COUNTIF('Raw Data'!$A$3:$A$2927,$A29)=0,0,SUMIF('Raw Data'!$A$3:$A$2927, $A29,'Raw Data'!H$3:H$2927) / COUNTIF('Raw Data'!$A$3:$A$2927,$A29))</f>
        <v>0</v>
      </c>
      <c r="L29">
        <f>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MAX(IF('Raw Data'!$A$3:$A$927=$A29, 'Raw Data'!$Z$3:$Z$927))</f>
        <v>0</v>
      </c>
      <c r="R29">
        <f>MAX(IF('Raw Data'!$A$3:$A$927=$A29, 'Raw Data'!$T$3:$T$927))</f>
        <v>0</v>
      </c>
      <c r="S29">
        <f>IF( COUNTIF('Raw Data'!$A$3:$A$2927,$A29)=0,0,SUMIF('Raw Data'!$A$3:$A$2927, $A29,'Raw Data'!P$3:P$2927) / COUNTIF('Raw Data'!$A$3:$A$2927,$A29))</f>
        <v>0.44444444444444442</v>
      </c>
      <c r="T29">
        <f>IF( COUNTIF('Raw Data'!$A$3:$A$2927,$A29)=0,0,SUMIF('Raw Data'!$A$3:$A$2927, $A29,'Raw Data'!Q$3:Q$2927) / COUNTIF('Raw Data'!$A$3:$A$2927,$A29))</f>
        <v>1.1111111111111112</v>
      </c>
      <c r="U29">
        <f>IF( COUNTIF('Raw Data'!$A$3:$A$2927,$A29)=0,0,SUMIF('Raw Data'!$A$3:$A$2927, $A29,'Raw Data'!R$3:R$2927) / COUNTIF('Raw Data'!$A$3:$A$2927,$A29))</f>
        <v>0.55555555555555558</v>
      </c>
      <c r="V29">
        <f>IF( COUNTIF('Raw Data'!$A$3:$A$2927,$A29)=0,0,SUMIF('Raw Data'!$A$3:$A$2927, $A29,'Raw Data'!S$3:S$2927) / COUNTIF('Raw Data'!$A$3:$A$2927,$A29))</f>
        <v>0.22222222222222221</v>
      </c>
      <c r="W29">
        <f>MAX(IF('Raw Data'!$A$3:$A$927=$A29, 'Raw Data'!$Y$3:$Y$927))</f>
        <v>0</v>
      </c>
      <c r="X29">
        <f>IF( COUNTIF('Raw Data'!$A$3:$A$2927,$A29)=0,0,SUMIF('Raw Data'!$A$3:$A$2927, $A29,'Raw Data'!U$3:U$2927) / COUNTIF('Raw Data'!$A$3:$A$2927,$A29))</f>
        <v>0.66666666666666663</v>
      </c>
      <c r="Y29">
        <f>IF( COUNTIF('Raw Data'!$A$3:$A$2927,$A29)=0,0,SUMIF('Raw Data'!$A$3:$A$2927, $A29,'Raw Data'!V$3:V$2927) / COUNTIF('Raw Data'!$A$3:$A$2927,$A29))</f>
        <v>0.55555555555555558</v>
      </c>
      <c r="Z29">
        <f>IF( COUNTIF('Raw Data'!$A$3:$A$2927,$A29)=0,0,SUMIF('Raw Data'!$A$3:$A$2927, $A29,'Raw Data'!W$3:W$2927) / COUNTIF('Raw Data'!$A$3:$A$2927,$A29))</f>
        <v>0.1111111111111111</v>
      </c>
      <c r="AA29">
        <f>IF( COUNTIF('Raw Data'!$A$3:$A$2927,$A29)=0,0,SUMIF('Raw Data'!$A$3:$A$2927, $A29,'Raw Data'!X$3:X$2927) / COUNTIF('Raw Data'!$A$3:$A$2927,$A29))</f>
        <v>0.22222222222222221</v>
      </c>
      <c r="AB29">
        <f>IF( COUNTIF('Raw Data'!$A$3:$A$2927,$A29)=0,0,SUMIF('Raw Data'!$A$3:$A$2927, $A29,'Raw Data'!AA$3:AA$2927) / COUNTIF('Raw Data'!$A$3:$A$2927,$A29))</f>
        <v>2.7777777777777777</v>
      </c>
      <c r="AC29">
        <f>IF( COUNTIF('Raw Data'!$A$3:$A$2927,$A29)=0,0,SUMIF('Raw Data'!$A$3:$A$2927, $A29,'Raw Data'!AB$3:AB$2927) / COUNTIF('Raw Data'!$A$3:$A$2927,$A29))</f>
        <v>0</v>
      </c>
      <c r="AD29">
        <f>IF( COUNTIF('Raw Data'!$A$3:$A$2927,$A29)=0,0,SUMIF('Raw Data'!$A$3:$A$2927, $A29,'Raw Data'!AC$3:AC$2927) / COUNTIF('Raw Data'!$A$3:$A$2927,$A29))</f>
        <v>0.88888888888888884</v>
      </c>
      <c r="AE29" s="117">
        <f>IF( COUNTIF('Raw Data'!$A$3:$A$2927,$A29)=0,0,SUMIF('Raw Data'!$A$3:$A$2927, $A29,'Raw Data'!AD$3:AD$2927) / COUNTIF('Raw Data'!$A$3:$A$2927,$A29))</f>
        <v>0</v>
      </c>
      <c r="AF29">
        <f>IF( COUNTIF('Raw Data'!$A$3:$A$2927,$A29)=0,0,SUMIF('Raw Data'!$A$3:$A$2927, $A29,'Raw Data'!AE$3:AE$2927) / COUNTIF('Raw Data'!$A$3:$A$2927,$A29))</f>
        <v>0.1111111111111111</v>
      </c>
      <c r="AG29">
        <f>IF( COUNTIF('Raw Data'!$A$3:$A$2927,$A29)=0,0,SUMIF('Raw Data'!$A$3:$A$2927, $A29,'Raw Data'!AF$3:AF$2927) / COUNTIF('Raw Data'!$A$3:$A$2927,$A29))</f>
        <v>0</v>
      </c>
      <c r="AH29">
        <f>IF( COUNTIF('Raw Data'!$A$3:$A$2927,$A29)=0,0,SUMIF('Raw Data'!$A$3:$A$2927, $A29,'Raw Data'!AG$3:AG$2927) / COUNTIF('Raw Data'!$A$3:$A$2927,$A29))</f>
        <v>1.7777777777777777</v>
      </c>
      <c r="AI29">
        <f>IF( COUNTIF('Raw Data'!$A$3:$A$2927,$A29)=0,0,SUMIF('Raw Data'!$A$3:$A$2927, $A29,'Raw Data'!AH$3:AH$2927) / COUNTIF('Raw Data'!$A$3:$A$2927,$A29))</f>
        <v>0.33333333333333331</v>
      </c>
      <c r="AJ29" s="116">
        <f>COUNTIF('Raw Data'!A$3:A$2927, $A29)</f>
        <v>9</v>
      </c>
      <c r="AK29">
        <f t="shared" si="2"/>
        <v>2.804444444444445</v>
      </c>
      <c r="AL29">
        <f t="shared" si="3"/>
        <v>1.2777777777777781</v>
      </c>
      <c r="AM29">
        <f t="shared" si="4"/>
        <v>0.91333333333333366</v>
      </c>
      <c r="AP29" t="s">
        <v>282</v>
      </c>
      <c r="AQ29">
        <v>5</v>
      </c>
    </row>
    <row r="30" spans="1:51" ht="15.75" thickBot="1">
      <c r="A30">
        <v>4951</v>
      </c>
      <c r="B30" t="s">
        <v>215</v>
      </c>
      <c r="C30">
        <f t="shared" si="0"/>
        <v>17.428571428571431</v>
      </c>
      <c r="D30">
        <f t="shared" si="1"/>
        <v>12.285714285714286</v>
      </c>
      <c r="E30">
        <f>IF( COUNTIF('Raw Data'!$A$3:$A$2927,$A30)=0,0,SUMIF('Raw Data'!$A$3:$A$2927, $A30,'Raw Data'!D$3:D$2927) / COUNTIF('Raw Data'!$A$3:$A$2927,$A30))</f>
        <v>1.7142857142857142</v>
      </c>
      <c r="F30">
        <f>MAX(IF('Raw Data'!$A$3:$A$927=$A30, 'Raw Data'!$O$3:$O$927))</f>
        <v>0</v>
      </c>
      <c r="G30">
        <f>MAX(IF('Raw Data'!$A$3:$A$927=$A30, 'Raw Data'!$I$3:$I$927))</f>
        <v>0</v>
      </c>
      <c r="H30">
        <f>IF( COUNTIF('Raw Data'!$A$3:$A$2927,$A30)=0,0,SUMIF('Raw Data'!$A$3:$A$2927, $A30,'Raw Data'!E$3:E$2927) / COUNTIF('Raw Data'!$A$3:$A$2927,$A30))</f>
        <v>0.14285714285714285</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MAX(IF('Raw Data'!$A$3:$A$927=$A30, 'Raw Data'!$N$3:$N$927))</f>
        <v>0</v>
      </c>
      <c r="M30">
        <f>IF( COUNTIF('Raw Data'!$A$3:$A$2927,$A30)=0,0,SUMIF('Raw Data'!$A$3:$A$2927, $A30,'Raw Data'!J$3:J$2927) / COUNTIF('Raw Data'!$A$3:$A$2927,$A30))</f>
        <v>0.5714285714285714</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MAX(IF('Raw Data'!$A$3:$A$927=$A30, 'Raw Data'!$Z$3:$Z$927))</f>
        <v>0</v>
      </c>
      <c r="R30">
        <f>MAX(IF('Raw Data'!$A$3:$A$927=$A30, 'Raw Data'!$T$3:$T$927))</f>
        <v>0</v>
      </c>
      <c r="S30">
        <f>IF( COUNTIF('Raw Data'!$A$3:$A$2927,$A30)=0,0,SUMIF('Raw Data'!$A$3:$A$2927, $A30,'Raw Data'!P$3:P$2927) / COUNTIF('Raw Data'!$A$3:$A$2927,$A30))</f>
        <v>0</v>
      </c>
      <c r="T30">
        <f>IF( COUNTIF('Raw Data'!$A$3:$A$2927,$A30)=0,0,SUMIF('Raw Data'!$A$3:$A$2927, $A30,'Raw Data'!Q$3:Q$2927) / COUNTIF('Raw Data'!$A$3:$A$2927,$A30))</f>
        <v>0</v>
      </c>
      <c r="U30">
        <f>IF( COUNTIF('Raw Data'!$A$3:$A$2927,$A30)=0,0,SUMIF('Raw Data'!$A$3:$A$2927, $A30,'Raw Data'!R$3:R$2927) / COUNTIF('Raw Data'!$A$3:$A$2927,$A30))</f>
        <v>0</v>
      </c>
      <c r="V30">
        <f>IF( COUNTIF('Raw Data'!$A$3:$A$2927,$A30)=0,0,SUMIF('Raw Data'!$A$3:$A$2927, $A30,'Raw Data'!S$3:S$2927) / COUNTIF('Raw Data'!$A$3:$A$2927,$A30))</f>
        <v>0</v>
      </c>
      <c r="W30">
        <f>MAX(IF('Raw Data'!$A$3:$A$927=$A30, 'Raw Data'!$Y$3:$Y$927))</f>
        <v>0</v>
      </c>
      <c r="X30">
        <f>IF( COUNTIF('Raw Data'!$A$3:$A$2927,$A30)=0,0,SUMIF('Raw Data'!$A$3:$A$2927, $A30,'Raw Data'!U$3:U$2927) / COUNTIF('Raw Data'!$A$3:$A$2927,$A30))</f>
        <v>2.8571428571428572</v>
      </c>
      <c r="Y30">
        <f>IF( COUNTIF('Raw Data'!$A$3:$A$2927,$A30)=0,0,SUMIF('Raw Data'!$A$3:$A$2927, $A30,'Raw Data'!V$3:V$2927) / COUNTIF('Raw Data'!$A$3:$A$2927,$A30))</f>
        <v>0.5714285714285714</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v>
      </c>
      <c r="AC30">
        <f>IF( COUNTIF('Raw Data'!$A$3:$A$2927,$A30)=0,0,SUMIF('Raw Data'!$A$3:$A$2927, $A30,'Raw Data'!AB$3:AB$2927) / COUNTIF('Raw Data'!$A$3:$A$2927,$A30))</f>
        <v>0</v>
      </c>
      <c r="AD30">
        <f>IF( COUNTIF('Raw Data'!$A$3:$A$2927,$A30)=0,0,SUMIF('Raw Data'!$A$3:$A$2927, $A30,'Raw Data'!AC$3:AC$2927) / COUNTIF('Raw Data'!$A$3:$A$2927,$A30))</f>
        <v>1</v>
      </c>
      <c r="AE30" s="117">
        <f>IF( COUNTIF('Raw Data'!$A$3:$A$2927,$A30)=0,0,SUMIF('Raw Data'!$A$3:$A$2927, $A30,'Raw Data'!AD$3:AD$2927) / COUNTIF('Raw Data'!$A$3:$A$2927,$A30))</f>
        <v>0</v>
      </c>
      <c r="AF30">
        <f>IF( COUNTIF('Raw Data'!$A$3:$A$2927,$A30)=0,0,SUMIF('Raw Data'!$A$3:$A$2927, $A30,'Raw Data'!AE$3:AE$2927) / COUNTIF('Raw Data'!$A$3:$A$2927,$A30))</f>
        <v>0</v>
      </c>
      <c r="AG30">
        <f>IF( COUNTIF('Raw Data'!$A$3:$A$2927,$A30)=0,0,SUMIF('Raw Data'!$A$3:$A$2927, $A30,'Raw Data'!AF$3:AF$2927) / COUNTIF('Raw Data'!$A$3:$A$2927,$A30))</f>
        <v>0</v>
      </c>
      <c r="AH30">
        <f>IF( COUNTIF('Raw Data'!$A$3:$A$2927,$A30)=0,0,SUMIF('Raw Data'!$A$3:$A$2927, $A30,'Raw Data'!AG$3:AG$2927) / COUNTIF('Raw Data'!$A$3:$A$2927,$A30))</f>
        <v>3</v>
      </c>
      <c r="AI30">
        <f>IF( COUNTIF('Raw Data'!$A$3:$A$2927,$A30)=0,0,SUMIF('Raw Data'!$A$3:$A$2927, $A30,'Raw Data'!AH$3:AH$2927) / COUNTIF('Raw Data'!$A$3:$A$2927,$A30))</f>
        <v>0</v>
      </c>
      <c r="AJ30" s="116">
        <f>COUNTIF('Raw Data'!A$3:A$2927, $A30)</f>
        <v>7</v>
      </c>
      <c r="AK30">
        <f t="shared" si="2"/>
        <v>2.2828571428571434</v>
      </c>
      <c r="AL30">
        <f t="shared" si="3"/>
        <v>-1.2857142857142858</v>
      </c>
      <c r="AM30">
        <f t="shared" si="4"/>
        <v>3.152857142857143</v>
      </c>
      <c r="AU30" t="s">
        <v>244</v>
      </c>
      <c r="AX30" t="s">
        <v>245</v>
      </c>
    </row>
    <row r="31" spans="1:51" ht="15.75" thickBot="1">
      <c r="A31">
        <v>5024</v>
      </c>
      <c r="B31" t="s">
        <v>371</v>
      </c>
      <c r="C31">
        <f t="shared" si="0"/>
        <v>0</v>
      </c>
      <c r="D31">
        <f t="shared" si="1"/>
        <v>0</v>
      </c>
      <c r="E31">
        <f>IF( COUNTIF('Raw Data'!$A$3:$A$2927,$A31)=0,0,SUMIF('Raw Data'!$A$3:$A$2927, $A31,'Raw Data'!D$3:D$2927) / COUNTIF('Raw Data'!$A$3:$A$2927,$A31))</f>
        <v>0</v>
      </c>
      <c r="F31">
        <f>MAX(IF('Raw Data'!$A$3:$A$927=$A31, 'Raw Data'!$O$3:$O$927))</f>
        <v>0</v>
      </c>
      <c r="G31">
        <f>MAX(IF('Raw Data'!$A$3:$A$927=$A31, 'Raw Data'!$I$3:$I$927))</f>
        <v>0</v>
      </c>
      <c r="H31">
        <f>IF( COUNTIF('Raw Data'!$A$3:$A$2927,$A31)=0,0,SUMIF('Raw Data'!$A$3:$A$2927, $A31,'Raw Data'!E$3:E$2927) / COUNTIF('Raw Data'!$A$3:$A$2927,$A31))</f>
        <v>0</v>
      </c>
      <c r="I31">
        <f>IF( COUNTIF('Raw Data'!$A$3:$A$2927,$A31)=0,0,SUMIF('Raw Data'!$A$3:$A$2927, $A31,'Raw Data'!F$3:F$2927) / COUNTIF('Raw Data'!$A$3:$A$2927,$A31))</f>
        <v>0</v>
      </c>
      <c r="J31">
        <f>IF( COUNTIF('Raw Data'!$A$3:$A$2927,$A31)=0,0,SUMIF('Raw Data'!$A$3:$A$2927, $A31,'Raw Data'!G$3:G$2927) / COUNTIF('Raw Data'!$A$3:$A$2927,$A31))</f>
        <v>0</v>
      </c>
      <c r="K31">
        <f>IF( COUNTIF('Raw Data'!$A$3:$A$2927,$A31)=0,0,SUMIF('Raw Data'!$A$3:$A$2927, $A31,'Raw Data'!H$3:H$2927) / COUNTIF('Raw Data'!$A$3:$A$2927,$A31))</f>
        <v>0</v>
      </c>
      <c r="L31">
        <f>MAX(IF('Raw Data'!$A$3:$A$927=$A31, 'Raw Data'!$N$3:$N$927))</f>
        <v>0</v>
      </c>
      <c r="M31">
        <f>IF( COUNTIF('Raw Data'!$A$3:$A$2927,$A31)=0,0,SUMIF('Raw Data'!$A$3:$A$2927, $A31,'Raw Data'!J$3:J$2927) / COUNTIF('Raw Data'!$A$3:$A$2927,$A31))</f>
        <v>0</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MAX(IF('Raw Data'!$A$3:$A$927=$A31, 'Raw Data'!$Z$3:$Z$927))</f>
        <v>0</v>
      </c>
      <c r="R31">
        <f>MAX(IF('Raw Data'!$A$3:$A$927=$A31, 'Raw Data'!$T$3:$T$927))</f>
        <v>0</v>
      </c>
      <c r="S31">
        <f>IF( COUNTIF('Raw Data'!$A$3:$A$2927,$A31)=0,0,SUMIF('Raw Data'!$A$3:$A$2927, $A31,'Raw Data'!P$3:P$2927) / COUNTIF('Raw Data'!$A$3:$A$2927,$A31))</f>
        <v>0</v>
      </c>
      <c r="T31">
        <f>IF( COUNTIF('Raw Data'!$A$3:$A$2927,$A31)=0,0,SUMIF('Raw Data'!$A$3:$A$2927, $A31,'Raw Data'!Q$3:Q$2927) / COUNTIF('Raw Data'!$A$3:$A$2927,$A31))</f>
        <v>0</v>
      </c>
      <c r="U31">
        <f>IF( COUNTIF('Raw Data'!$A$3:$A$2927,$A31)=0,0,SUMIF('Raw Data'!$A$3:$A$2927, $A31,'Raw Data'!R$3:R$2927) / COUNTIF('Raw Data'!$A$3:$A$2927,$A31))</f>
        <v>0</v>
      </c>
      <c r="V31">
        <f>IF( COUNTIF('Raw Data'!$A$3:$A$2927,$A31)=0,0,SUMIF('Raw Data'!$A$3:$A$2927, $A31,'Raw Data'!S$3:S$2927) / COUNTIF('Raw Data'!$A$3:$A$2927,$A31))</f>
        <v>0</v>
      </c>
      <c r="W31">
        <f>MAX(IF('Raw Data'!$A$3:$A$927=$A31, 'Raw Data'!$Y$3:$Y$927))</f>
        <v>0</v>
      </c>
      <c r="X31">
        <f>IF( COUNTIF('Raw Data'!$A$3:$A$2927,$A31)=0,0,SUMIF('Raw Data'!$A$3:$A$2927, $A31,'Raw Data'!U$3:U$2927) / COUNTIF('Raw Data'!$A$3:$A$2927,$A31))</f>
        <v>0</v>
      </c>
      <c r="Y31">
        <f>IF( COUNTIF('Raw Data'!$A$3:$A$2927,$A31)=0,0,SUMIF('Raw Data'!$A$3:$A$2927, $A31,'Raw Data'!V$3:V$2927) / COUNTIF('Raw Data'!$A$3:$A$2927,$A31))</f>
        <v>0</v>
      </c>
      <c r="Z31">
        <f>IF( COUNTIF('Raw Data'!$A$3:$A$2927,$A31)=0,0,SUMIF('Raw Data'!$A$3:$A$2927, $A31,'Raw Data'!W$3:W$2927) / COUNTIF('Raw Data'!$A$3:$A$2927,$A31))</f>
        <v>0</v>
      </c>
      <c r="AA31">
        <f>IF( COUNTIF('Raw Data'!$A$3:$A$2927,$A31)=0,0,SUMIF('Raw Data'!$A$3:$A$2927, $A31,'Raw Data'!X$3:X$2927) / COUNTIF('Raw Data'!$A$3:$A$2927,$A31))</f>
        <v>0</v>
      </c>
      <c r="AB31">
        <f>IF( COUNTIF('Raw Data'!$A$3:$A$2927,$A31)=0,0,SUMIF('Raw Data'!$A$3:$A$2927, $A31,'Raw Data'!AA$3:AA$2927) / COUNTIF('Raw Data'!$A$3:$A$2927,$A31))</f>
        <v>0</v>
      </c>
      <c r="AC31">
        <f>IF( COUNTIF('Raw Data'!$A$3:$A$2927,$A31)=0,0,SUMIF('Raw Data'!$A$3:$A$2927, $A31,'Raw Data'!AB$3:AB$2927) / COUNTIF('Raw Data'!$A$3:$A$2927,$A31))</f>
        <v>0</v>
      </c>
      <c r="AD31">
        <f>IF( COUNTIF('Raw Data'!$A$3:$A$2927,$A31)=0,0,SUMIF('Raw Data'!$A$3:$A$2927, $A31,'Raw Data'!AC$3:AC$2927) / COUNTIF('Raw Data'!$A$3:$A$2927,$A31))</f>
        <v>0</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0</v>
      </c>
      <c r="AH31">
        <f>IF( COUNTIF('Raw Data'!$A$3:$A$2927,$A31)=0,0,SUMIF('Raw Data'!$A$3:$A$2927, $A31,'Raw Data'!AG$3:AG$2927) / COUNTIF('Raw Data'!$A$3:$A$2927,$A31))</f>
        <v>0</v>
      </c>
      <c r="AI31">
        <f>IF( COUNTIF('Raw Data'!$A$3:$A$2927,$A31)=0,0,SUMIF('Raw Data'!$A$3:$A$2927, $A31,'Raw Data'!AH$3:AH$2927) / COUNTIF('Raw Data'!$A$3:$A$2927,$A31))</f>
        <v>0</v>
      </c>
      <c r="AJ31" s="116">
        <f>COUNTIF('Raw Data'!A$3:A$2927, $A31)</f>
        <v>0</v>
      </c>
      <c r="AK31">
        <f t="shared" si="2"/>
        <v>-21</v>
      </c>
      <c r="AL31">
        <f t="shared" si="3"/>
        <v>-1.5</v>
      </c>
      <c r="AM31">
        <f t="shared" si="4"/>
        <v>-1</v>
      </c>
      <c r="AU31" t="s">
        <v>246</v>
      </c>
      <c r="AV31" t="s">
        <v>247</v>
      </c>
      <c r="AX31" t="s">
        <v>246</v>
      </c>
      <c r="AY31" t="s">
        <v>247</v>
      </c>
    </row>
    <row r="32" spans="1:51" ht="15.75" thickBot="1">
      <c r="A32">
        <v>5031</v>
      </c>
      <c r="B32" t="s">
        <v>360</v>
      </c>
      <c r="C32">
        <f t="shared" si="0"/>
        <v>0</v>
      </c>
      <c r="D32">
        <f t="shared" si="1"/>
        <v>0</v>
      </c>
      <c r="E32">
        <f>IF( COUNTIF('Raw Data'!$A$3:$A$2927,$A32)=0,0,SUMIF('Raw Data'!$A$3:$A$2927, $A32,'Raw Data'!D$3:D$2927) / COUNTIF('Raw Data'!$A$3:$A$2927,$A32))</f>
        <v>0</v>
      </c>
      <c r="F32">
        <f>MAX(IF('Raw Data'!$A$3:$A$927=$A32, 'Raw Data'!$O$3:$O$927))</f>
        <v>0</v>
      </c>
      <c r="G32">
        <f>MAX(IF('Raw Data'!$A$3:$A$927=$A32, 'Raw Data'!$I$3:$I$927))</f>
        <v>0</v>
      </c>
      <c r="H32">
        <f>IF( COUNTIF('Raw Data'!$A$3:$A$2927,$A32)=0,0,SUMIF('Raw Data'!$A$3:$A$2927, $A32,'Raw Data'!E$3:E$2927) / COUNTIF('Raw Data'!$A$3:$A$2927,$A32))</f>
        <v>0</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MAX(IF('Raw Data'!$A$3:$A$927=$A32, 'Raw Data'!$N$3:$N$927))</f>
        <v>0</v>
      </c>
      <c r="M32">
        <f>IF( COUNTIF('Raw Data'!$A$3:$A$2927,$A32)=0,0,SUMIF('Raw Data'!$A$3:$A$2927, $A32,'Raw Data'!J$3:J$2927) / COUNTIF('Raw Data'!$A$3:$A$2927,$A32))</f>
        <v>0</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MAX(IF('Raw Data'!$A$3:$A$927=$A32, 'Raw Data'!$Z$3:$Z$927))</f>
        <v>0</v>
      </c>
      <c r="R32">
        <f>MAX(IF('Raw Data'!$A$3:$A$927=$A32, 'Raw Data'!$T$3:$T$927))</f>
        <v>0</v>
      </c>
      <c r="S32">
        <f>IF( COUNTIF('Raw Data'!$A$3:$A$2927,$A32)=0,0,SUMIF('Raw Data'!$A$3:$A$2927, $A32,'Raw Data'!P$3:P$2927) / COUNTIF('Raw Data'!$A$3:$A$2927,$A32))</f>
        <v>0</v>
      </c>
      <c r="T32">
        <f>IF( COUNTIF('Raw Data'!$A$3:$A$2927,$A32)=0,0,SUMIF('Raw Data'!$A$3:$A$2927, $A32,'Raw Data'!Q$3:Q$2927) / COUNTIF('Raw Data'!$A$3:$A$2927,$A32))</f>
        <v>0</v>
      </c>
      <c r="U32">
        <f>IF( COUNTIF('Raw Data'!$A$3:$A$2927,$A32)=0,0,SUMIF('Raw Data'!$A$3:$A$2927, $A32,'Raw Data'!R$3:R$2927) / COUNTIF('Raw Data'!$A$3:$A$2927,$A32))</f>
        <v>0</v>
      </c>
      <c r="V32">
        <f>IF( COUNTIF('Raw Data'!$A$3:$A$2927,$A32)=0,0,SUMIF('Raw Data'!$A$3:$A$2927, $A32,'Raw Data'!S$3:S$2927) / COUNTIF('Raw Data'!$A$3:$A$2927,$A32))</f>
        <v>0</v>
      </c>
      <c r="W32">
        <f>MAX(IF('Raw Data'!$A$3:$A$927=$A32, 'Raw Data'!$Y$3:$Y$927))</f>
        <v>0</v>
      </c>
      <c r="X32">
        <f>IF( COUNTIF('Raw Data'!$A$3:$A$2927,$A32)=0,0,SUMIF('Raw Data'!$A$3:$A$2927, $A32,'Raw Data'!U$3:U$2927) / COUNTIF('Raw Data'!$A$3:$A$2927,$A32))</f>
        <v>0</v>
      </c>
      <c r="Y32">
        <f>IF( COUNTIF('Raw Data'!$A$3:$A$2927,$A32)=0,0,SUMIF('Raw Data'!$A$3:$A$2927, $A32,'Raw Data'!V$3:V$2927) / COUNTIF('Raw Data'!$A$3:$A$2927,$A32))</f>
        <v>0</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0</v>
      </c>
      <c r="AC32">
        <f>IF( COUNTIF('Raw Data'!$A$3:$A$2927,$A32)=0,0,SUMIF('Raw Data'!$A$3:$A$2927, $A32,'Raw Data'!AB$3:AB$2927) / COUNTIF('Raw Data'!$A$3:$A$2927,$A32))</f>
        <v>0</v>
      </c>
      <c r="AD32">
        <f>IF( COUNTIF('Raw Data'!$A$3:$A$2927,$A32)=0,0,SUMIF('Raw Data'!$A$3:$A$2927, $A32,'Raw Data'!AC$3:AC$2927) / COUNTIF('Raw Data'!$A$3:$A$2927,$A32))</f>
        <v>0</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0</v>
      </c>
      <c r="AI32">
        <f>IF( COUNTIF('Raw Data'!$A$3:$A$2927,$A32)=0,0,SUMIF('Raw Data'!$A$3:$A$2927, $A32,'Raw Data'!AH$3:AH$2927) / COUNTIF('Raw Data'!$A$3:$A$2927,$A32))</f>
        <v>0</v>
      </c>
      <c r="AJ32" s="116">
        <f>COUNTIF('Raw Data'!A$3:A$2927, $A32)</f>
        <v>0</v>
      </c>
      <c r="AK32">
        <f t="shared" si="2"/>
        <v>-21</v>
      </c>
      <c r="AL32">
        <f t="shared" si="3"/>
        <v>-1.5</v>
      </c>
      <c r="AM32">
        <f t="shared" si="4"/>
        <v>-1</v>
      </c>
      <c r="AU32">
        <v>610</v>
      </c>
      <c r="AV32">
        <v>8</v>
      </c>
      <c r="AX32">
        <v>5426</v>
      </c>
      <c r="AY32">
        <v>34</v>
      </c>
    </row>
    <row r="33" spans="1:51" ht="15.75" thickBot="1">
      <c r="A33">
        <v>5036</v>
      </c>
      <c r="B33" t="s">
        <v>216</v>
      </c>
      <c r="C33">
        <f t="shared" si="0"/>
        <v>15.399999999999999</v>
      </c>
      <c r="D33">
        <f t="shared" si="1"/>
        <v>11.299999999999999</v>
      </c>
      <c r="E33">
        <f>IF( COUNTIF('Raw Data'!$A$3:$A$2927,$A33)=0,0,SUMIF('Raw Data'!$A$3:$A$2927, $A33,'Raw Data'!D$3:D$2927) / COUNTIF('Raw Data'!$A$3:$A$2927,$A33))</f>
        <v>1</v>
      </c>
      <c r="F33">
        <f>MAX(IF('Raw Data'!$A$3:$A$927=$A33, 'Raw Data'!$O$3:$O$927))</f>
        <v>0</v>
      </c>
      <c r="G33">
        <f>MAX(IF('Raw Data'!$A$3:$A$927=$A33, 'Raw Data'!$I$3:$I$927))</f>
        <v>0</v>
      </c>
      <c r="H33">
        <f>IF( COUNTIF('Raw Data'!$A$3:$A$2927,$A33)=0,0,SUMIF('Raw Data'!$A$3:$A$2927, $A33,'Raw Data'!E$3:E$2927) / COUNTIF('Raw Data'!$A$3:$A$2927,$A33))</f>
        <v>0</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MAX(IF('Raw Data'!$A$3:$A$927=$A33, 'Raw Data'!$N$3:$N$927))</f>
        <v>0</v>
      </c>
      <c r="M33">
        <f>IF( COUNTIF('Raw Data'!$A$3:$A$2927,$A33)=0,0,SUMIF('Raw Data'!$A$3:$A$2927, $A33,'Raw Data'!J$3:J$2927) / COUNTIF('Raw Data'!$A$3:$A$2927,$A33))</f>
        <v>0.1</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MAX(IF('Raw Data'!$A$3:$A$927=$A33, 'Raw Data'!$Z$3:$Z$927))</f>
        <v>0</v>
      </c>
      <c r="R33">
        <f>MAX(IF('Raw Data'!$A$3:$A$927=$A33, 'Raw Data'!$T$3:$T$927))</f>
        <v>0</v>
      </c>
      <c r="S33">
        <f>IF( COUNTIF('Raw Data'!$A$3:$A$2927,$A33)=0,0,SUMIF('Raw Data'!$A$3:$A$2927, $A33,'Raw Data'!P$3:P$2927) / COUNTIF('Raw Data'!$A$3:$A$2927,$A33))</f>
        <v>0.4</v>
      </c>
      <c r="T33">
        <f>IF( COUNTIF('Raw Data'!$A$3:$A$2927,$A33)=0,0,SUMIF('Raw Data'!$A$3:$A$2927, $A33,'Raw Data'!Q$3:Q$2927) / COUNTIF('Raw Data'!$A$3:$A$2927,$A33))</f>
        <v>0</v>
      </c>
      <c r="U33">
        <f>IF( COUNTIF('Raw Data'!$A$3:$A$2927,$A33)=0,0,SUMIF('Raw Data'!$A$3:$A$2927, $A33,'Raw Data'!R$3:R$2927) / COUNTIF('Raw Data'!$A$3:$A$2927,$A33))</f>
        <v>0</v>
      </c>
      <c r="V33">
        <f>IF( COUNTIF('Raw Data'!$A$3:$A$2927,$A33)=0,0,SUMIF('Raw Data'!$A$3:$A$2927, $A33,'Raw Data'!S$3:S$2927) / COUNTIF('Raw Data'!$A$3:$A$2927,$A33))</f>
        <v>0</v>
      </c>
      <c r="W33">
        <f>MAX(IF('Raw Data'!$A$3:$A$927=$A33, 'Raw Data'!$Y$3:$Y$927))</f>
        <v>0</v>
      </c>
      <c r="X33">
        <f>IF( COUNTIF('Raw Data'!$A$3:$A$2927,$A33)=0,0,SUMIF('Raw Data'!$A$3:$A$2927, $A33,'Raw Data'!U$3:U$2927) / COUNTIF('Raw Data'!$A$3:$A$2927,$A33))</f>
        <v>3.4</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11.5</v>
      </c>
      <c r="AC33">
        <f>IF( COUNTIF('Raw Data'!$A$3:$A$2927,$A33)=0,0,SUMIF('Raw Data'!$A$3:$A$2927, $A33,'Raw Data'!AB$3:AB$2927) / COUNTIF('Raw Data'!$A$3:$A$2927,$A33))</f>
        <v>0</v>
      </c>
      <c r="AD33">
        <f>IF( COUNTIF('Raw Data'!$A$3:$A$2927,$A33)=0,0,SUMIF('Raw Data'!$A$3:$A$2927, $A33,'Raw Data'!AC$3:AC$2927) / COUNTIF('Raw Data'!$A$3:$A$2927,$A33))</f>
        <v>0.8</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1.3</v>
      </c>
      <c r="AI33">
        <f>IF( COUNTIF('Raw Data'!$A$3:$A$2927,$A33)=0,0,SUMIF('Raw Data'!$A$3:$A$2927, $A33,'Raw Data'!AH$3:AH$2927) / COUNTIF('Raw Data'!$A$3:$A$2927,$A33))</f>
        <v>0.3</v>
      </c>
      <c r="AJ33" s="116">
        <f>COUNTIF('Raw Data'!A$3:A$2927, $A33)</f>
        <v>10</v>
      </c>
      <c r="AK33">
        <f t="shared" si="2"/>
        <v>1.4600000000000004</v>
      </c>
      <c r="AL33">
        <f t="shared" si="3"/>
        <v>-1.45</v>
      </c>
      <c r="AM33">
        <f t="shared" si="4"/>
        <v>3.0960000000000001</v>
      </c>
      <c r="AU33">
        <v>2708</v>
      </c>
      <c r="AV33">
        <v>11</v>
      </c>
      <c r="AX33">
        <v>4525</v>
      </c>
      <c r="AY33">
        <v>37</v>
      </c>
    </row>
    <row r="34" spans="1:51" ht="15.75" thickBot="1">
      <c r="A34">
        <v>5039</v>
      </c>
      <c r="B34" t="s">
        <v>361</v>
      </c>
      <c r="C34">
        <f t="shared" si="0"/>
        <v>0</v>
      </c>
      <c r="D34">
        <f t="shared" si="1"/>
        <v>0</v>
      </c>
      <c r="E34">
        <f>IF( COUNTIF('Raw Data'!$A$3:$A$2927,$A34)=0,0,SUMIF('Raw Data'!$A$3:$A$2927, $A34,'Raw Data'!D$3:D$2927) / COUNTIF('Raw Data'!$A$3:$A$2927,$A34))</f>
        <v>0</v>
      </c>
      <c r="F34">
        <f>MAX(IF('Raw Data'!$A$3:$A$927=$A34, 'Raw Data'!$O$3:$O$927))</f>
        <v>0</v>
      </c>
      <c r="G34">
        <f>MAX(IF('Raw Data'!$A$3:$A$927=$A34, 'Raw Data'!$I$3:$I$927))</f>
        <v>0</v>
      </c>
      <c r="H34">
        <f>IF( COUNTIF('Raw Data'!$A$3:$A$2927,$A34)=0,0,SUMIF('Raw Data'!$A$3:$A$2927, $A34,'Raw Data'!E$3:E$2927) / COUNTIF('Raw Data'!$A$3:$A$2927,$A34))</f>
        <v>0</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MAX(IF('Raw Data'!$A$3:$A$927=$A34, 'Raw Data'!$Z$3:$Z$927))</f>
        <v>0</v>
      </c>
      <c r="R34">
        <f>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0</v>
      </c>
      <c r="AC34">
        <f>IF( COUNTIF('Raw Data'!$A$3:$A$2927,$A34)=0,0,SUMIF('Raw Data'!$A$3:$A$2927, $A34,'Raw Data'!AB$3:AB$2927) / COUNTIF('Raw Data'!$A$3:$A$2927,$A34))</f>
        <v>0</v>
      </c>
      <c r="AD34">
        <f>IF( COUNTIF('Raw Data'!$A$3:$A$2927,$A34)=0,0,SUMIF('Raw Data'!$A$3:$A$2927, $A34,'Raw Data'!AC$3:AC$2927) / COUNTIF('Raw Data'!$A$3:$A$2927,$A34))</f>
        <v>0</v>
      </c>
      <c r="AE34" s="117">
        <f>IF( COUNTIF('Raw Data'!$A$3:$A$2927,$A34)=0,0,SUMIF('Raw Data'!$A$3:$A$2927, $A34,'Raw Data'!AD$3:AD$2927) / COUNTIF('Raw Data'!$A$3:$A$2927,$A34))</f>
        <v>0</v>
      </c>
      <c r="AF34">
        <f>IF( COUNTIF('Raw Data'!$A$3:$A$2927,$A34)=0,0,SUMIF('Raw Data'!$A$3:$A$2927, $A34,'Raw Data'!AE$3:AE$2927) / COUNTIF('Raw Data'!$A$3:$A$2927,$A34))</f>
        <v>0</v>
      </c>
      <c r="AG34">
        <f>IF( COUNTIF('Raw Data'!$A$3:$A$2927,$A34)=0,0,SUMIF('Raw Data'!$A$3:$A$2927, $A34,'Raw Data'!AF$3:AF$2927) / COUNTIF('Raw Data'!$A$3:$A$2927,$A34))</f>
        <v>0</v>
      </c>
      <c r="AH34">
        <f>IF( COUNTIF('Raw Data'!$A$3:$A$2927,$A34)=0,0,SUMIF('Raw Data'!$A$3:$A$2927, $A34,'Raw Data'!AG$3:AG$2927) / COUNTIF('Raw Data'!$A$3:$A$2927,$A34))</f>
        <v>0</v>
      </c>
      <c r="AI34">
        <f>IF( COUNTIF('Raw Data'!$A$3:$A$2927,$A34)=0,0,SUMIF('Raw Data'!$A$3:$A$2927, $A34,'Raw Data'!AH$3:AH$2927) / COUNTIF('Raw Data'!$A$3:$A$2927,$A34))</f>
        <v>0</v>
      </c>
      <c r="AJ34" s="116">
        <f>COUNTIF('Raw Data'!A$3:A$2927, $A34)</f>
        <v>0</v>
      </c>
      <c r="AK34">
        <f t="shared" si="2"/>
        <v>-21</v>
      </c>
      <c r="AL34">
        <f t="shared" si="3"/>
        <v>-1.5</v>
      </c>
      <c r="AM34">
        <f t="shared" si="4"/>
        <v>-1</v>
      </c>
      <c r="AU34">
        <v>2200</v>
      </c>
      <c r="AV34">
        <v>12</v>
      </c>
      <c r="AX34">
        <v>2852</v>
      </c>
      <c r="AY34">
        <v>38</v>
      </c>
    </row>
    <row r="35" spans="1:51" ht="15.75" thickBot="1">
      <c r="A35">
        <v>5076</v>
      </c>
      <c r="B35" t="s">
        <v>372</v>
      </c>
      <c r="C35">
        <f t="shared" ref="C35:C66" si="5">PRODUCT($E35,3)+PRODUCT(SUM($H35:$K35),2)+PRODUCT(SUM($M35:$P35),3)+PRODUCT(SUM($S35:$V35),2)+PRODUCT(SUM($X35:$AA35), 3)+IF($AC35 &gt; 2, PRODUCT(SUM($AC35, -1),6), PRODUCT($AC35,3)) + IF($AD35 &gt; 2, PRODUCT(SUM($AD35, -1),6), PRODUCT($AD35,3)) + PRODUCT($AH35, -1)</f>
        <v>0</v>
      </c>
      <c r="D35">
        <f t="shared" ref="D35:D66" si="6">PRODUCT(SUM($H35:$I35), 2) + PRODUCT(SUM($M35:$N35),3) + PRODUCT(SUM($S35:$T35), 2) + PRODUCT(SUM($X35:$Y35), 3)</f>
        <v>0</v>
      </c>
      <c r="E35">
        <f>IF( COUNTIF('Raw Data'!$A$3:$A$2927,$A35)=0,0,SUMIF('Raw Data'!$A$3:$A$2927, $A35,'Raw Data'!D$3:D$2927) / COUNTIF('Raw Data'!$A$3:$A$2927,$A35))</f>
        <v>0</v>
      </c>
      <c r="F35">
        <f>MAX(IF('Raw Data'!$A$3:$A$927=$A35, 'Raw Data'!$O$3:$O$927))</f>
        <v>0</v>
      </c>
      <c r="G35">
        <f>MAX(IF('Raw Data'!$A$3:$A$927=$A35, 'Raw Data'!$I$3:$I$927))</f>
        <v>0</v>
      </c>
      <c r="H35">
        <f>IF( COUNTIF('Raw Data'!$A$3:$A$2927,$A35)=0,0,SUMIF('Raw Data'!$A$3:$A$2927, $A35,'Raw Data'!E$3:E$2927) / COUNTIF('Raw Data'!$A$3:$A$2927,$A35))</f>
        <v>0</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MAX(IF('Raw Data'!$A$3:$A$927=$A35, 'Raw Data'!$Z$3:$Z$927))</f>
        <v>0</v>
      </c>
      <c r="R35">
        <f>MAX(IF('Raw Data'!$A$3:$A$927=$A35, 'Raw Data'!$T$3:$T$927))</f>
        <v>0</v>
      </c>
      <c r="S35">
        <f>IF( COUNTIF('Raw Data'!$A$3:$A$2927,$A35)=0,0,SUMIF('Raw Data'!$A$3:$A$2927, $A35,'Raw Data'!P$3:P$2927) / COUNTIF('Raw Data'!$A$3:$A$2927,$A35))</f>
        <v>0</v>
      </c>
      <c r="T35">
        <f>IF( COUNTIF('Raw Data'!$A$3:$A$2927,$A35)=0,0,SUMIF('Raw Data'!$A$3:$A$2927, $A35,'Raw Data'!Q$3:Q$2927) / COUNTIF('Raw Data'!$A$3:$A$2927,$A35))</f>
        <v>0</v>
      </c>
      <c r="U35">
        <f>IF( COUNTIF('Raw Data'!$A$3:$A$2927,$A35)=0,0,SUMIF('Raw Data'!$A$3:$A$2927, $A35,'Raw Data'!R$3:R$2927) / COUNTIF('Raw Data'!$A$3:$A$2927,$A35))</f>
        <v>0</v>
      </c>
      <c r="V35">
        <f>IF( COUNTIF('Raw Data'!$A$3:$A$2927,$A35)=0,0,SUMIF('Raw Data'!$A$3:$A$2927, $A35,'Raw Data'!S$3:S$2927) / COUNTIF('Raw Data'!$A$3:$A$2927,$A35))</f>
        <v>0</v>
      </c>
      <c r="W35">
        <f>MAX(IF('Raw Data'!$A$3:$A$927=$A35, 'Raw Data'!$Y$3:$Y$927))</f>
        <v>0</v>
      </c>
      <c r="X35">
        <f>IF( COUNTIF('Raw Data'!$A$3:$A$2927,$A35)=0,0,SUMIF('Raw Data'!$A$3:$A$2927, $A35,'Raw Data'!U$3:U$2927) / COUNTIF('Raw Data'!$A$3:$A$2927,$A35))</f>
        <v>0</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v>
      </c>
      <c r="AB35">
        <f>IF( COUNTIF('Raw Data'!$A$3:$A$2927,$A35)=0,0,SUMIF('Raw Data'!$A$3:$A$2927, $A35,'Raw Data'!AA$3:AA$2927) / COUNTIF('Raw Data'!$A$3:$A$2927,$A35))</f>
        <v>0</v>
      </c>
      <c r="AC35">
        <f>IF( COUNTIF('Raw Data'!$A$3:$A$2927,$A35)=0,0,SUMIF('Raw Data'!$A$3:$A$2927, $A35,'Raw Data'!AB$3:AB$2927) / COUNTIF('Raw Data'!$A$3:$A$2927,$A35))</f>
        <v>0</v>
      </c>
      <c r="AD35">
        <f>IF( COUNTIF('Raw Data'!$A$3:$A$2927,$A35)=0,0,SUMIF('Raw Data'!$A$3:$A$2927, $A35,'Raw Data'!AC$3:AC$2927) / COUNTIF('Raw Data'!$A$3:$A$2927,$A35))</f>
        <v>0</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0</v>
      </c>
      <c r="AI35">
        <f>IF( COUNTIF('Raw Data'!$A$3:$A$2927,$A35)=0,0,SUMIF('Raw Data'!$A$3:$A$2927, $A35,'Raw Data'!AH$3:AH$2927) / COUNTIF('Raw Data'!$A$3:$A$2927,$A35))</f>
        <v>0</v>
      </c>
      <c r="AJ35" s="116">
        <f>COUNTIF('Raw Data'!A$3:A$2927, $A35)</f>
        <v>0</v>
      </c>
      <c r="AK35">
        <f t="shared" ref="AK35:AK66" si="7">IFERROR(SUM(IF($E35 &gt;autoThreshold, auto), hatch * SUM($H35:$K35), cargo * SUM($M35:$P35),hatch * SUM( $S35:$V35), cargo * SUM($X35:$AA35), rocket23 * SUM($J35:$K35, $O35:$P35, $U35:$V35, $Z35:$AA35), IF($AD35 &gt; climbThreshold, climb), IF($AC35 &gt; assistThreshold, $AC35 * assist), $AH35 * penalty, dropHatch * $AI35, tippedBroke * SUM($AE35:$AF35),  IF( $E35 &lt; noAutoThreshold, noAuto), IF($C35 &lt; doesNothingThreshold, doesNothing, IF($AD35 &gt;1.45, 2) )), "h")</f>
        <v>-21</v>
      </c>
      <c r="AL35">
        <f t="shared" ref="AL35:AL66" si="8">SUM(hHatch * SUM($H35:$K35), hHatch * SUM($S35:$V35), hRocket23 * SUM($J35:$K35), hRocket23 * SUM($U35:$V35), hSandstorm * SUM($H35:$K35), hPenalty * $AH35, hDropHatch * $AI35,hTippedBroke * SUM($AE35:$AF35), IF($E35 &lt; hNoAutoThreshold, hNoAuto), IF($AG35 &gt; hFloorHatchThreshold, hFloorHatch))</f>
        <v>-1.5</v>
      </c>
      <c r="AM35">
        <f t="shared" ref="AM35:AM66" si="9">SUM(cCargo * SUM($M35:$P35), cCargo *SUM( $X35:$AA35), cRocket23 * SUM($O35:$P35, $Z35:$AA35),cSandstorm * SUM($M35:$P35), cPenalty * $AH35, cTippedBroke * SUM($AE35:$AF35), IF($E35 &lt; cNoAutoThreshold, cNoAuto, 0))</f>
        <v>-1</v>
      </c>
      <c r="AU35">
        <v>4476</v>
      </c>
      <c r="AV35">
        <v>18</v>
      </c>
      <c r="AX35">
        <v>7267</v>
      </c>
      <c r="AY35">
        <v>42</v>
      </c>
    </row>
    <row r="36" spans="1:51" ht="15.75" thickBot="1">
      <c r="A36">
        <v>5406</v>
      </c>
      <c r="B36" t="s">
        <v>362</v>
      </c>
      <c r="C36">
        <f t="shared" si="5"/>
        <v>0</v>
      </c>
      <c r="D36">
        <f t="shared" si="6"/>
        <v>0</v>
      </c>
      <c r="E36">
        <f>IF( COUNTIF('Raw Data'!$A$3:$A$2927,$A36)=0,0,SUMIF('Raw Data'!$A$3:$A$2927, $A36,'Raw Data'!D$3:D$2927) / COUNTIF('Raw Data'!$A$3:$A$2927,$A36))</f>
        <v>0</v>
      </c>
      <c r="F36">
        <f>MAX(IF('Raw Data'!$A$3:$A$927=$A36, 'Raw Data'!$O$3:$O$927))</f>
        <v>0</v>
      </c>
      <c r="G36">
        <f>MAX(IF('Raw Data'!$A$3:$A$927=$A36, 'Raw Data'!$I$3:$I$927))</f>
        <v>0</v>
      </c>
      <c r="H36">
        <f>IF( COUNTIF('Raw Data'!$A$3:$A$2927,$A36)=0,0,SUMIF('Raw Data'!$A$3:$A$2927, $A36,'Raw Data'!E$3:E$2927) / COUNTIF('Raw Data'!$A$3:$A$2927,$A36))</f>
        <v>0</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MAX(IF('Raw Data'!$A$3:$A$927=$A36, 'Raw Data'!$N$3:$N$927))</f>
        <v>0</v>
      </c>
      <c r="M36">
        <f>IF( COUNTIF('Raw Data'!$A$3:$A$2927,$A36)=0,0,SUMIF('Raw Data'!$A$3:$A$2927, $A36,'Raw Data'!J$3:J$2927) / COUNTIF('Raw Data'!$A$3:$A$2927,$A36))</f>
        <v>0</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MAX(IF('Raw Data'!$A$3:$A$927=$A36, 'Raw Data'!$Z$3:$Z$927))</f>
        <v>0</v>
      </c>
      <c r="R36">
        <f>MAX(IF('Raw Data'!$A$3:$A$927=$A36, 'Raw Data'!$T$3:$T$927))</f>
        <v>0</v>
      </c>
      <c r="S36">
        <f>IF( COUNTIF('Raw Data'!$A$3:$A$2927,$A36)=0,0,SUMIF('Raw Data'!$A$3:$A$2927, $A36,'Raw Data'!P$3:P$2927) / COUNTIF('Raw Data'!$A$3:$A$2927,$A36))</f>
        <v>0</v>
      </c>
      <c r="T36">
        <f>IF( COUNTIF('Raw Data'!$A$3:$A$2927,$A36)=0,0,SUMIF('Raw Data'!$A$3:$A$2927, $A36,'Raw Data'!Q$3:Q$2927) / COUNTIF('Raw Data'!$A$3:$A$2927,$A36))</f>
        <v>0</v>
      </c>
      <c r="U36">
        <f>IF( COUNTIF('Raw Data'!$A$3:$A$2927,$A36)=0,0,SUMIF('Raw Data'!$A$3:$A$2927, $A36,'Raw Data'!R$3:R$2927) / COUNTIF('Raw Data'!$A$3:$A$2927,$A36))</f>
        <v>0</v>
      </c>
      <c r="V36">
        <f>IF( COUNTIF('Raw Data'!$A$3:$A$2927,$A36)=0,0,SUMIF('Raw Data'!$A$3:$A$2927, $A36,'Raw Data'!S$3:S$2927) / COUNTIF('Raw Data'!$A$3:$A$2927,$A36))</f>
        <v>0</v>
      </c>
      <c r="W36">
        <f>MAX(IF('Raw Data'!$A$3:$A$927=$A36, 'Raw Data'!$Y$3:$Y$927))</f>
        <v>0</v>
      </c>
      <c r="X36">
        <f>IF( COUNTIF('Raw Data'!$A$3:$A$2927,$A36)=0,0,SUMIF('Raw Data'!$A$3:$A$2927, $A36,'Raw Data'!U$3:U$2927) / COUNTIF('Raw Data'!$A$3:$A$2927,$A36))</f>
        <v>0</v>
      </c>
      <c r="Y36">
        <f>IF( COUNTIF('Raw Data'!$A$3:$A$2927,$A36)=0,0,SUMIF('Raw Data'!$A$3:$A$2927, $A36,'Raw Data'!V$3:V$2927) / COUNTIF('Raw Data'!$A$3:$A$2927,$A36))</f>
        <v>0</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0</v>
      </c>
      <c r="AC36">
        <f>IF( COUNTIF('Raw Data'!$A$3:$A$2927,$A36)=0,0,SUMIF('Raw Data'!$A$3:$A$2927, $A36,'Raw Data'!AB$3:AB$2927) / COUNTIF('Raw Data'!$A$3:$A$2927,$A36))</f>
        <v>0</v>
      </c>
      <c r="AD36">
        <f>IF( COUNTIF('Raw Data'!$A$3:$A$2927,$A36)=0,0,SUMIF('Raw Data'!$A$3:$A$2927, $A36,'Raw Data'!AC$3:AC$2927) / COUNTIF('Raw Data'!$A$3:$A$2927,$A36))</f>
        <v>0</v>
      </c>
      <c r="AE36" s="117">
        <f>IF( COUNTIF('Raw Data'!$A$3:$A$2927,$A36)=0,0,SUMIF('Raw Data'!$A$3:$A$2927, $A36,'Raw Data'!AD$3:AD$2927) / COUNTIF('Raw Data'!$A$3:$A$2927,$A36))</f>
        <v>0</v>
      </c>
      <c r="AF36">
        <f>IF( COUNTIF('Raw Data'!$A$3:$A$2927,$A36)=0,0,SUMIF('Raw Data'!$A$3:$A$2927, $A36,'Raw Data'!AE$3:AE$2927) / COUNTIF('Raw Data'!$A$3:$A$2927,$A36))</f>
        <v>0</v>
      </c>
      <c r="AG36">
        <f>IF( COUNTIF('Raw Data'!$A$3:$A$2927,$A36)=0,0,SUMIF('Raw Data'!$A$3:$A$2927, $A36,'Raw Data'!AF$3:AF$2927) / COUNTIF('Raw Data'!$A$3:$A$2927,$A36))</f>
        <v>0</v>
      </c>
      <c r="AH36">
        <f>IF( COUNTIF('Raw Data'!$A$3:$A$2927,$A36)=0,0,SUMIF('Raw Data'!$A$3:$A$2927, $A36,'Raw Data'!AG$3:AG$2927) / COUNTIF('Raw Data'!$A$3:$A$2927,$A36))</f>
        <v>0</v>
      </c>
      <c r="AI36">
        <f>IF( COUNTIF('Raw Data'!$A$3:$A$2927,$A36)=0,0,SUMIF('Raw Data'!$A$3:$A$2927, $A36,'Raw Data'!AH$3:AH$2927) / COUNTIF('Raw Data'!$A$3:$A$2927,$A36))</f>
        <v>0</v>
      </c>
      <c r="AJ36" s="116">
        <f>COUNTIF('Raw Data'!A$3:A$2927, $A36)</f>
        <v>0</v>
      </c>
      <c r="AK36">
        <f t="shared" si="7"/>
        <v>-21</v>
      </c>
      <c r="AL36">
        <f t="shared" si="8"/>
        <v>-1.5</v>
      </c>
      <c r="AM36">
        <f t="shared" si="9"/>
        <v>-1</v>
      </c>
      <c r="AU36">
        <v>4946</v>
      </c>
      <c r="AV36">
        <v>23</v>
      </c>
      <c r="AX36">
        <v>6070</v>
      </c>
      <c r="AY36">
        <v>43</v>
      </c>
    </row>
    <row r="37" spans="1:51" ht="15.75" thickBot="1">
      <c r="A37">
        <v>5409</v>
      </c>
      <c r="B37" t="s">
        <v>217</v>
      </c>
      <c r="C37">
        <f t="shared" si="5"/>
        <v>13.222222222222221</v>
      </c>
      <c r="D37">
        <f t="shared" si="6"/>
        <v>7</v>
      </c>
      <c r="E37">
        <f>IF( COUNTIF('Raw Data'!$A$3:$A$2927,$A37)=0,0,SUMIF('Raw Data'!$A$3:$A$2927, $A37,'Raw Data'!D$3:D$2927) / COUNTIF('Raw Data'!$A$3:$A$2927,$A37))</f>
        <v>1.4444444444444444</v>
      </c>
      <c r="F37">
        <f>MAX(IF('Raw Data'!$A$3:$A$927=$A37, 'Raw Data'!$O$3:$O$927))</f>
        <v>0</v>
      </c>
      <c r="G37">
        <f>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MAX(IF('Raw Data'!$A$3:$A$927=$A37, 'Raw Data'!$N$3:$N$927))</f>
        <v>0</v>
      </c>
      <c r="M37">
        <f>IF( COUNTIF('Raw Data'!$A$3:$A$2927,$A37)=0,0,SUMIF('Raw Data'!$A$3:$A$2927, $A37,'Raw Data'!J$3:J$2927) / COUNTIF('Raw Data'!$A$3:$A$2927,$A37))</f>
        <v>0</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MAX(IF('Raw Data'!$A$3:$A$927=$A37, 'Raw Data'!$Z$3:$Z$927))</f>
        <v>0</v>
      </c>
      <c r="R37">
        <f>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MAX(IF('Raw Data'!$A$3:$A$927=$A37, 'Raw Data'!$Y$3:$Y$927))</f>
        <v>0</v>
      </c>
      <c r="X37">
        <f>IF( COUNTIF('Raw Data'!$A$3:$A$2927,$A37)=0,0,SUMIF('Raw Data'!$A$3:$A$2927, $A37,'Raw Data'!U$3:U$2927) / COUNTIF('Raw Data'!$A$3:$A$2927,$A37))</f>
        <v>2.3333333333333335</v>
      </c>
      <c r="Y37">
        <f>IF( COUNTIF('Raw Data'!$A$3:$A$2927,$A37)=0,0,SUMIF('Raw Data'!$A$3:$A$2927, $A37,'Raw Data'!V$3:V$2927) / COUNTIF('Raw Data'!$A$3:$A$2927,$A37))</f>
        <v>0</v>
      </c>
      <c r="Z37">
        <f>IF( COUNTIF('Raw Data'!$A$3:$A$2927,$A37)=0,0,SUMIF('Raw Data'!$A$3:$A$2927, $A37,'Raw Data'!W$3:W$2927) / COUNTIF('Raw Data'!$A$3:$A$2927,$A37))</f>
        <v>0.22222222222222221</v>
      </c>
      <c r="AA37">
        <f>IF( COUNTIF('Raw Data'!$A$3:$A$2927,$A37)=0,0,SUMIF('Raw Data'!$A$3:$A$2927, $A37,'Raw Data'!X$3:X$2927) / COUNTIF('Raw Data'!$A$3:$A$2927,$A37))</f>
        <v>0.1111111111111111</v>
      </c>
      <c r="AB37">
        <f>IF( COUNTIF('Raw Data'!$A$3:$A$2927,$A37)=0,0,SUMIF('Raw Data'!$A$3:$A$2927, $A37,'Raw Data'!AA$3:AA$2927) / COUNTIF('Raw Data'!$A$3:$A$2927,$A37))</f>
        <v>4.2222222222222223</v>
      </c>
      <c r="AC37">
        <f>IF( COUNTIF('Raw Data'!$A$3:$A$2927,$A37)=0,0,SUMIF('Raw Data'!$A$3:$A$2927, $A37,'Raw Data'!AB$3:AB$2927) / COUNTIF('Raw Data'!$A$3:$A$2927,$A37))</f>
        <v>0</v>
      </c>
      <c r="AD37">
        <f>IF( COUNTIF('Raw Data'!$A$3:$A$2927,$A37)=0,0,SUMIF('Raw Data'!$A$3:$A$2927, $A37,'Raw Data'!AC$3:AC$2927) / COUNTIF('Raw Data'!$A$3:$A$2927,$A37))</f>
        <v>0.77777777777777779</v>
      </c>
      <c r="AE37" s="117">
        <f>IF( COUNTIF('Raw Data'!$A$3:$A$2927,$A37)=0,0,SUMIF('Raw Data'!$A$3:$A$2927, $A37,'Raw Data'!AD$3:AD$2927) / COUNTIF('Raw Data'!$A$3:$A$2927,$A37))</f>
        <v>0</v>
      </c>
      <c r="AF37">
        <f>IF( COUNTIF('Raw Data'!$A$3:$A$2927,$A37)=0,0,SUMIF('Raw Data'!$A$3:$A$2927, $A37,'Raw Data'!AE$3:AE$2927) / COUNTIF('Raw Data'!$A$3:$A$2927,$A37))</f>
        <v>0.1111111111111111</v>
      </c>
      <c r="AG37">
        <f>IF( COUNTIF('Raw Data'!$A$3:$A$2927,$A37)=0,0,SUMIF('Raw Data'!$A$3:$A$2927, $A37,'Raw Data'!AF$3:AF$2927) / COUNTIF('Raw Data'!$A$3:$A$2927,$A37))</f>
        <v>0</v>
      </c>
      <c r="AH37">
        <f>IF( COUNTIF('Raw Data'!$A$3:$A$2927,$A37)=0,0,SUMIF('Raw Data'!$A$3:$A$2927, $A37,'Raw Data'!AG$3:AG$2927) / COUNTIF('Raw Data'!$A$3:$A$2927,$A37))</f>
        <v>1.4444444444444444</v>
      </c>
      <c r="AI37">
        <f>IF( COUNTIF('Raw Data'!$A$3:$A$2927,$A37)=0,0,SUMIF('Raw Data'!$A$3:$A$2927, $A37,'Raw Data'!AH$3:AH$2927) / COUNTIF('Raw Data'!$A$3:$A$2927,$A37))</f>
        <v>0</v>
      </c>
      <c r="AJ37" s="116">
        <f>COUNTIF('Raw Data'!A$3:A$2927, $A37)</f>
        <v>9</v>
      </c>
      <c r="AK37">
        <f t="shared" si="7"/>
        <v>0.98222222222222266</v>
      </c>
      <c r="AL37">
        <f t="shared" si="8"/>
        <v>-0.94444444444444442</v>
      </c>
      <c r="AM37">
        <f t="shared" si="9"/>
        <v>2.1344444444444446</v>
      </c>
      <c r="AU37">
        <v>188</v>
      </c>
      <c r="AV37">
        <v>24</v>
      </c>
      <c r="AX37">
        <v>5885</v>
      </c>
      <c r="AY37">
        <v>45</v>
      </c>
    </row>
    <row r="38" spans="1:51" ht="15.75" thickBot="1">
      <c r="A38">
        <v>5426</v>
      </c>
      <c r="B38" t="s">
        <v>218</v>
      </c>
      <c r="C38">
        <f t="shared" si="5"/>
        <v>9.9999999999999982</v>
      </c>
      <c r="D38">
        <f t="shared" si="6"/>
        <v>3.4</v>
      </c>
      <c r="E38">
        <f>IF( COUNTIF('Raw Data'!$A$3:$A$2927,$A38)=0,0,SUMIF('Raw Data'!$A$3:$A$2927, $A38,'Raw Data'!D$3:D$2927) / COUNTIF('Raw Data'!$A$3:$A$2927,$A38))</f>
        <v>1.8</v>
      </c>
      <c r="F38">
        <f>MAX(IF('Raw Data'!$A$3:$A$927=$A38, 'Raw Data'!$O$3:$O$927))</f>
        <v>0</v>
      </c>
      <c r="G38">
        <f>MAX(IF('Raw Data'!$A$3:$A$927=$A38, 'Raw Data'!$I$3:$I$927))</f>
        <v>0</v>
      </c>
      <c r="H38">
        <f>IF( COUNTIF('Raw Data'!$A$3:$A$2927,$A38)=0,0,SUMIF('Raw Data'!$A$3:$A$2927, $A38,'Raw Data'!E$3:E$2927) / COUNTIF('Raw Data'!$A$3:$A$2927,$A38))</f>
        <v>0</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v>
      </c>
      <c r="L38">
        <f>MAX(IF('Raw Data'!$A$3:$A$927=$A38, 'Raw Data'!$N$3:$N$927))</f>
        <v>0</v>
      </c>
      <c r="M38">
        <f>IF( COUNTIF('Raw Data'!$A$3:$A$2927,$A38)=0,0,SUMIF('Raw Data'!$A$3:$A$2927, $A38,'Raw Data'!J$3:J$2927) / COUNTIF('Raw Data'!$A$3:$A$2927,$A38))</f>
        <v>0</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MAX(IF('Raw Data'!$A$3:$A$927=$A38, 'Raw Data'!$Z$3:$Z$927))</f>
        <v>0</v>
      </c>
      <c r="R38">
        <f>MAX(IF('Raw Data'!$A$3:$A$927=$A38, 'Raw Data'!$T$3:$T$927))</f>
        <v>0</v>
      </c>
      <c r="S38">
        <f>IF( COUNTIF('Raw Data'!$A$3:$A$2927,$A38)=0,0,SUMIF('Raw Data'!$A$3:$A$2927, $A38,'Raw Data'!P$3:P$2927) / COUNTIF('Raw Data'!$A$3:$A$2927,$A38))</f>
        <v>0.2</v>
      </c>
      <c r="T38">
        <f>IF( COUNTIF('Raw Data'!$A$3:$A$2927,$A38)=0,0,SUMIF('Raw Data'!$A$3:$A$2927, $A38,'Raw Data'!Q$3:Q$2927) / COUNTIF('Raw Data'!$A$3:$A$2927,$A38))</f>
        <v>1.2</v>
      </c>
      <c r="U38">
        <f>IF( COUNTIF('Raw Data'!$A$3:$A$2927,$A38)=0,0,SUMIF('Raw Data'!$A$3:$A$2927, $A38,'Raw Data'!R$3:R$2927) / COUNTIF('Raw Data'!$A$3:$A$2927,$A38))</f>
        <v>0</v>
      </c>
      <c r="V38">
        <f>IF( COUNTIF('Raw Data'!$A$3:$A$2927,$A38)=0,0,SUMIF('Raw Data'!$A$3:$A$2927, $A38,'Raw Data'!S$3:S$2927) / COUNTIF('Raw Data'!$A$3:$A$2927,$A38))</f>
        <v>0</v>
      </c>
      <c r="W38">
        <f>MAX(IF('Raw Data'!$A$3:$A$927=$A38, 'Raw Data'!$Y$3:$Y$927))</f>
        <v>0</v>
      </c>
      <c r="X38">
        <f>IF( COUNTIF('Raw Data'!$A$3:$A$2927,$A38)=0,0,SUMIF('Raw Data'!$A$3:$A$2927, $A38,'Raw Data'!U$3:U$2927) / COUNTIF('Raw Data'!$A$3:$A$2927,$A38))</f>
        <v>0</v>
      </c>
      <c r="Y38">
        <f>IF( COUNTIF('Raw Data'!$A$3:$A$2927,$A38)=0,0,SUMIF('Raw Data'!$A$3:$A$2927, $A38,'Raw Data'!V$3:V$2927) / COUNTIF('Raw Data'!$A$3:$A$2927,$A38))</f>
        <v>0.2</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15.5</v>
      </c>
      <c r="AC38">
        <f>IF( COUNTIF('Raw Data'!$A$3:$A$2927,$A38)=0,0,SUMIF('Raw Data'!$A$3:$A$2927, $A38,'Raw Data'!AB$3:AB$2927) / COUNTIF('Raw Data'!$A$3:$A$2927,$A38))</f>
        <v>0</v>
      </c>
      <c r="AD38">
        <f>IF( COUNTIF('Raw Data'!$A$3:$A$2927,$A38)=0,0,SUMIF('Raw Data'!$A$3:$A$2927, $A38,'Raw Data'!AC$3:AC$2927) / COUNTIF('Raw Data'!$A$3:$A$2927,$A38))</f>
        <v>0.7</v>
      </c>
      <c r="AE38" s="117">
        <f>IF( COUNTIF('Raw Data'!$A$3:$A$2927,$A38)=0,0,SUMIF('Raw Data'!$A$3:$A$2927, $A38,'Raw Data'!AD$3:AD$2927) / COUNTIF('Raw Data'!$A$3:$A$2927,$A38))</f>
        <v>0</v>
      </c>
      <c r="AF38">
        <f>IF( COUNTIF('Raw Data'!$A$3:$A$2927,$A38)=0,0,SUMIF('Raw Data'!$A$3:$A$2927, $A38,'Raw Data'!AE$3:AE$2927) / COUNTIF('Raw Data'!$A$3:$A$2927,$A38))</f>
        <v>0.1</v>
      </c>
      <c r="AG38">
        <f>IF( COUNTIF('Raw Data'!$A$3:$A$2927,$A38)=0,0,SUMIF('Raw Data'!$A$3:$A$2927, $A38,'Raw Data'!AF$3:AF$2927) / COUNTIF('Raw Data'!$A$3:$A$2927,$A38))</f>
        <v>0</v>
      </c>
      <c r="AH38">
        <f>IF( COUNTIF('Raw Data'!$A$3:$A$2927,$A38)=0,0,SUMIF('Raw Data'!$A$3:$A$2927, $A38,'Raw Data'!AG$3:AG$2927) / COUNTIF('Raw Data'!$A$3:$A$2927,$A38))</f>
        <v>0.9</v>
      </c>
      <c r="AI38">
        <f>IF( COUNTIF('Raw Data'!$A$3:$A$2927,$A38)=0,0,SUMIF('Raw Data'!$A$3:$A$2927, $A38,'Raw Data'!AH$3:AH$2927) / COUNTIF('Raw Data'!$A$3:$A$2927,$A38))</f>
        <v>0.3</v>
      </c>
      <c r="AJ38" s="116">
        <f>COUNTIF('Raw Data'!A$3:A$2927, $A38)</f>
        <v>10</v>
      </c>
      <c r="AK38">
        <f t="shared" si="7"/>
        <v>1.2819999999999998</v>
      </c>
      <c r="AL38">
        <f t="shared" si="8"/>
        <v>-0.45</v>
      </c>
      <c r="AM38">
        <f t="shared" si="9"/>
        <v>-0.29700000000000004</v>
      </c>
      <c r="AU38">
        <v>5036</v>
      </c>
      <c r="AV38">
        <v>27</v>
      </c>
      <c r="AX38">
        <v>2386</v>
      </c>
      <c r="AY38">
        <v>49</v>
      </c>
    </row>
    <row r="39" spans="1:51" ht="15.75" thickBot="1">
      <c r="A39">
        <v>5719</v>
      </c>
      <c r="B39" t="s">
        <v>373</v>
      </c>
      <c r="C39">
        <f t="shared" si="5"/>
        <v>0</v>
      </c>
      <c r="D39">
        <f t="shared" si="6"/>
        <v>0</v>
      </c>
      <c r="E39">
        <f>IF( COUNTIF('Raw Data'!$A$3:$A$2927,$A39)=0,0,SUMIF('Raw Data'!$A$3:$A$2927, $A39,'Raw Data'!D$3:D$2927) / COUNTIF('Raw Data'!$A$3:$A$2927,$A39))</f>
        <v>0</v>
      </c>
      <c r="F39">
        <f>MAX(IF('Raw Data'!$A$3:$A$927=$A39, 'Raw Data'!$O$3:$O$927))</f>
        <v>0</v>
      </c>
      <c r="G39">
        <f>MAX(IF('Raw Data'!$A$3:$A$927=$A39, 'Raw Data'!$I$3:$I$927))</f>
        <v>0</v>
      </c>
      <c r="H39">
        <f>IF( COUNTIF('Raw Data'!$A$3:$A$2927,$A39)=0,0,SUMIF('Raw Data'!$A$3:$A$2927, $A39,'Raw Data'!E$3:E$2927) / COUNTIF('Raw Data'!$A$3:$A$2927,$A39))</f>
        <v>0</v>
      </c>
      <c r="I39">
        <f>IF( COUNTIF('Raw Data'!$A$3:$A$2927,$A39)=0,0,SUMIF('Raw Data'!$A$3:$A$2927, $A39,'Raw Data'!F$3:F$2927) / COUNTIF('Raw Data'!$A$3:$A$2927,$A39))</f>
        <v>0</v>
      </c>
      <c r="J39">
        <f>IF( COUNTIF('Raw Data'!$A$3:$A$2927,$A39)=0,0,SUMIF('Raw Data'!$A$3:$A$2927, $A39,'Raw Data'!G$3:G$2927) / COUNTIF('Raw Data'!$A$3:$A$2927,$A39))</f>
        <v>0</v>
      </c>
      <c r="K39">
        <f>IF( COUNTIF('Raw Data'!$A$3:$A$2927,$A39)=0,0,SUMIF('Raw Data'!$A$3:$A$2927, $A39,'Raw Data'!H$3:H$2927) / COUNTIF('Raw Data'!$A$3:$A$2927,$A39))</f>
        <v>0</v>
      </c>
      <c r="L39">
        <f>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MAX(IF('Raw Data'!$A$3:$A$927=$A39, 'Raw Data'!$Z$3:$Z$927))</f>
        <v>0</v>
      </c>
      <c r="R39">
        <f>MAX(IF('Raw Data'!$A$3:$A$927=$A39, 'Raw Data'!$T$3:$T$927))</f>
        <v>0</v>
      </c>
      <c r="S39">
        <f>IF( COUNTIF('Raw Data'!$A$3:$A$2927,$A39)=0,0,SUMIF('Raw Data'!$A$3:$A$2927, $A39,'Raw Data'!P$3:P$2927) / COUNTIF('Raw Data'!$A$3:$A$2927,$A39))</f>
        <v>0</v>
      </c>
      <c r="T39">
        <f>IF( COUNTIF('Raw Data'!$A$3:$A$2927,$A39)=0,0,SUMIF('Raw Data'!$A$3:$A$2927, $A39,'Raw Data'!Q$3:Q$2927) / COUNTIF('Raw Data'!$A$3:$A$2927,$A39))</f>
        <v>0</v>
      </c>
      <c r="U39">
        <f>IF( COUNTIF('Raw Data'!$A$3:$A$2927,$A39)=0,0,SUMIF('Raw Data'!$A$3:$A$2927, $A39,'Raw Data'!R$3:R$2927) / COUNTIF('Raw Data'!$A$3:$A$2927,$A39))</f>
        <v>0</v>
      </c>
      <c r="V39">
        <f>IF( COUNTIF('Raw Data'!$A$3:$A$2927,$A39)=0,0,SUMIF('Raw Data'!$A$3:$A$2927, $A39,'Raw Data'!S$3:S$2927) / COUNTIF('Raw Data'!$A$3:$A$2927,$A39))</f>
        <v>0</v>
      </c>
      <c r="W39">
        <f>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0</v>
      </c>
      <c r="AC39">
        <f>IF( COUNTIF('Raw Data'!$A$3:$A$2927,$A39)=0,0,SUMIF('Raw Data'!$A$3:$A$2927, $A39,'Raw Data'!AB$3:AB$2927) / COUNTIF('Raw Data'!$A$3:$A$2927,$A39))</f>
        <v>0</v>
      </c>
      <c r="AD39">
        <f>IF( COUNTIF('Raw Data'!$A$3:$A$2927,$A39)=0,0,SUMIF('Raw Data'!$A$3:$A$2927, $A39,'Raw Data'!AC$3:AC$2927) / COUNTIF('Raw Data'!$A$3:$A$2927,$A39))</f>
        <v>0</v>
      </c>
      <c r="AE39" s="117">
        <f>IF( COUNTIF('Raw Data'!$A$3:$A$2927,$A39)=0,0,SUMIF('Raw Data'!$A$3:$A$2927, $A39,'Raw Data'!AD$3:AD$2927) / COUNTIF('Raw Data'!$A$3:$A$2927,$A39))</f>
        <v>0</v>
      </c>
      <c r="AF39">
        <f>IF( COUNTIF('Raw Data'!$A$3:$A$2927,$A39)=0,0,SUMIF('Raw Data'!$A$3:$A$2927, $A39,'Raw Data'!AE$3:AE$2927) / COUNTIF('Raw Data'!$A$3:$A$2927,$A39))</f>
        <v>0</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0</v>
      </c>
      <c r="AJ39" s="116">
        <f>COUNTIF('Raw Data'!A$3:A$2927, $A39)</f>
        <v>0</v>
      </c>
      <c r="AK39">
        <f t="shared" si="7"/>
        <v>-21</v>
      </c>
      <c r="AL39">
        <f t="shared" si="8"/>
        <v>-1.5</v>
      </c>
      <c r="AM39">
        <f t="shared" si="9"/>
        <v>-1</v>
      </c>
      <c r="AX39">
        <v>4936</v>
      </c>
      <c r="AY39">
        <v>50</v>
      </c>
    </row>
    <row r="40" spans="1:51" ht="15.75" thickBot="1">
      <c r="A40">
        <v>5885</v>
      </c>
      <c r="B40" t="s">
        <v>219</v>
      </c>
      <c r="C40">
        <f t="shared" si="5"/>
        <v>23.666666666666664</v>
      </c>
      <c r="D40">
        <f t="shared" si="6"/>
        <v>8</v>
      </c>
      <c r="E40">
        <f>IF( COUNTIF('Raw Data'!$A$3:$A$2927,$A40)=0,0,SUMIF('Raw Data'!$A$3:$A$2927, $A40,'Raw Data'!D$3:D$2927) / COUNTIF('Raw Data'!$A$3:$A$2927,$A40))</f>
        <v>1.7777777777777777</v>
      </c>
      <c r="F40">
        <f>MAX(IF('Raw Data'!$A$3:$A$927=$A40, 'Raw Data'!$O$3:$O$927))</f>
        <v>0</v>
      </c>
      <c r="G40">
        <f>MAX(IF('Raw Data'!$A$3:$A$927=$A40, 'Raw Data'!$I$3:$I$927))</f>
        <v>0</v>
      </c>
      <c r="H40">
        <f>IF( COUNTIF('Raw Data'!$A$3:$A$2927,$A40)=0,0,SUMIF('Raw Data'!$A$3:$A$2927, $A40,'Raw Data'!E$3:E$2927) / COUNTIF('Raw Data'!$A$3:$A$2927,$A40))</f>
        <v>0.44444444444444442</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MAX(IF('Raw Data'!$A$3:$A$927=$A40, 'Raw Data'!$Z$3:$Z$927))</f>
        <v>0</v>
      </c>
      <c r="R40">
        <f>MAX(IF('Raw Data'!$A$3:$A$927=$A40, 'Raw Data'!$T$3:$T$927))</f>
        <v>0</v>
      </c>
      <c r="S40">
        <f>IF( COUNTIF('Raw Data'!$A$3:$A$2927,$A40)=0,0,SUMIF('Raw Data'!$A$3:$A$2927, $A40,'Raw Data'!P$3:P$2927) / COUNTIF('Raw Data'!$A$3:$A$2927,$A40))</f>
        <v>2.6666666666666665</v>
      </c>
      <c r="T40">
        <f>IF( COUNTIF('Raw Data'!$A$3:$A$2927,$A40)=0,0,SUMIF('Raw Data'!$A$3:$A$2927, $A40,'Raw Data'!Q$3:Q$2927) / COUNTIF('Raw Data'!$A$3:$A$2927,$A40))</f>
        <v>0.88888888888888884</v>
      </c>
      <c r="U40">
        <f>IF( COUNTIF('Raw Data'!$A$3:$A$2927,$A40)=0,0,SUMIF('Raw Data'!$A$3:$A$2927, $A40,'Raw Data'!R$3:R$2927) / COUNTIF('Raw Data'!$A$3:$A$2927,$A40))</f>
        <v>0</v>
      </c>
      <c r="V40">
        <f>IF( COUNTIF('Raw Data'!$A$3:$A$2927,$A40)=0,0,SUMIF('Raw Data'!$A$3:$A$2927, $A40,'Raw Data'!S$3:S$2927) / COUNTIF('Raw Data'!$A$3:$A$2927,$A40))</f>
        <v>0</v>
      </c>
      <c r="W40">
        <f>MAX(IF('Raw Data'!$A$3:$A$927=$A40, 'Raw Data'!$Y$3:$Y$927))</f>
        <v>0</v>
      </c>
      <c r="X40">
        <f>IF( COUNTIF('Raw Data'!$A$3:$A$2927,$A40)=0,0,SUMIF('Raw Data'!$A$3:$A$2927, $A40,'Raw Data'!U$3:U$2927) / COUNTIF('Raw Data'!$A$3:$A$2927,$A40))</f>
        <v>0</v>
      </c>
      <c r="Y40">
        <f>IF( COUNTIF('Raw Data'!$A$3:$A$2927,$A40)=0,0,SUMIF('Raw Data'!$A$3:$A$2927, $A40,'Raw Data'!V$3:V$2927) / COUNTIF('Raw Data'!$A$3:$A$2927,$A40))</f>
        <v>0</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0</v>
      </c>
      <c r="AC40">
        <f>IF( COUNTIF('Raw Data'!$A$3:$A$2927,$A40)=0,0,SUMIF('Raw Data'!$A$3:$A$2927, $A40,'Raw Data'!AB$3:AB$2927) / COUNTIF('Raw Data'!$A$3:$A$2927,$A40))</f>
        <v>0</v>
      </c>
      <c r="AD40">
        <f>IF( COUNTIF('Raw Data'!$A$3:$A$2927,$A40)=0,0,SUMIF('Raw Data'!$A$3:$A$2927, $A40,'Raw Data'!AC$3:AC$2927) / COUNTIF('Raw Data'!$A$3:$A$2927,$A40))</f>
        <v>3</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1.6666666666666667</v>
      </c>
      <c r="AI40">
        <f>IF( COUNTIF('Raw Data'!$A$3:$A$2927,$A40)=0,0,SUMIF('Raw Data'!$A$3:$A$2927, $A40,'Raw Data'!AH$3:AH$2927) / COUNTIF('Raw Data'!$A$3:$A$2927,$A40))</f>
        <v>0.44444444444444442</v>
      </c>
      <c r="AJ40" s="116">
        <f>COUNTIF('Raw Data'!A$3:A$2927, $A40)</f>
        <v>9</v>
      </c>
      <c r="AK40">
        <f t="shared" si="7"/>
        <v>10.277777777777777</v>
      </c>
      <c r="AL40">
        <f t="shared" si="8"/>
        <v>1.6111111111111112</v>
      </c>
      <c r="AM40">
        <f t="shared" si="9"/>
        <v>-0.55000000000000004</v>
      </c>
      <c r="AX40">
        <v>6110</v>
      </c>
      <c r="AY40">
        <v>59</v>
      </c>
    </row>
    <row r="41" spans="1:51" ht="15.75" thickBot="1">
      <c r="A41">
        <v>5911</v>
      </c>
      <c r="B41" t="s">
        <v>374</v>
      </c>
      <c r="C41">
        <f t="shared" si="5"/>
        <v>0</v>
      </c>
      <c r="D41">
        <f t="shared" si="6"/>
        <v>0</v>
      </c>
      <c r="E41">
        <f>IF( COUNTIF('Raw Data'!$A$3:$A$2927,$A41)=0,0,SUMIF('Raw Data'!$A$3:$A$2927, $A41,'Raw Data'!D$3:D$2927) / COUNTIF('Raw Data'!$A$3:$A$2927,$A41))</f>
        <v>0</v>
      </c>
      <c r="F41">
        <f>MAX(IF('Raw Data'!$A$3:$A$927=$A41, 'Raw Data'!$O$3:$O$927))</f>
        <v>0</v>
      </c>
      <c r="G41">
        <f>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MAX(IF('Raw Data'!$A$3:$A$927=$A41, 'Raw Data'!$Z$3:$Z$927))</f>
        <v>0</v>
      </c>
      <c r="R41">
        <f>MAX(IF('Raw Data'!$A$3:$A$927=$A41, 'Raw Data'!$T$3:$T$927))</f>
        <v>0</v>
      </c>
      <c r="S41">
        <f>IF( COUNTIF('Raw Data'!$A$3:$A$2927,$A41)=0,0,SUMIF('Raw Data'!$A$3:$A$2927, $A41,'Raw Data'!P$3:P$2927) / COUNTIF('Raw Data'!$A$3:$A$2927,$A41))</f>
        <v>0</v>
      </c>
      <c r="T41">
        <f>IF( COUNTIF('Raw Data'!$A$3:$A$2927,$A41)=0,0,SUMIF('Raw Data'!$A$3:$A$2927, $A41,'Raw Data'!Q$3:Q$2927) / COUNTIF('Raw Data'!$A$3:$A$2927,$A41))</f>
        <v>0</v>
      </c>
      <c r="U41">
        <f>IF( COUNTIF('Raw Data'!$A$3:$A$2927,$A41)=0,0,SUMIF('Raw Data'!$A$3:$A$2927, $A41,'Raw Data'!R$3:R$2927) / COUNTIF('Raw Data'!$A$3:$A$2927,$A41))</f>
        <v>0</v>
      </c>
      <c r="V41">
        <f>IF( COUNTIF('Raw Data'!$A$3:$A$2927,$A41)=0,0,SUMIF('Raw Data'!$A$3:$A$2927, $A41,'Raw Data'!S$3:S$2927) / COUNTIF('Raw Data'!$A$3:$A$2927,$A41))</f>
        <v>0</v>
      </c>
      <c r="W41">
        <f>MAX(IF('Raw Data'!$A$3:$A$927=$A41, 'Raw Data'!$Y$3:$Y$927))</f>
        <v>0</v>
      </c>
      <c r="X41">
        <f>IF( COUNTIF('Raw Data'!$A$3:$A$2927,$A41)=0,0,SUMIF('Raw Data'!$A$3:$A$2927, $A41,'Raw Data'!U$3:U$2927) / COUNTIF('Raw Data'!$A$3:$A$2927,$A41))</f>
        <v>0</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0</v>
      </c>
      <c r="AC41">
        <f>IF( COUNTIF('Raw Data'!$A$3:$A$2927,$A41)=0,0,SUMIF('Raw Data'!$A$3:$A$2927, $A41,'Raw Data'!AB$3:AB$2927) / COUNTIF('Raw Data'!$A$3:$A$2927,$A41))</f>
        <v>0</v>
      </c>
      <c r="AD41">
        <f>IF( COUNTIF('Raw Data'!$A$3:$A$2927,$A41)=0,0,SUMIF('Raw Data'!$A$3:$A$2927, $A41,'Raw Data'!AC$3:AC$2927) / COUNTIF('Raw Data'!$A$3:$A$2927,$A41))</f>
        <v>0</v>
      </c>
      <c r="AE41" s="117">
        <f>IF( COUNTIF('Raw Data'!$A$3:$A$2927,$A41)=0,0,SUMIF('Raw Data'!$A$3:$A$2927, $A41,'Raw Data'!AD$3:AD$2927) / COUNTIF('Raw Data'!$A$3:$A$2927,$A41))</f>
        <v>0</v>
      </c>
      <c r="AF41">
        <f>IF( COUNTIF('Raw Data'!$A$3:$A$2927,$A41)=0,0,SUMIF('Raw Data'!$A$3:$A$2927, $A41,'Raw Data'!AE$3:AE$2927) / COUNTIF('Raw Data'!$A$3:$A$2927,$A41))</f>
        <v>0</v>
      </c>
      <c r="AG41">
        <f>IF( COUNTIF('Raw Data'!$A$3:$A$2927,$A41)=0,0,SUMIF('Raw Data'!$A$3:$A$2927, $A41,'Raw Data'!AF$3:AF$2927) / COUNTIF('Raw Data'!$A$3:$A$2927,$A41))</f>
        <v>0</v>
      </c>
      <c r="AH41">
        <f>IF( COUNTIF('Raw Data'!$A$3:$A$2927,$A41)=0,0,SUMIF('Raw Data'!$A$3:$A$2927, $A41,'Raw Data'!AG$3:AG$2927) / COUNTIF('Raw Data'!$A$3:$A$2927,$A41))</f>
        <v>0</v>
      </c>
      <c r="AI41">
        <f>IF( COUNTIF('Raw Data'!$A$3:$A$2927,$A41)=0,0,SUMIF('Raw Data'!$A$3:$A$2927, $A41,'Raw Data'!AH$3:AH$2927) / COUNTIF('Raw Data'!$A$3:$A$2927,$A41))</f>
        <v>0</v>
      </c>
      <c r="AJ41" s="116">
        <f>COUNTIF('Raw Data'!A$3:A$2927, $A41)</f>
        <v>0</v>
      </c>
      <c r="AK41">
        <f t="shared" si="7"/>
        <v>-21</v>
      </c>
      <c r="AL41">
        <f t="shared" si="8"/>
        <v>-1.5</v>
      </c>
      <c r="AM41">
        <f t="shared" si="9"/>
        <v>-1</v>
      </c>
    </row>
    <row r="42" spans="1:51" ht="15.75" thickBot="1">
      <c r="A42">
        <v>6070</v>
      </c>
      <c r="B42" t="s">
        <v>220</v>
      </c>
      <c r="C42">
        <f t="shared" si="5"/>
        <v>8.7272727272727266</v>
      </c>
      <c r="D42">
        <f t="shared" si="6"/>
        <v>3.6363636363636362</v>
      </c>
      <c r="E42">
        <f>IF( COUNTIF('Raw Data'!$A$3:$A$2927,$A42)=0,0,SUMIF('Raw Data'!$A$3:$A$2927, $A42,'Raw Data'!D$3:D$2927) / COUNTIF('Raw Data'!$A$3:$A$2927,$A42))</f>
        <v>1.3636363636363635</v>
      </c>
      <c r="F42">
        <f>MAX(IF('Raw Data'!$A$3:$A$927=$A42, 'Raw Data'!$O$3:$O$927))</f>
        <v>0</v>
      </c>
      <c r="G42">
        <f>MAX(IF('Raw Data'!$A$3:$A$927=$A42, 'Raw Data'!$I$3:$I$927))</f>
        <v>0</v>
      </c>
      <c r="H42">
        <f>IF( COUNTIF('Raw Data'!$A$3:$A$2927,$A42)=0,0,SUMIF('Raw Data'!$A$3:$A$2927, $A42,'Raw Data'!E$3:E$2927) / COUNTIF('Raw Data'!$A$3:$A$2927,$A42))</f>
        <v>0.27272727272727271</v>
      </c>
      <c r="I42">
        <f>IF( COUNTIF('Raw Data'!$A$3:$A$2927,$A42)=0,0,SUMIF('Raw Data'!$A$3:$A$2927, $A42,'Raw Data'!F$3:F$2927) / COUNTIF('Raw Data'!$A$3:$A$2927,$A42))</f>
        <v>0</v>
      </c>
      <c r="J42">
        <f>IF( COUNTIF('Raw Data'!$A$3:$A$2927,$A42)=0,0,SUMIF('Raw Data'!$A$3:$A$2927, $A42,'Raw Data'!G$3:G$2927) / COUNTIF('Raw Data'!$A$3:$A$2927,$A42))</f>
        <v>0</v>
      </c>
      <c r="K42">
        <f>IF( COUNTIF('Raw Data'!$A$3:$A$2927,$A42)=0,0,SUMIF('Raw Data'!$A$3:$A$2927, $A42,'Raw Data'!H$3:H$2927) / COUNTIF('Raw Data'!$A$3:$A$2927,$A42))</f>
        <v>0</v>
      </c>
      <c r="L42">
        <f>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MAX(IF('Raw Data'!$A$3:$A$927=$A42, 'Raw Data'!$Z$3:$Z$927))</f>
        <v>0</v>
      </c>
      <c r="R42">
        <f>MAX(IF('Raw Data'!$A$3:$A$927=$A42, 'Raw Data'!$T$3:$T$927))</f>
        <v>0</v>
      </c>
      <c r="S42">
        <f>IF( COUNTIF('Raw Data'!$A$3:$A$2927,$A42)=0,0,SUMIF('Raw Data'!$A$3:$A$2927, $A42,'Raw Data'!P$3:P$2927) / COUNTIF('Raw Data'!$A$3:$A$2927,$A42))</f>
        <v>0.54545454545454541</v>
      </c>
      <c r="T42">
        <f>IF( COUNTIF('Raw Data'!$A$3:$A$2927,$A42)=0,0,SUMIF('Raw Data'!$A$3:$A$2927, $A42,'Raw Data'!Q$3:Q$2927) / COUNTIF('Raw Data'!$A$3:$A$2927,$A42))</f>
        <v>1</v>
      </c>
      <c r="U42">
        <f>IF( COUNTIF('Raw Data'!$A$3:$A$2927,$A42)=0,0,SUMIF('Raw Data'!$A$3:$A$2927, $A42,'Raw Data'!R$3:R$2927) / COUNTIF('Raw Data'!$A$3:$A$2927,$A42))</f>
        <v>0.54545454545454541</v>
      </c>
      <c r="V42">
        <f>IF( COUNTIF('Raw Data'!$A$3:$A$2927,$A42)=0,0,SUMIF('Raw Data'!$A$3:$A$2927, $A42,'Raw Data'!S$3:S$2927) / COUNTIF('Raw Data'!$A$3:$A$2927,$A42))</f>
        <v>0</v>
      </c>
      <c r="W42">
        <f>MAX(IF('Raw Data'!$A$3:$A$927=$A42, 'Raw Data'!$Y$3:$Y$927))</f>
        <v>0</v>
      </c>
      <c r="X42">
        <f>IF( COUNTIF('Raw Data'!$A$3:$A$2927,$A42)=0,0,SUMIF('Raw Data'!$A$3:$A$2927, $A42,'Raw Data'!U$3:U$2927) / COUNTIF('Raw Data'!$A$3:$A$2927,$A42))</f>
        <v>0</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0.90909090909090906</v>
      </c>
      <c r="AC42">
        <f>IF( COUNTIF('Raw Data'!$A$3:$A$2927,$A42)=0,0,SUMIF('Raw Data'!$A$3:$A$2927, $A42,'Raw Data'!AB$3:AB$2927) / COUNTIF('Raw Data'!$A$3:$A$2927,$A42))</f>
        <v>0</v>
      </c>
      <c r="AD42">
        <f>IF( COUNTIF('Raw Data'!$A$3:$A$2927,$A42)=0,0,SUMIF('Raw Data'!$A$3:$A$2927, $A42,'Raw Data'!AC$3:AC$2927) / COUNTIF('Raw Data'!$A$3:$A$2927,$A42))</f>
        <v>0.72727272727272729</v>
      </c>
      <c r="AE42" s="117">
        <f>IF( COUNTIF('Raw Data'!$A$3:$A$2927,$A42)=0,0,SUMIF('Raw Data'!$A$3:$A$2927, $A42,'Raw Data'!AD$3:AD$2927) / COUNTIF('Raw Data'!$A$3:$A$2927,$A42))</f>
        <v>0</v>
      </c>
      <c r="AF42">
        <f>IF( COUNTIF('Raw Data'!$A$3:$A$2927,$A42)=0,0,SUMIF('Raw Data'!$A$3:$A$2927, $A42,'Raw Data'!AE$3:AE$2927) / COUNTIF('Raw Data'!$A$3:$A$2927,$A42))</f>
        <v>0.18181818181818182</v>
      </c>
      <c r="AG42">
        <f>IF( COUNTIF('Raw Data'!$A$3:$A$2927,$A42)=0,0,SUMIF('Raw Data'!$A$3:$A$2927, $A42,'Raw Data'!AF$3:AF$2927) / COUNTIF('Raw Data'!$A$3:$A$2927,$A42))</f>
        <v>0</v>
      </c>
      <c r="AH42">
        <f>IF( COUNTIF('Raw Data'!$A$3:$A$2927,$A42)=0,0,SUMIF('Raw Data'!$A$3:$A$2927, $A42,'Raw Data'!AG$3:AG$2927) / COUNTIF('Raw Data'!$A$3:$A$2927,$A42))</f>
        <v>2.2727272727272729</v>
      </c>
      <c r="AI42">
        <f>IF( COUNTIF('Raw Data'!$A$3:$A$2927,$A42)=0,0,SUMIF('Raw Data'!$A$3:$A$2927, $A42,'Raw Data'!AH$3:AH$2927) / COUNTIF('Raw Data'!$A$3:$A$2927,$A42))</f>
        <v>0.90909090909090906</v>
      </c>
      <c r="AJ42" s="116">
        <f>COUNTIF('Raw Data'!A$3:A$2927, $A42)</f>
        <v>11</v>
      </c>
      <c r="AK42">
        <f t="shared" si="7"/>
        <v>-0.68181818181818243</v>
      </c>
      <c r="AL42">
        <f t="shared" si="8"/>
        <v>-2.3636363636363646</v>
      </c>
      <c r="AM42">
        <f t="shared" si="9"/>
        <v>-1.1136363636363638</v>
      </c>
    </row>
    <row r="43" spans="1:51" ht="15.75" thickBot="1">
      <c r="A43">
        <v>6110</v>
      </c>
      <c r="B43" t="s">
        <v>221</v>
      </c>
      <c r="C43">
        <f t="shared" si="5"/>
        <v>11.700000000000001</v>
      </c>
      <c r="D43">
        <f t="shared" si="6"/>
        <v>8.8000000000000007</v>
      </c>
      <c r="E43">
        <f>IF( COUNTIF('Raw Data'!$A$3:$A$2927,$A43)=0,0,SUMIF('Raw Data'!$A$3:$A$2927, $A43,'Raw Data'!D$3:D$2927) / COUNTIF('Raw Data'!$A$3:$A$2927,$A43))</f>
        <v>1</v>
      </c>
      <c r="F43">
        <f>MAX(IF('Raw Data'!$A$3:$A$927=$A43, 'Raw Data'!$O$3:$O$927))</f>
        <v>0</v>
      </c>
      <c r="G43">
        <f>MAX(IF('Raw Data'!$A$3:$A$927=$A43, 'Raw Data'!$I$3:$I$927))</f>
        <v>0</v>
      </c>
      <c r="H43">
        <f>IF( COUNTIF('Raw Data'!$A$3:$A$2927,$A43)=0,0,SUMIF('Raw Data'!$A$3:$A$2927, $A43,'Raw Data'!E$3:E$2927) / COUNTIF('Raw Data'!$A$3:$A$2927,$A43))</f>
        <v>0.2</v>
      </c>
      <c r="I43">
        <f>IF( COUNTIF('Raw Data'!$A$3:$A$2927,$A43)=0,0,SUMIF('Raw Data'!$A$3:$A$2927, $A43,'Raw Data'!F$3:F$2927) / COUNTIF('Raw Data'!$A$3:$A$2927,$A43))</f>
        <v>0</v>
      </c>
      <c r="J43">
        <f>IF( COUNTIF('Raw Data'!$A$3:$A$2927,$A43)=0,0,SUMIF('Raw Data'!$A$3:$A$2927, $A43,'Raw Data'!G$3:G$2927) / COUNTIF('Raw Data'!$A$3:$A$2927,$A43))</f>
        <v>0</v>
      </c>
      <c r="K43">
        <f>IF( COUNTIF('Raw Data'!$A$3:$A$2927,$A43)=0,0,SUMIF('Raw Data'!$A$3:$A$2927, $A43,'Raw Data'!H$3:H$2927) / COUNTIF('Raw Data'!$A$3:$A$2927,$A43))</f>
        <v>0</v>
      </c>
      <c r="L43">
        <f>MAX(IF('Raw Data'!$A$3:$A$927=$A43, 'Raw Data'!$N$3:$N$927))</f>
        <v>0</v>
      </c>
      <c r="M43">
        <f>IF( COUNTIF('Raw Data'!$A$3:$A$2927,$A43)=0,0,SUMIF('Raw Data'!$A$3:$A$2927, $A43,'Raw Data'!J$3:J$2927) / COUNTIF('Raw Data'!$A$3:$A$2927,$A43))</f>
        <v>0</v>
      </c>
      <c r="N43">
        <f>IF( COUNTIF('Raw Data'!$A$3:$A$2927,$A43)=0,0,SUMIF('Raw Data'!$A$3:$A$2927, $A43,'Raw Data'!K$3:K$2927) / COUNTIF('Raw Data'!$A$3:$A$2927,$A43))</f>
        <v>0</v>
      </c>
      <c r="O43">
        <f>IF( COUNTIF('Raw Data'!$A$3:$A$2927,$A43)=0,0,SUMIF('Raw Data'!$A$3:$A$2927, $A43,'Raw Data'!L$3:L$2927) / COUNTIF('Raw Data'!$A$3:$A$2927,$A43))</f>
        <v>0</v>
      </c>
      <c r="P43" s="58">
        <f>IF( COUNTIF('Raw Data'!$A$3:$A$2927,$A43)=0,0,SUMIF('Raw Data'!$A$3:$A$2927, $A43,'Raw Data'!M$3:M$2927) / COUNTIF('Raw Data'!$A$3:$A$2927,$A43))</f>
        <v>0</v>
      </c>
      <c r="Q43">
        <f>MAX(IF('Raw Data'!$A$3:$A$927=$A43, 'Raw Data'!$Z$3:$Z$927))</f>
        <v>0</v>
      </c>
      <c r="R43">
        <f>MAX(IF('Raw Data'!$A$3:$A$927=$A43, 'Raw Data'!$T$3:$T$927))</f>
        <v>0</v>
      </c>
      <c r="S43">
        <f>IF( COUNTIF('Raw Data'!$A$3:$A$2927,$A43)=0,0,SUMIF('Raw Data'!$A$3:$A$2927, $A43,'Raw Data'!P$3:P$2927) / COUNTIF('Raw Data'!$A$3:$A$2927,$A43))</f>
        <v>1.2</v>
      </c>
      <c r="T43">
        <f>IF( COUNTIF('Raw Data'!$A$3:$A$2927,$A43)=0,0,SUMIF('Raw Data'!$A$3:$A$2927, $A43,'Raw Data'!Q$3:Q$2927) / COUNTIF('Raw Data'!$A$3:$A$2927,$A43))</f>
        <v>0</v>
      </c>
      <c r="U43">
        <f>IF( COUNTIF('Raw Data'!$A$3:$A$2927,$A43)=0,0,SUMIF('Raw Data'!$A$3:$A$2927, $A43,'Raw Data'!R$3:R$2927) / COUNTIF('Raw Data'!$A$3:$A$2927,$A43))</f>
        <v>0</v>
      </c>
      <c r="V43">
        <f>IF( COUNTIF('Raw Data'!$A$3:$A$2927,$A43)=0,0,SUMIF('Raw Data'!$A$3:$A$2927, $A43,'Raw Data'!S$3:S$2927) / COUNTIF('Raw Data'!$A$3:$A$2927,$A43))</f>
        <v>0</v>
      </c>
      <c r="W43">
        <f>MAX(IF('Raw Data'!$A$3:$A$927=$A43, 'Raw Data'!$Y$3:$Y$927))</f>
        <v>0</v>
      </c>
      <c r="X43">
        <f>IF( COUNTIF('Raw Data'!$A$3:$A$2927,$A43)=0,0,SUMIF('Raw Data'!$A$3:$A$2927, $A43,'Raw Data'!U$3:U$2927) / COUNTIF('Raw Data'!$A$3:$A$2927,$A43))</f>
        <v>2</v>
      </c>
      <c r="Y43">
        <f>IF( COUNTIF('Raw Data'!$A$3:$A$2927,$A43)=0,0,SUMIF('Raw Data'!$A$3:$A$2927, $A43,'Raw Data'!V$3:V$2927) / COUNTIF('Raw Data'!$A$3:$A$2927,$A43))</f>
        <v>0</v>
      </c>
      <c r="Z43">
        <f>IF( COUNTIF('Raw Data'!$A$3:$A$2927,$A43)=0,0,SUMIF('Raw Data'!$A$3:$A$2927, $A43,'Raw Data'!W$3:W$2927) / COUNTIF('Raw Data'!$A$3:$A$2927,$A43))</f>
        <v>0</v>
      </c>
      <c r="AA43">
        <f>IF( COUNTIF('Raw Data'!$A$3:$A$2927,$A43)=0,0,SUMIF('Raw Data'!$A$3:$A$2927, $A43,'Raw Data'!X$3:X$2927) / COUNTIF('Raw Data'!$A$3:$A$2927,$A43))</f>
        <v>0</v>
      </c>
      <c r="AB43">
        <f>IF( COUNTIF('Raw Data'!$A$3:$A$2927,$A43)=0,0,SUMIF('Raw Data'!$A$3:$A$2927, $A43,'Raw Data'!AA$3:AA$2927) / COUNTIF('Raw Data'!$A$3:$A$2927,$A43))</f>
        <v>0</v>
      </c>
      <c r="AC43">
        <f>IF( COUNTIF('Raw Data'!$A$3:$A$2927,$A43)=0,0,SUMIF('Raw Data'!$A$3:$A$2927, $A43,'Raw Data'!AB$3:AB$2927) / COUNTIF('Raw Data'!$A$3:$A$2927,$A43))</f>
        <v>0</v>
      </c>
      <c r="AD43">
        <f>IF( COUNTIF('Raw Data'!$A$3:$A$2927,$A43)=0,0,SUMIF('Raw Data'!$A$3:$A$2927, $A43,'Raw Data'!AC$3:AC$2927) / COUNTIF('Raw Data'!$A$3:$A$2927,$A43))</f>
        <v>0.8</v>
      </c>
      <c r="AE43" s="117">
        <f>IF( COUNTIF('Raw Data'!$A$3:$A$2927,$A43)=0,0,SUMIF('Raw Data'!$A$3:$A$2927, $A43,'Raw Data'!AD$3:AD$2927) / COUNTIF('Raw Data'!$A$3:$A$2927,$A43))</f>
        <v>0</v>
      </c>
      <c r="AF43">
        <f>IF( COUNTIF('Raw Data'!$A$3:$A$2927,$A43)=0,0,SUMIF('Raw Data'!$A$3:$A$2927, $A43,'Raw Data'!AE$3:AE$2927) / COUNTIF('Raw Data'!$A$3:$A$2927,$A43))</f>
        <v>0.2</v>
      </c>
      <c r="AG43">
        <f>IF( COUNTIF('Raw Data'!$A$3:$A$2927,$A43)=0,0,SUMIF('Raw Data'!$A$3:$A$2927, $A43,'Raw Data'!AF$3:AF$2927) / COUNTIF('Raw Data'!$A$3:$A$2927,$A43))</f>
        <v>0</v>
      </c>
      <c r="AH43">
        <f>IF( COUNTIF('Raw Data'!$A$3:$A$2927,$A43)=0,0,SUMIF('Raw Data'!$A$3:$A$2927, $A43,'Raw Data'!AG$3:AG$2927) / COUNTIF('Raw Data'!$A$3:$A$2927,$A43))</f>
        <v>2.5</v>
      </c>
      <c r="AI43">
        <f>IF( COUNTIF('Raw Data'!$A$3:$A$2927,$A43)=0,0,SUMIF('Raw Data'!$A$3:$A$2927, $A43,'Raw Data'!AH$3:AH$2927) / COUNTIF('Raw Data'!$A$3:$A$2927,$A43))</f>
        <v>0.4</v>
      </c>
      <c r="AJ43" s="116">
        <f>COUNTIF('Raw Data'!A$3:A$2927, $A43)</f>
        <v>10</v>
      </c>
      <c r="AK43">
        <f t="shared" si="7"/>
        <v>0.26999999999999968</v>
      </c>
      <c r="AL43">
        <f t="shared" si="8"/>
        <v>-1.75</v>
      </c>
      <c r="AM43">
        <f t="shared" si="9"/>
        <v>0.7749999999999998</v>
      </c>
    </row>
    <row r="44" spans="1:51" ht="15.75" thickBot="1">
      <c r="A44">
        <v>6135</v>
      </c>
      <c r="B44" t="s">
        <v>222</v>
      </c>
      <c r="C44">
        <f t="shared" si="5"/>
        <v>18.666666666666664</v>
      </c>
      <c r="D44">
        <f t="shared" si="6"/>
        <v>10.666666666666668</v>
      </c>
      <c r="E44">
        <f>IF( COUNTIF('Raw Data'!$A$3:$A$2927,$A44)=0,0,SUMIF('Raw Data'!$A$3:$A$2927, $A44,'Raw Data'!D$3:D$2927) / COUNTIF('Raw Data'!$A$3:$A$2927,$A44))</f>
        <v>1.7777777777777777</v>
      </c>
      <c r="F44">
        <f>MAX(IF('Raw Data'!$A$3:$A$927=$A44, 'Raw Data'!$O$3:$O$927))</f>
        <v>0</v>
      </c>
      <c r="G44">
        <f>MAX(IF('Raw Data'!$A$3:$A$927=$A44, 'Raw Data'!$I$3:$I$927))</f>
        <v>0</v>
      </c>
      <c r="H44">
        <f>IF( COUNTIF('Raw Data'!$A$3:$A$2927,$A44)=0,0,SUMIF('Raw Data'!$A$3:$A$2927, $A44,'Raw Data'!E$3:E$2927) / COUNTIF('Raw Data'!$A$3:$A$2927,$A44))</f>
        <v>0.1111111111111111</v>
      </c>
      <c r="I44">
        <f>IF( COUNTIF('Raw Data'!$A$3:$A$2927,$A44)=0,0,SUMIF('Raw Data'!$A$3:$A$2927, $A44,'Raw Data'!F$3:F$2927) / COUNTIF('Raw Data'!$A$3:$A$2927,$A44))</f>
        <v>0.1111111111111111</v>
      </c>
      <c r="J44">
        <f>IF( COUNTIF('Raw Data'!$A$3:$A$2927,$A44)=0,0,SUMIF('Raw Data'!$A$3:$A$2927, $A44,'Raw Data'!G$3:G$2927) / COUNTIF('Raw Data'!$A$3:$A$2927,$A44))</f>
        <v>0</v>
      </c>
      <c r="K44">
        <f>IF( COUNTIF('Raw Data'!$A$3:$A$2927,$A44)=0,0,SUMIF('Raw Data'!$A$3:$A$2927, $A44,'Raw Data'!H$3:H$2927) / COUNTIF('Raw Data'!$A$3:$A$2927,$A44))</f>
        <v>0</v>
      </c>
      <c r="L44">
        <f>MAX(IF('Raw Data'!$A$3:$A$927=$A44, 'Raw Data'!$N$3:$N$927))</f>
        <v>0</v>
      </c>
      <c r="M44">
        <f>IF( COUNTIF('Raw Data'!$A$3:$A$2927,$A44)=0,0,SUMIF('Raw Data'!$A$3:$A$2927, $A44,'Raw Data'!J$3:J$2927) / COUNTIF('Raw Data'!$A$3:$A$2927,$A44))</f>
        <v>0</v>
      </c>
      <c r="N44">
        <f>IF( COUNTIF('Raw Data'!$A$3:$A$2927,$A44)=0,0,SUMIF('Raw Data'!$A$3:$A$2927, $A44,'Raw Data'!K$3:K$2927) / COUNTIF('Raw Data'!$A$3:$A$2927,$A44))</f>
        <v>0</v>
      </c>
      <c r="O44">
        <f>IF( COUNTIF('Raw Data'!$A$3:$A$2927,$A44)=0,0,SUMIF('Raw Data'!$A$3:$A$2927, $A44,'Raw Data'!L$3:L$2927) / COUNTIF('Raw Data'!$A$3:$A$2927,$A44))</f>
        <v>0</v>
      </c>
      <c r="P44" s="58">
        <f>IF( COUNTIF('Raw Data'!$A$3:$A$2927,$A44)=0,0,SUMIF('Raw Data'!$A$3:$A$2927, $A44,'Raw Data'!M$3:M$2927) / COUNTIF('Raw Data'!$A$3:$A$2927,$A44))</f>
        <v>0</v>
      </c>
      <c r="Q44">
        <f>MAX(IF('Raw Data'!$A$3:$A$927=$A44, 'Raw Data'!$Z$3:$Z$927))</f>
        <v>0</v>
      </c>
      <c r="R44">
        <f>MAX(IF('Raw Data'!$A$3:$A$927=$A44, 'Raw Data'!$T$3:$T$927))</f>
        <v>0</v>
      </c>
      <c r="S44">
        <f>IF( COUNTIF('Raw Data'!$A$3:$A$2927,$A44)=0,0,SUMIF('Raw Data'!$A$3:$A$2927, $A44,'Raw Data'!P$3:P$2927) / COUNTIF('Raw Data'!$A$3:$A$2927,$A44))</f>
        <v>0.66666666666666663</v>
      </c>
      <c r="T44">
        <f>IF( COUNTIF('Raw Data'!$A$3:$A$2927,$A44)=0,0,SUMIF('Raw Data'!$A$3:$A$2927, $A44,'Raw Data'!Q$3:Q$2927) / COUNTIF('Raw Data'!$A$3:$A$2927,$A44))</f>
        <v>0.77777777777777779</v>
      </c>
      <c r="U44">
        <f>IF( COUNTIF('Raw Data'!$A$3:$A$2927,$A44)=0,0,SUMIF('Raw Data'!$A$3:$A$2927, $A44,'Raw Data'!R$3:R$2927) / COUNTIF('Raw Data'!$A$3:$A$2927,$A44))</f>
        <v>0</v>
      </c>
      <c r="V44">
        <f>IF( COUNTIF('Raw Data'!$A$3:$A$2927,$A44)=0,0,SUMIF('Raw Data'!$A$3:$A$2927, $A44,'Raw Data'!S$3:S$2927) / COUNTIF('Raw Data'!$A$3:$A$2927,$A44))</f>
        <v>0</v>
      </c>
      <c r="W44">
        <f>MAX(IF('Raw Data'!$A$3:$A$927=$A44, 'Raw Data'!$Y$3:$Y$927))</f>
        <v>0</v>
      </c>
      <c r="X44">
        <f>IF( COUNTIF('Raw Data'!$A$3:$A$2927,$A44)=0,0,SUMIF('Raw Data'!$A$3:$A$2927, $A44,'Raw Data'!U$3:U$2927) / COUNTIF('Raw Data'!$A$3:$A$2927,$A44))</f>
        <v>2.1111111111111112</v>
      </c>
      <c r="Y44">
        <f>IF( COUNTIF('Raw Data'!$A$3:$A$2927,$A44)=0,0,SUMIF('Raw Data'!$A$3:$A$2927, $A44,'Raw Data'!V$3:V$2927) / COUNTIF('Raw Data'!$A$3:$A$2927,$A44))</f>
        <v>0.33333333333333331</v>
      </c>
      <c r="Z44">
        <f>IF( COUNTIF('Raw Data'!$A$3:$A$2927,$A44)=0,0,SUMIF('Raw Data'!$A$3:$A$2927, $A44,'Raw Data'!W$3:W$2927) / COUNTIF('Raw Data'!$A$3:$A$2927,$A44))</f>
        <v>0</v>
      </c>
      <c r="AA44">
        <f>IF( COUNTIF('Raw Data'!$A$3:$A$2927,$A44)=0,0,SUMIF('Raw Data'!$A$3:$A$2927, $A44,'Raw Data'!X$3:X$2927) / COUNTIF('Raw Data'!$A$3:$A$2927,$A44))</f>
        <v>0</v>
      </c>
      <c r="AB44">
        <f>IF( COUNTIF('Raw Data'!$A$3:$A$2927,$A44)=0,0,SUMIF('Raw Data'!$A$3:$A$2927, $A44,'Raw Data'!AA$3:AA$2927) / COUNTIF('Raw Data'!$A$3:$A$2927,$A44))</f>
        <v>6.8888888888888893</v>
      </c>
      <c r="AC44">
        <f>IF( COUNTIF('Raw Data'!$A$3:$A$2927,$A44)=0,0,SUMIF('Raw Data'!$A$3:$A$2927, $A44,'Raw Data'!AB$3:AB$2927) / COUNTIF('Raw Data'!$A$3:$A$2927,$A44))</f>
        <v>0</v>
      </c>
      <c r="AD44">
        <f>IF( COUNTIF('Raw Data'!$A$3:$A$2927,$A44)=0,0,SUMIF('Raw Data'!$A$3:$A$2927, $A44,'Raw Data'!AC$3:AC$2927) / COUNTIF('Raw Data'!$A$3:$A$2927,$A44))</f>
        <v>1.1111111111111112</v>
      </c>
      <c r="AE44" s="117">
        <f>IF( COUNTIF('Raw Data'!$A$3:$A$2927,$A44)=0,0,SUMIF('Raw Data'!$A$3:$A$2927, $A44,'Raw Data'!AD$3:AD$2927) / COUNTIF('Raw Data'!$A$3:$A$2927,$A44))</f>
        <v>0</v>
      </c>
      <c r="AF44">
        <f>IF( COUNTIF('Raw Data'!$A$3:$A$2927,$A44)=0,0,SUMIF('Raw Data'!$A$3:$A$2927, $A44,'Raw Data'!AE$3:AE$2927) / COUNTIF('Raw Data'!$A$3:$A$2927,$A44))</f>
        <v>0</v>
      </c>
      <c r="AG44">
        <f>IF( COUNTIF('Raw Data'!$A$3:$A$2927,$A44)=0,0,SUMIF('Raw Data'!$A$3:$A$2927, $A44,'Raw Data'!AF$3:AF$2927) / COUNTIF('Raw Data'!$A$3:$A$2927,$A44))</f>
        <v>0</v>
      </c>
      <c r="AH44">
        <f>IF( COUNTIF('Raw Data'!$A$3:$A$2927,$A44)=0,0,SUMIF('Raw Data'!$A$3:$A$2927, $A44,'Raw Data'!AG$3:AG$2927) / COUNTIF('Raw Data'!$A$3:$A$2927,$A44))</f>
        <v>0.66666666666666663</v>
      </c>
      <c r="AI44">
        <f>IF( COUNTIF('Raw Data'!$A$3:$A$2927,$A44)=0,0,SUMIF('Raw Data'!$A$3:$A$2927, $A44,'Raw Data'!AH$3:AH$2927) / COUNTIF('Raw Data'!$A$3:$A$2927,$A44))</f>
        <v>0.22222222222222221</v>
      </c>
      <c r="AJ44" s="116">
        <f>COUNTIF('Raw Data'!A$3:A$2927, $A44)</f>
        <v>9</v>
      </c>
      <c r="AK44">
        <f t="shared" si="7"/>
        <v>3.5022222222222226</v>
      </c>
      <c r="AL44">
        <f t="shared" si="8"/>
        <v>0.55555555555555558</v>
      </c>
      <c r="AM44">
        <f t="shared" si="9"/>
        <v>2.2244444444444444</v>
      </c>
    </row>
    <row r="45" spans="1:51" ht="15.75" thickBot="1">
      <c r="A45">
        <v>6162</v>
      </c>
      <c r="B45" t="s">
        <v>375</v>
      </c>
      <c r="C45">
        <f t="shared" si="5"/>
        <v>0</v>
      </c>
      <c r="D45">
        <f t="shared" si="6"/>
        <v>0</v>
      </c>
      <c r="E45">
        <f>IF( COUNTIF('Raw Data'!$A$3:$A$2927,$A45)=0,0,SUMIF('Raw Data'!$A$3:$A$2927, $A45,'Raw Data'!D$3:D$2927) / COUNTIF('Raw Data'!$A$3:$A$2927,$A45))</f>
        <v>0</v>
      </c>
      <c r="F45">
        <f>MAX(IF('Raw Data'!$A$3:$A$927=$A45, 'Raw Data'!$O$3:$O$927))</f>
        <v>0</v>
      </c>
      <c r="G45">
        <f>MAX(IF('Raw Data'!$A$3:$A$927=$A45, 'Raw Data'!$I$3:$I$927))</f>
        <v>0</v>
      </c>
      <c r="H45">
        <f>IF( COUNTIF('Raw Data'!$A$3:$A$2927,$A45)=0,0,SUMIF('Raw Data'!$A$3:$A$2927, $A45,'Raw Data'!E$3:E$2927) / COUNTIF('Raw Data'!$A$3:$A$2927,$A45))</f>
        <v>0</v>
      </c>
      <c r="I45">
        <f>IF( COUNTIF('Raw Data'!$A$3:$A$2927,$A45)=0,0,SUMIF('Raw Data'!$A$3:$A$2927, $A45,'Raw Data'!F$3:F$2927) / COUNTIF('Raw Data'!$A$3:$A$2927,$A45))</f>
        <v>0</v>
      </c>
      <c r="J45">
        <f>IF( COUNTIF('Raw Data'!$A$3:$A$2927,$A45)=0,0,SUMIF('Raw Data'!$A$3:$A$2927, $A45,'Raw Data'!G$3:G$2927) / COUNTIF('Raw Data'!$A$3:$A$2927,$A45))</f>
        <v>0</v>
      </c>
      <c r="K45">
        <f>IF( COUNTIF('Raw Data'!$A$3:$A$2927,$A45)=0,0,SUMIF('Raw Data'!$A$3:$A$2927, $A45,'Raw Data'!H$3:H$2927) / COUNTIF('Raw Data'!$A$3:$A$2927,$A45))</f>
        <v>0</v>
      </c>
      <c r="L45">
        <f>MAX(IF('Raw Data'!$A$3:$A$927=$A45, 'Raw Data'!$N$3:$N$927))</f>
        <v>0</v>
      </c>
      <c r="M45">
        <f>IF( COUNTIF('Raw Data'!$A$3:$A$2927,$A45)=0,0,SUMIF('Raw Data'!$A$3:$A$2927, $A45,'Raw Data'!J$3:J$2927) / COUNTIF('Raw Data'!$A$3:$A$2927,$A45))</f>
        <v>0</v>
      </c>
      <c r="N45">
        <f>IF( COUNTIF('Raw Data'!$A$3:$A$2927,$A45)=0,0,SUMIF('Raw Data'!$A$3:$A$2927, $A45,'Raw Data'!K$3:K$2927) / COUNTIF('Raw Data'!$A$3:$A$2927,$A45))</f>
        <v>0</v>
      </c>
      <c r="O45">
        <f>IF( COUNTIF('Raw Data'!$A$3:$A$2927,$A45)=0,0,SUMIF('Raw Data'!$A$3:$A$2927, $A45,'Raw Data'!L$3:L$2927) / COUNTIF('Raw Data'!$A$3:$A$2927,$A45))</f>
        <v>0</v>
      </c>
      <c r="P45" s="58">
        <f>IF( COUNTIF('Raw Data'!$A$3:$A$2927,$A45)=0,0,SUMIF('Raw Data'!$A$3:$A$2927, $A45,'Raw Data'!M$3:M$2927) / COUNTIF('Raw Data'!$A$3:$A$2927,$A45))</f>
        <v>0</v>
      </c>
      <c r="Q45">
        <f>MAX(IF('Raw Data'!$A$3:$A$927=$A45, 'Raw Data'!$Z$3:$Z$927))</f>
        <v>0</v>
      </c>
      <c r="R45">
        <f>MAX(IF('Raw Data'!$A$3:$A$927=$A45, 'Raw Data'!$T$3:$T$927))</f>
        <v>0</v>
      </c>
      <c r="S45">
        <f>IF( COUNTIF('Raw Data'!$A$3:$A$2927,$A45)=0,0,SUMIF('Raw Data'!$A$3:$A$2927, $A45,'Raw Data'!P$3:P$2927) / COUNTIF('Raw Data'!$A$3:$A$2927,$A45))</f>
        <v>0</v>
      </c>
      <c r="T45">
        <f>IF( COUNTIF('Raw Data'!$A$3:$A$2927,$A45)=0,0,SUMIF('Raw Data'!$A$3:$A$2927, $A45,'Raw Data'!Q$3:Q$2927) / COUNTIF('Raw Data'!$A$3:$A$2927,$A45))</f>
        <v>0</v>
      </c>
      <c r="U45">
        <f>IF( COUNTIF('Raw Data'!$A$3:$A$2927,$A45)=0,0,SUMIF('Raw Data'!$A$3:$A$2927, $A45,'Raw Data'!R$3:R$2927) / COUNTIF('Raw Data'!$A$3:$A$2927,$A45))</f>
        <v>0</v>
      </c>
      <c r="V45">
        <f>IF( COUNTIF('Raw Data'!$A$3:$A$2927,$A45)=0,0,SUMIF('Raw Data'!$A$3:$A$2927, $A45,'Raw Data'!S$3:S$2927) / COUNTIF('Raw Data'!$A$3:$A$2927,$A45))</f>
        <v>0</v>
      </c>
      <c r="W45">
        <f>MAX(IF('Raw Data'!$A$3:$A$927=$A45, 'Raw Data'!$Y$3:$Y$927))</f>
        <v>0</v>
      </c>
      <c r="X45">
        <f>IF( COUNTIF('Raw Data'!$A$3:$A$2927,$A45)=0,0,SUMIF('Raw Data'!$A$3:$A$2927, $A45,'Raw Data'!U$3:U$2927) / COUNTIF('Raw Data'!$A$3:$A$2927,$A45))</f>
        <v>0</v>
      </c>
      <c r="Y45">
        <f>IF( COUNTIF('Raw Data'!$A$3:$A$2927,$A45)=0,0,SUMIF('Raw Data'!$A$3:$A$2927, $A45,'Raw Data'!V$3:V$2927) / COUNTIF('Raw Data'!$A$3:$A$2927,$A45))</f>
        <v>0</v>
      </c>
      <c r="Z45">
        <f>IF( COUNTIF('Raw Data'!$A$3:$A$2927,$A45)=0,0,SUMIF('Raw Data'!$A$3:$A$2927, $A45,'Raw Data'!W$3:W$2927) / COUNTIF('Raw Data'!$A$3:$A$2927,$A45))</f>
        <v>0</v>
      </c>
      <c r="AA45">
        <f>IF( COUNTIF('Raw Data'!$A$3:$A$2927,$A45)=0,0,SUMIF('Raw Data'!$A$3:$A$2927, $A45,'Raw Data'!X$3:X$2927) / COUNTIF('Raw Data'!$A$3:$A$2927,$A45))</f>
        <v>0</v>
      </c>
      <c r="AB45">
        <f>IF( COUNTIF('Raw Data'!$A$3:$A$2927,$A45)=0,0,SUMIF('Raw Data'!$A$3:$A$2927, $A45,'Raw Data'!AA$3:AA$2927) / COUNTIF('Raw Data'!$A$3:$A$2927,$A45))</f>
        <v>0</v>
      </c>
      <c r="AC45">
        <f>IF( COUNTIF('Raw Data'!$A$3:$A$2927,$A45)=0,0,SUMIF('Raw Data'!$A$3:$A$2927, $A45,'Raw Data'!AB$3:AB$2927) / COUNTIF('Raw Data'!$A$3:$A$2927,$A45))</f>
        <v>0</v>
      </c>
      <c r="AD45">
        <f>IF( COUNTIF('Raw Data'!$A$3:$A$2927,$A45)=0,0,SUMIF('Raw Data'!$A$3:$A$2927, $A45,'Raw Data'!AC$3:AC$2927) / COUNTIF('Raw Data'!$A$3:$A$2927,$A45))</f>
        <v>0</v>
      </c>
      <c r="AE45" s="117">
        <f>IF( COUNTIF('Raw Data'!$A$3:$A$2927,$A45)=0,0,SUMIF('Raw Data'!$A$3:$A$2927, $A45,'Raw Data'!AD$3:AD$2927) / COUNTIF('Raw Data'!$A$3:$A$2927,$A45))</f>
        <v>0</v>
      </c>
      <c r="AF45">
        <f>IF( COUNTIF('Raw Data'!$A$3:$A$2927,$A45)=0,0,SUMIF('Raw Data'!$A$3:$A$2927, $A45,'Raw Data'!AE$3:AE$2927) / COUNTIF('Raw Data'!$A$3:$A$2927,$A45))</f>
        <v>0</v>
      </c>
      <c r="AG45">
        <f>IF( COUNTIF('Raw Data'!$A$3:$A$2927,$A45)=0,0,SUMIF('Raw Data'!$A$3:$A$2927, $A45,'Raw Data'!AF$3:AF$2927) / COUNTIF('Raw Data'!$A$3:$A$2927,$A45))</f>
        <v>0</v>
      </c>
      <c r="AH45">
        <f>IF( COUNTIF('Raw Data'!$A$3:$A$2927,$A45)=0,0,SUMIF('Raw Data'!$A$3:$A$2927, $A45,'Raw Data'!AG$3:AG$2927) / COUNTIF('Raw Data'!$A$3:$A$2927,$A45))</f>
        <v>0</v>
      </c>
      <c r="AI45">
        <f>IF( COUNTIF('Raw Data'!$A$3:$A$2927,$A45)=0,0,SUMIF('Raw Data'!$A$3:$A$2927, $A45,'Raw Data'!AH$3:AH$2927) / COUNTIF('Raw Data'!$A$3:$A$2927,$A45))</f>
        <v>0</v>
      </c>
      <c r="AJ45" s="116">
        <f>COUNTIF('Raw Data'!A$3:A$2927, $A45)</f>
        <v>0</v>
      </c>
      <c r="AK45">
        <f t="shared" si="7"/>
        <v>-21</v>
      </c>
      <c r="AL45">
        <f t="shared" si="8"/>
        <v>-1.5</v>
      </c>
      <c r="AM45">
        <f t="shared" si="9"/>
        <v>-1</v>
      </c>
    </row>
    <row r="46" spans="1:51" ht="15.75" thickBot="1">
      <c r="A46">
        <v>6342</v>
      </c>
      <c r="B46" t="s">
        <v>363</v>
      </c>
      <c r="C46">
        <f t="shared" si="5"/>
        <v>0</v>
      </c>
      <c r="D46">
        <f t="shared" si="6"/>
        <v>0</v>
      </c>
      <c r="E46">
        <f>IF( COUNTIF('Raw Data'!$A$3:$A$2927,$A46)=0,0,SUMIF('Raw Data'!$A$3:$A$2927, $A46,'Raw Data'!D$3:D$2927) / COUNTIF('Raw Data'!$A$3:$A$2927,$A46))</f>
        <v>0</v>
      </c>
      <c r="F46">
        <f>MAX(IF('Raw Data'!$A$3:$A$927=$A46, 'Raw Data'!$O$3:$O$927))</f>
        <v>0</v>
      </c>
      <c r="G46">
        <f>MAX(IF('Raw Data'!$A$3:$A$927=$A46, 'Raw Data'!$I$3:$I$927))</f>
        <v>0</v>
      </c>
      <c r="H46">
        <f>IF( COUNTIF('Raw Data'!$A$3:$A$2927,$A46)=0,0,SUMIF('Raw Data'!$A$3:$A$2927, $A46,'Raw Data'!E$3:E$2927) / COUNTIF('Raw Data'!$A$3:$A$2927,$A46))</f>
        <v>0</v>
      </c>
      <c r="I46">
        <f>IF( COUNTIF('Raw Data'!$A$3:$A$2927,$A46)=0,0,SUMIF('Raw Data'!$A$3:$A$2927, $A46,'Raw Data'!F$3:F$2927) / COUNTIF('Raw Data'!$A$3:$A$2927,$A46))</f>
        <v>0</v>
      </c>
      <c r="J46">
        <f>IF( COUNTIF('Raw Data'!$A$3:$A$2927,$A46)=0,0,SUMIF('Raw Data'!$A$3:$A$2927, $A46,'Raw Data'!G$3:G$2927) / COUNTIF('Raw Data'!$A$3:$A$2927,$A46))</f>
        <v>0</v>
      </c>
      <c r="K46">
        <f>IF( COUNTIF('Raw Data'!$A$3:$A$2927,$A46)=0,0,SUMIF('Raw Data'!$A$3:$A$2927, $A46,'Raw Data'!H$3:H$2927) / COUNTIF('Raw Data'!$A$3:$A$2927,$A46))</f>
        <v>0</v>
      </c>
      <c r="L46">
        <f>MAX(IF('Raw Data'!$A$3:$A$927=$A46, 'Raw Data'!$N$3:$N$927))</f>
        <v>0</v>
      </c>
      <c r="M46">
        <f>IF( COUNTIF('Raw Data'!$A$3:$A$2927,$A46)=0,0,SUMIF('Raw Data'!$A$3:$A$2927, $A46,'Raw Data'!J$3:J$2927) / COUNTIF('Raw Data'!$A$3:$A$2927,$A46))</f>
        <v>0</v>
      </c>
      <c r="N46">
        <f>IF( COUNTIF('Raw Data'!$A$3:$A$2927,$A46)=0,0,SUMIF('Raw Data'!$A$3:$A$2927, $A46,'Raw Data'!K$3:K$2927) / COUNTIF('Raw Data'!$A$3:$A$2927,$A46))</f>
        <v>0</v>
      </c>
      <c r="O46">
        <f>IF( COUNTIF('Raw Data'!$A$3:$A$2927,$A46)=0,0,SUMIF('Raw Data'!$A$3:$A$2927, $A46,'Raw Data'!L$3:L$2927) / COUNTIF('Raw Data'!$A$3:$A$2927,$A46))</f>
        <v>0</v>
      </c>
      <c r="P46" s="58">
        <f>IF( COUNTIF('Raw Data'!$A$3:$A$2927,$A46)=0,0,SUMIF('Raw Data'!$A$3:$A$2927, $A46,'Raw Data'!M$3:M$2927) / COUNTIF('Raw Data'!$A$3:$A$2927,$A46))</f>
        <v>0</v>
      </c>
      <c r="Q46">
        <f>MAX(IF('Raw Data'!$A$3:$A$927=$A46, 'Raw Data'!$Z$3:$Z$927))</f>
        <v>0</v>
      </c>
      <c r="R46">
        <f>MAX(IF('Raw Data'!$A$3:$A$927=$A46, 'Raw Data'!$T$3:$T$927))</f>
        <v>0</v>
      </c>
      <c r="S46">
        <f>IF( COUNTIF('Raw Data'!$A$3:$A$2927,$A46)=0,0,SUMIF('Raw Data'!$A$3:$A$2927, $A46,'Raw Data'!P$3:P$2927) / COUNTIF('Raw Data'!$A$3:$A$2927,$A46))</f>
        <v>0</v>
      </c>
      <c r="T46">
        <f>IF( COUNTIF('Raw Data'!$A$3:$A$2927,$A46)=0,0,SUMIF('Raw Data'!$A$3:$A$2927, $A46,'Raw Data'!Q$3:Q$2927) / COUNTIF('Raw Data'!$A$3:$A$2927,$A46))</f>
        <v>0</v>
      </c>
      <c r="U46">
        <f>IF( COUNTIF('Raw Data'!$A$3:$A$2927,$A46)=0,0,SUMIF('Raw Data'!$A$3:$A$2927, $A46,'Raw Data'!R$3:R$2927) / COUNTIF('Raw Data'!$A$3:$A$2927,$A46))</f>
        <v>0</v>
      </c>
      <c r="V46">
        <f>IF( COUNTIF('Raw Data'!$A$3:$A$2927,$A46)=0,0,SUMIF('Raw Data'!$A$3:$A$2927, $A46,'Raw Data'!S$3:S$2927) / COUNTIF('Raw Data'!$A$3:$A$2927,$A46))</f>
        <v>0</v>
      </c>
      <c r="W46">
        <f>MAX(IF('Raw Data'!$A$3:$A$927=$A46, 'Raw Data'!$Y$3:$Y$927))</f>
        <v>0</v>
      </c>
      <c r="X46">
        <f>IF( COUNTIF('Raw Data'!$A$3:$A$2927,$A46)=0,0,SUMIF('Raw Data'!$A$3:$A$2927, $A46,'Raw Data'!U$3:U$2927) / COUNTIF('Raw Data'!$A$3:$A$2927,$A46))</f>
        <v>0</v>
      </c>
      <c r="Y46">
        <f>IF( COUNTIF('Raw Data'!$A$3:$A$2927,$A46)=0,0,SUMIF('Raw Data'!$A$3:$A$2927, $A46,'Raw Data'!V$3:V$2927) / COUNTIF('Raw Data'!$A$3:$A$2927,$A46))</f>
        <v>0</v>
      </c>
      <c r="Z46">
        <f>IF( COUNTIF('Raw Data'!$A$3:$A$2927,$A46)=0,0,SUMIF('Raw Data'!$A$3:$A$2927, $A46,'Raw Data'!W$3:W$2927) / COUNTIF('Raw Data'!$A$3:$A$2927,$A46))</f>
        <v>0</v>
      </c>
      <c r="AA46">
        <f>IF( COUNTIF('Raw Data'!$A$3:$A$2927,$A46)=0,0,SUMIF('Raw Data'!$A$3:$A$2927, $A46,'Raw Data'!X$3:X$2927) / COUNTIF('Raw Data'!$A$3:$A$2927,$A46))</f>
        <v>0</v>
      </c>
      <c r="AB46">
        <f>IF( COUNTIF('Raw Data'!$A$3:$A$2927,$A46)=0,0,SUMIF('Raw Data'!$A$3:$A$2927, $A46,'Raw Data'!AA$3:AA$2927) / COUNTIF('Raw Data'!$A$3:$A$2927,$A46))</f>
        <v>0</v>
      </c>
      <c r="AC46">
        <f>IF( COUNTIF('Raw Data'!$A$3:$A$2927,$A46)=0,0,SUMIF('Raw Data'!$A$3:$A$2927, $A46,'Raw Data'!AB$3:AB$2927) / COUNTIF('Raw Data'!$A$3:$A$2927,$A46))</f>
        <v>0</v>
      </c>
      <c r="AD46">
        <f>IF( COUNTIF('Raw Data'!$A$3:$A$2927,$A46)=0,0,SUMIF('Raw Data'!$A$3:$A$2927, $A46,'Raw Data'!AC$3:AC$2927) / COUNTIF('Raw Data'!$A$3:$A$2927,$A46))</f>
        <v>0</v>
      </c>
      <c r="AE46" s="117">
        <f>IF( COUNTIF('Raw Data'!$A$3:$A$2927,$A46)=0,0,SUMIF('Raw Data'!$A$3:$A$2927, $A46,'Raw Data'!AD$3:AD$2927) / COUNTIF('Raw Data'!$A$3:$A$2927,$A46))</f>
        <v>0</v>
      </c>
      <c r="AF46">
        <f>IF( COUNTIF('Raw Data'!$A$3:$A$2927,$A46)=0,0,SUMIF('Raw Data'!$A$3:$A$2927, $A46,'Raw Data'!AE$3:AE$2927) / COUNTIF('Raw Data'!$A$3:$A$2927,$A46))</f>
        <v>0</v>
      </c>
      <c r="AG46">
        <f>IF( COUNTIF('Raw Data'!$A$3:$A$2927,$A46)=0,0,SUMIF('Raw Data'!$A$3:$A$2927, $A46,'Raw Data'!AF$3:AF$2927) / COUNTIF('Raw Data'!$A$3:$A$2927,$A46))</f>
        <v>0</v>
      </c>
      <c r="AH46">
        <f>IF( COUNTIF('Raw Data'!$A$3:$A$2927,$A46)=0,0,SUMIF('Raw Data'!$A$3:$A$2927, $A46,'Raw Data'!AG$3:AG$2927) / COUNTIF('Raw Data'!$A$3:$A$2927,$A46))</f>
        <v>0</v>
      </c>
      <c r="AI46">
        <f>IF( COUNTIF('Raw Data'!$A$3:$A$2927,$A46)=0,0,SUMIF('Raw Data'!$A$3:$A$2927, $A46,'Raw Data'!AH$3:AH$2927) / COUNTIF('Raw Data'!$A$3:$A$2927,$A46))</f>
        <v>0</v>
      </c>
      <c r="AJ46" s="116">
        <f>COUNTIF('Raw Data'!A$3:A$2927, $A46)</f>
        <v>0</v>
      </c>
      <c r="AK46">
        <f t="shared" si="7"/>
        <v>-21</v>
      </c>
      <c r="AL46">
        <f t="shared" si="8"/>
        <v>-1.5</v>
      </c>
      <c r="AM46">
        <f t="shared" si="9"/>
        <v>-1</v>
      </c>
    </row>
    <row r="47" spans="1:51" ht="15.75" thickBot="1">
      <c r="A47">
        <v>6397</v>
      </c>
      <c r="B47" t="s">
        <v>376</v>
      </c>
      <c r="C47">
        <f t="shared" si="5"/>
        <v>0</v>
      </c>
      <c r="D47">
        <f t="shared" si="6"/>
        <v>0</v>
      </c>
      <c r="E47">
        <f>IF( COUNTIF('Raw Data'!$A$3:$A$2927,$A47)=0,0,SUMIF('Raw Data'!$A$3:$A$2927, $A47,'Raw Data'!D$3:D$2927) / COUNTIF('Raw Data'!$A$3:$A$2927,$A47))</f>
        <v>0</v>
      </c>
      <c r="F47">
        <f>MAX(IF('Raw Data'!$A$3:$A$927=$A47, 'Raw Data'!$O$3:$O$927))</f>
        <v>0</v>
      </c>
      <c r="G47">
        <f>MAX(IF('Raw Data'!$A$3:$A$927=$A47, 'Raw Data'!$I$3:$I$927))</f>
        <v>0</v>
      </c>
      <c r="H47">
        <f>IF( COUNTIF('Raw Data'!$A$3:$A$2927,$A47)=0,0,SUMIF('Raw Data'!$A$3:$A$2927, $A47,'Raw Data'!E$3:E$2927) / COUNTIF('Raw Data'!$A$3:$A$2927,$A47))</f>
        <v>0</v>
      </c>
      <c r="I47">
        <f>IF( COUNTIF('Raw Data'!$A$3:$A$2927,$A47)=0,0,SUMIF('Raw Data'!$A$3:$A$2927, $A47,'Raw Data'!F$3:F$2927) / COUNTIF('Raw Data'!$A$3:$A$2927,$A47))</f>
        <v>0</v>
      </c>
      <c r="J47">
        <f>IF( COUNTIF('Raw Data'!$A$3:$A$2927,$A47)=0,0,SUMIF('Raw Data'!$A$3:$A$2927, $A47,'Raw Data'!G$3:G$2927) / COUNTIF('Raw Data'!$A$3:$A$2927,$A47))</f>
        <v>0</v>
      </c>
      <c r="K47">
        <f>IF( COUNTIF('Raw Data'!$A$3:$A$2927,$A47)=0,0,SUMIF('Raw Data'!$A$3:$A$2927, $A47,'Raw Data'!H$3:H$2927) / COUNTIF('Raw Data'!$A$3:$A$2927,$A47))</f>
        <v>0</v>
      </c>
      <c r="L47">
        <f>MAX(IF('Raw Data'!$A$3:$A$927=$A47, 'Raw Data'!$N$3:$N$927))</f>
        <v>0</v>
      </c>
      <c r="M47">
        <f>IF( COUNTIF('Raw Data'!$A$3:$A$2927,$A47)=0,0,SUMIF('Raw Data'!$A$3:$A$2927, $A47,'Raw Data'!J$3:J$2927) / COUNTIF('Raw Data'!$A$3:$A$2927,$A47))</f>
        <v>0</v>
      </c>
      <c r="N47">
        <f>IF( COUNTIF('Raw Data'!$A$3:$A$2927,$A47)=0,0,SUMIF('Raw Data'!$A$3:$A$2927, $A47,'Raw Data'!K$3:K$2927) / COUNTIF('Raw Data'!$A$3:$A$2927,$A47))</f>
        <v>0</v>
      </c>
      <c r="O47">
        <f>IF( COUNTIF('Raw Data'!$A$3:$A$2927,$A47)=0,0,SUMIF('Raw Data'!$A$3:$A$2927, $A47,'Raw Data'!L$3:L$2927) / COUNTIF('Raw Data'!$A$3:$A$2927,$A47))</f>
        <v>0</v>
      </c>
      <c r="P47" s="58">
        <f>IF( COUNTIF('Raw Data'!$A$3:$A$2927,$A47)=0,0,SUMIF('Raw Data'!$A$3:$A$2927, $A47,'Raw Data'!M$3:M$2927) / COUNTIF('Raw Data'!$A$3:$A$2927,$A47))</f>
        <v>0</v>
      </c>
      <c r="Q47">
        <f>MAX(IF('Raw Data'!$A$3:$A$927=$A47, 'Raw Data'!$Z$3:$Z$927))</f>
        <v>0</v>
      </c>
      <c r="R47">
        <f>MAX(IF('Raw Data'!$A$3:$A$927=$A47, 'Raw Data'!$T$3:$T$927))</f>
        <v>0</v>
      </c>
      <c r="S47">
        <f>IF( COUNTIF('Raw Data'!$A$3:$A$2927,$A47)=0,0,SUMIF('Raw Data'!$A$3:$A$2927, $A47,'Raw Data'!P$3:P$2927) / COUNTIF('Raw Data'!$A$3:$A$2927,$A47))</f>
        <v>0</v>
      </c>
      <c r="T47">
        <f>IF( COUNTIF('Raw Data'!$A$3:$A$2927,$A47)=0,0,SUMIF('Raw Data'!$A$3:$A$2927, $A47,'Raw Data'!Q$3:Q$2927) / COUNTIF('Raw Data'!$A$3:$A$2927,$A47))</f>
        <v>0</v>
      </c>
      <c r="U47">
        <f>IF( COUNTIF('Raw Data'!$A$3:$A$2927,$A47)=0,0,SUMIF('Raw Data'!$A$3:$A$2927, $A47,'Raw Data'!R$3:R$2927) / COUNTIF('Raw Data'!$A$3:$A$2927,$A47))</f>
        <v>0</v>
      </c>
      <c r="V47">
        <f>IF( COUNTIF('Raw Data'!$A$3:$A$2927,$A47)=0,0,SUMIF('Raw Data'!$A$3:$A$2927, $A47,'Raw Data'!S$3:S$2927) / COUNTIF('Raw Data'!$A$3:$A$2927,$A47))</f>
        <v>0</v>
      </c>
      <c r="W47">
        <f>MAX(IF('Raw Data'!$A$3:$A$927=$A47, 'Raw Data'!$Y$3:$Y$927))</f>
        <v>0</v>
      </c>
      <c r="X47">
        <f>IF( COUNTIF('Raw Data'!$A$3:$A$2927,$A47)=0,0,SUMIF('Raw Data'!$A$3:$A$2927, $A47,'Raw Data'!U$3:U$2927) / COUNTIF('Raw Data'!$A$3:$A$2927,$A47))</f>
        <v>0</v>
      </c>
      <c r="Y47">
        <f>IF( COUNTIF('Raw Data'!$A$3:$A$2927,$A47)=0,0,SUMIF('Raw Data'!$A$3:$A$2927, $A47,'Raw Data'!V$3:V$2927) / COUNTIF('Raw Data'!$A$3:$A$2927,$A47))</f>
        <v>0</v>
      </c>
      <c r="Z47">
        <f>IF( COUNTIF('Raw Data'!$A$3:$A$2927,$A47)=0,0,SUMIF('Raw Data'!$A$3:$A$2927, $A47,'Raw Data'!W$3:W$2927) / COUNTIF('Raw Data'!$A$3:$A$2927,$A47))</f>
        <v>0</v>
      </c>
      <c r="AA47">
        <f>IF( COUNTIF('Raw Data'!$A$3:$A$2927,$A47)=0,0,SUMIF('Raw Data'!$A$3:$A$2927, $A47,'Raw Data'!X$3:X$2927) / COUNTIF('Raw Data'!$A$3:$A$2927,$A47))</f>
        <v>0</v>
      </c>
      <c r="AB47">
        <f>IF( COUNTIF('Raw Data'!$A$3:$A$2927,$A47)=0,0,SUMIF('Raw Data'!$A$3:$A$2927, $A47,'Raw Data'!AA$3:AA$2927) / COUNTIF('Raw Data'!$A$3:$A$2927,$A47))</f>
        <v>0</v>
      </c>
      <c r="AC47">
        <f>IF( COUNTIF('Raw Data'!$A$3:$A$2927,$A47)=0,0,SUMIF('Raw Data'!$A$3:$A$2927, $A47,'Raw Data'!AB$3:AB$2927) / COUNTIF('Raw Data'!$A$3:$A$2927,$A47))</f>
        <v>0</v>
      </c>
      <c r="AD47">
        <f>IF( COUNTIF('Raw Data'!$A$3:$A$2927,$A47)=0,0,SUMIF('Raw Data'!$A$3:$A$2927, $A47,'Raw Data'!AC$3:AC$2927) / COUNTIF('Raw Data'!$A$3:$A$2927,$A47))</f>
        <v>0</v>
      </c>
      <c r="AE47" s="117">
        <f>IF( COUNTIF('Raw Data'!$A$3:$A$2927,$A47)=0,0,SUMIF('Raw Data'!$A$3:$A$2927, $A47,'Raw Data'!AD$3:AD$2927) / COUNTIF('Raw Data'!$A$3:$A$2927,$A47))</f>
        <v>0</v>
      </c>
      <c r="AF47">
        <f>IF( COUNTIF('Raw Data'!$A$3:$A$2927,$A47)=0,0,SUMIF('Raw Data'!$A$3:$A$2927, $A47,'Raw Data'!AE$3:AE$2927) / COUNTIF('Raw Data'!$A$3:$A$2927,$A47))</f>
        <v>0</v>
      </c>
      <c r="AG47">
        <f>IF( COUNTIF('Raw Data'!$A$3:$A$2927,$A47)=0,0,SUMIF('Raw Data'!$A$3:$A$2927, $A47,'Raw Data'!AF$3:AF$2927) / COUNTIF('Raw Data'!$A$3:$A$2927,$A47))</f>
        <v>0</v>
      </c>
      <c r="AH47">
        <f>IF( COUNTIF('Raw Data'!$A$3:$A$2927,$A47)=0,0,SUMIF('Raw Data'!$A$3:$A$2927, $A47,'Raw Data'!AG$3:AG$2927) / COUNTIF('Raw Data'!$A$3:$A$2927,$A47))</f>
        <v>0</v>
      </c>
      <c r="AI47">
        <f>IF( COUNTIF('Raw Data'!$A$3:$A$2927,$A47)=0,0,SUMIF('Raw Data'!$A$3:$A$2927, $A47,'Raw Data'!AH$3:AH$2927) / COUNTIF('Raw Data'!$A$3:$A$2927,$A47))</f>
        <v>0</v>
      </c>
      <c r="AJ47" s="116">
        <f>COUNTIF('Raw Data'!A$3:A$2927, $A47)</f>
        <v>0</v>
      </c>
      <c r="AK47">
        <f t="shared" si="7"/>
        <v>-21</v>
      </c>
      <c r="AL47">
        <f t="shared" si="8"/>
        <v>-1.5</v>
      </c>
      <c r="AM47">
        <f t="shared" si="9"/>
        <v>-1</v>
      </c>
    </row>
    <row r="48" spans="1:51" ht="15.75" thickBot="1">
      <c r="A48">
        <v>6514</v>
      </c>
      <c r="B48" t="s">
        <v>223</v>
      </c>
      <c r="C48">
        <f t="shared" si="5"/>
        <v>6.7777777777777777</v>
      </c>
      <c r="D48">
        <f t="shared" si="6"/>
        <v>1.7777777777777777</v>
      </c>
      <c r="E48">
        <f>IF( COUNTIF('Raw Data'!$A$3:$A$2927,$A48)=0,0,SUMIF('Raw Data'!$A$3:$A$2927, $A48,'Raw Data'!D$3:D$2927) / COUNTIF('Raw Data'!$A$3:$A$2927,$A48))</f>
        <v>1.3333333333333333</v>
      </c>
      <c r="F48">
        <f>MAX(IF('Raw Data'!$A$3:$A$927=$A48, 'Raw Data'!$O$3:$O$927))</f>
        <v>0</v>
      </c>
      <c r="G48">
        <f>MAX(IF('Raw Data'!$A$3:$A$927=$A48, 'Raw Data'!$I$3:$I$927))</f>
        <v>0</v>
      </c>
      <c r="H48">
        <f>IF( COUNTIF('Raw Data'!$A$3:$A$2927,$A48)=0,0,SUMIF('Raw Data'!$A$3:$A$2927, $A48,'Raw Data'!E$3:E$2927) / COUNTIF('Raw Data'!$A$3:$A$2927,$A48))</f>
        <v>0</v>
      </c>
      <c r="I48">
        <f>IF( COUNTIF('Raw Data'!$A$3:$A$2927,$A48)=0,0,SUMIF('Raw Data'!$A$3:$A$2927, $A48,'Raw Data'!F$3:F$2927) / COUNTIF('Raw Data'!$A$3:$A$2927,$A48))</f>
        <v>0</v>
      </c>
      <c r="J48">
        <f>IF( COUNTIF('Raw Data'!$A$3:$A$2927,$A48)=0,0,SUMIF('Raw Data'!$A$3:$A$2927, $A48,'Raw Data'!G$3:G$2927) / COUNTIF('Raw Data'!$A$3:$A$2927,$A48))</f>
        <v>0</v>
      </c>
      <c r="K48">
        <f>IF( COUNTIF('Raw Data'!$A$3:$A$2927,$A48)=0,0,SUMIF('Raw Data'!$A$3:$A$2927, $A48,'Raw Data'!H$3:H$2927) / COUNTIF('Raw Data'!$A$3:$A$2927,$A48))</f>
        <v>0</v>
      </c>
      <c r="L48">
        <f>MAX(IF('Raw Data'!$A$3:$A$927=$A48, 'Raw Data'!$N$3:$N$927))</f>
        <v>0</v>
      </c>
      <c r="M48">
        <f>IF( COUNTIF('Raw Data'!$A$3:$A$2927,$A48)=0,0,SUMIF('Raw Data'!$A$3:$A$2927, $A48,'Raw Data'!J$3:J$2927) / COUNTIF('Raw Data'!$A$3:$A$2927,$A48))</f>
        <v>0</v>
      </c>
      <c r="N48">
        <f>IF( COUNTIF('Raw Data'!$A$3:$A$2927,$A48)=0,0,SUMIF('Raw Data'!$A$3:$A$2927, $A48,'Raw Data'!K$3:K$2927) / COUNTIF('Raw Data'!$A$3:$A$2927,$A48))</f>
        <v>0</v>
      </c>
      <c r="O48">
        <f>IF( COUNTIF('Raw Data'!$A$3:$A$2927,$A48)=0,0,SUMIF('Raw Data'!$A$3:$A$2927, $A48,'Raw Data'!L$3:L$2927) / COUNTIF('Raw Data'!$A$3:$A$2927,$A48))</f>
        <v>0</v>
      </c>
      <c r="P48" s="58">
        <f>IF( COUNTIF('Raw Data'!$A$3:$A$2927,$A48)=0,0,SUMIF('Raw Data'!$A$3:$A$2927, $A48,'Raw Data'!M$3:M$2927) / COUNTIF('Raw Data'!$A$3:$A$2927,$A48))</f>
        <v>0</v>
      </c>
      <c r="Q48">
        <f>MAX(IF('Raw Data'!$A$3:$A$927=$A48, 'Raw Data'!$Z$3:$Z$927))</f>
        <v>0</v>
      </c>
      <c r="R48">
        <f>MAX(IF('Raw Data'!$A$3:$A$927=$A48, 'Raw Data'!$T$3:$T$927))</f>
        <v>0</v>
      </c>
      <c r="S48">
        <f>IF( COUNTIF('Raw Data'!$A$3:$A$2927,$A48)=0,0,SUMIF('Raw Data'!$A$3:$A$2927, $A48,'Raw Data'!P$3:P$2927) / COUNTIF('Raw Data'!$A$3:$A$2927,$A48))</f>
        <v>0.66666666666666663</v>
      </c>
      <c r="T48">
        <f>IF( COUNTIF('Raw Data'!$A$3:$A$2927,$A48)=0,0,SUMIF('Raw Data'!$A$3:$A$2927, $A48,'Raw Data'!Q$3:Q$2927) / COUNTIF('Raw Data'!$A$3:$A$2927,$A48))</f>
        <v>0.22222222222222221</v>
      </c>
      <c r="U48">
        <f>IF( COUNTIF('Raw Data'!$A$3:$A$2927,$A48)=0,0,SUMIF('Raw Data'!$A$3:$A$2927, $A48,'Raw Data'!R$3:R$2927) / COUNTIF('Raw Data'!$A$3:$A$2927,$A48))</f>
        <v>0</v>
      </c>
      <c r="V48">
        <f>IF( COUNTIF('Raw Data'!$A$3:$A$2927,$A48)=0,0,SUMIF('Raw Data'!$A$3:$A$2927, $A48,'Raw Data'!S$3:S$2927) / COUNTIF('Raw Data'!$A$3:$A$2927,$A48))</f>
        <v>0</v>
      </c>
      <c r="W48">
        <f>MAX(IF('Raw Data'!$A$3:$A$927=$A48, 'Raw Data'!$Y$3:$Y$927))</f>
        <v>0</v>
      </c>
      <c r="X48">
        <f>IF( COUNTIF('Raw Data'!$A$3:$A$2927,$A48)=0,0,SUMIF('Raw Data'!$A$3:$A$2927, $A48,'Raw Data'!U$3:U$2927) / COUNTIF('Raw Data'!$A$3:$A$2927,$A48))</f>
        <v>0</v>
      </c>
      <c r="Y48">
        <f>IF( COUNTIF('Raw Data'!$A$3:$A$2927,$A48)=0,0,SUMIF('Raw Data'!$A$3:$A$2927, $A48,'Raw Data'!V$3:V$2927) / COUNTIF('Raw Data'!$A$3:$A$2927,$A48))</f>
        <v>0</v>
      </c>
      <c r="Z48">
        <f>IF( COUNTIF('Raw Data'!$A$3:$A$2927,$A48)=0,0,SUMIF('Raw Data'!$A$3:$A$2927, $A48,'Raw Data'!W$3:W$2927) / COUNTIF('Raw Data'!$A$3:$A$2927,$A48))</f>
        <v>0</v>
      </c>
      <c r="AA48">
        <f>IF( COUNTIF('Raw Data'!$A$3:$A$2927,$A48)=0,0,SUMIF('Raw Data'!$A$3:$A$2927, $A48,'Raw Data'!X$3:X$2927) / COUNTIF('Raw Data'!$A$3:$A$2927,$A48))</f>
        <v>0</v>
      </c>
      <c r="AB48">
        <f>IF( COUNTIF('Raw Data'!$A$3:$A$2927,$A48)=0,0,SUMIF('Raw Data'!$A$3:$A$2927, $A48,'Raw Data'!AA$3:AA$2927) / COUNTIF('Raw Data'!$A$3:$A$2927,$A48))</f>
        <v>0</v>
      </c>
      <c r="AC48">
        <f>IF( COUNTIF('Raw Data'!$A$3:$A$2927,$A48)=0,0,SUMIF('Raw Data'!$A$3:$A$2927, $A48,'Raw Data'!AB$3:AB$2927) / COUNTIF('Raw Data'!$A$3:$A$2927,$A48))</f>
        <v>0</v>
      </c>
      <c r="AD48">
        <f>IF( COUNTIF('Raw Data'!$A$3:$A$2927,$A48)=0,0,SUMIF('Raw Data'!$A$3:$A$2927, $A48,'Raw Data'!AC$3:AC$2927) / COUNTIF('Raw Data'!$A$3:$A$2927,$A48))</f>
        <v>0.55555555555555558</v>
      </c>
      <c r="AE48" s="117">
        <f>IF( COUNTIF('Raw Data'!$A$3:$A$2927,$A48)=0,0,SUMIF('Raw Data'!$A$3:$A$2927, $A48,'Raw Data'!AD$3:AD$2927) / COUNTIF('Raw Data'!$A$3:$A$2927,$A48))</f>
        <v>0</v>
      </c>
      <c r="AF48">
        <f>IF( COUNTIF('Raw Data'!$A$3:$A$2927,$A48)=0,0,SUMIF('Raw Data'!$A$3:$A$2927, $A48,'Raw Data'!AE$3:AE$2927) / COUNTIF('Raw Data'!$A$3:$A$2927,$A48))</f>
        <v>0</v>
      </c>
      <c r="AG48">
        <f>IF( COUNTIF('Raw Data'!$A$3:$A$2927,$A48)=0,0,SUMIF('Raw Data'!$A$3:$A$2927, $A48,'Raw Data'!AF$3:AF$2927) / COUNTIF('Raw Data'!$A$3:$A$2927,$A48))</f>
        <v>0</v>
      </c>
      <c r="AH48">
        <f>IF( COUNTIF('Raw Data'!$A$3:$A$2927,$A48)=0,0,SUMIF('Raw Data'!$A$3:$A$2927, $A48,'Raw Data'!AG$3:AG$2927) / COUNTIF('Raw Data'!$A$3:$A$2927,$A48))</f>
        <v>0.66666666666666663</v>
      </c>
      <c r="AI48">
        <f>IF( COUNTIF('Raw Data'!$A$3:$A$2927,$A48)=0,0,SUMIF('Raw Data'!$A$3:$A$2927, $A48,'Raw Data'!AH$3:AH$2927) / COUNTIF('Raw Data'!$A$3:$A$2927,$A48))</f>
        <v>0.66666666666666663</v>
      </c>
      <c r="AJ48" s="116">
        <f>COUNTIF('Raw Data'!A$3:A$2927, $A48)</f>
        <v>9</v>
      </c>
      <c r="AK48">
        <f t="shared" si="7"/>
        <v>-0.77777777777777768</v>
      </c>
      <c r="AL48">
        <f t="shared" si="8"/>
        <v>-2.1111111111111107</v>
      </c>
      <c r="AM48">
        <f t="shared" si="9"/>
        <v>-0.22</v>
      </c>
    </row>
    <row r="49" spans="1:39" ht="15.75" thickBot="1">
      <c r="A49">
        <v>6859</v>
      </c>
      <c r="B49" t="s">
        <v>224</v>
      </c>
      <c r="C49">
        <f t="shared" si="5"/>
        <v>5.1111111111111116</v>
      </c>
      <c r="D49">
        <f t="shared" si="6"/>
        <v>2.7777777777777777</v>
      </c>
      <c r="E49">
        <f>IF( COUNTIF('Raw Data'!$A$3:$A$2927,$A49)=0,0,SUMIF('Raw Data'!$A$3:$A$2927, $A49,'Raw Data'!D$3:D$2927) / COUNTIF('Raw Data'!$A$3:$A$2927,$A49))</f>
        <v>1</v>
      </c>
      <c r="F49">
        <f>MAX(IF('Raw Data'!$A$3:$A$927=$A49, 'Raw Data'!$O$3:$O$927))</f>
        <v>0</v>
      </c>
      <c r="G49">
        <f>MAX(IF('Raw Data'!$A$3:$A$927=$A49, 'Raw Data'!$I$3:$I$927))</f>
        <v>0</v>
      </c>
      <c r="H49">
        <f>IF( COUNTIF('Raw Data'!$A$3:$A$2927,$A49)=0,0,SUMIF('Raw Data'!$A$3:$A$2927, $A49,'Raw Data'!E$3:E$2927) / COUNTIF('Raw Data'!$A$3:$A$2927,$A49))</f>
        <v>0</v>
      </c>
      <c r="I49">
        <f>IF( COUNTIF('Raw Data'!$A$3:$A$2927,$A49)=0,0,SUMIF('Raw Data'!$A$3:$A$2927, $A49,'Raw Data'!F$3:F$2927) / COUNTIF('Raw Data'!$A$3:$A$2927,$A49))</f>
        <v>0</v>
      </c>
      <c r="J49">
        <f>IF( COUNTIF('Raw Data'!$A$3:$A$2927,$A49)=0,0,SUMIF('Raw Data'!$A$3:$A$2927, $A49,'Raw Data'!G$3:G$2927) / COUNTIF('Raw Data'!$A$3:$A$2927,$A49))</f>
        <v>0</v>
      </c>
      <c r="K49">
        <f>IF( COUNTIF('Raw Data'!$A$3:$A$2927,$A49)=0,0,SUMIF('Raw Data'!$A$3:$A$2927, $A49,'Raw Data'!H$3:H$2927) / COUNTIF('Raw Data'!$A$3:$A$2927,$A49))</f>
        <v>0</v>
      </c>
      <c r="L49">
        <f>MAX(IF('Raw Data'!$A$3:$A$927=$A49, 'Raw Data'!$N$3:$N$927))</f>
        <v>0</v>
      </c>
      <c r="M49">
        <f>IF( COUNTIF('Raw Data'!$A$3:$A$2927,$A49)=0,0,SUMIF('Raw Data'!$A$3:$A$2927, $A49,'Raw Data'!J$3:J$2927) / COUNTIF('Raw Data'!$A$3:$A$2927,$A49))</f>
        <v>0</v>
      </c>
      <c r="N49">
        <f>IF( COUNTIF('Raw Data'!$A$3:$A$2927,$A49)=0,0,SUMIF('Raw Data'!$A$3:$A$2927, $A49,'Raw Data'!K$3:K$2927) / COUNTIF('Raw Data'!$A$3:$A$2927,$A49))</f>
        <v>0</v>
      </c>
      <c r="O49">
        <f>IF( COUNTIF('Raw Data'!$A$3:$A$2927,$A49)=0,0,SUMIF('Raw Data'!$A$3:$A$2927, $A49,'Raw Data'!L$3:L$2927) / COUNTIF('Raw Data'!$A$3:$A$2927,$A49))</f>
        <v>0</v>
      </c>
      <c r="P49" s="58">
        <f>IF( COUNTIF('Raw Data'!$A$3:$A$2927,$A49)=0,0,SUMIF('Raw Data'!$A$3:$A$2927, $A49,'Raw Data'!M$3:M$2927) / COUNTIF('Raw Data'!$A$3:$A$2927,$A49))</f>
        <v>0</v>
      </c>
      <c r="Q49">
        <f>MAX(IF('Raw Data'!$A$3:$A$927=$A49, 'Raw Data'!$Z$3:$Z$927))</f>
        <v>0</v>
      </c>
      <c r="R49">
        <f>MAX(IF('Raw Data'!$A$3:$A$927=$A49, 'Raw Data'!$T$3:$T$927))</f>
        <v>0</v>
      </c>
      <c r="S49">
        <f>IF( COUNTIF('Raw Data'!$A$3:$A$2927,$A49)=0,0,SUMIF('Raw Data'!$A$3:$A$2927, $A49,'Raw Data'!P$3:P$2927) / COUNTIF('Raw Data'!$A$3:$A$2927,$A49))</f>
        <v>0.1111111111111111</v>
      </c>
      <c r="T49">
        <f>IF( COUNTIF('Raw Data'!$A$3:$A$2927,$A49)=0,0,SUMIF('Raw Data'!$A$3:$A$2927, $A49,'Raw Data'!Q$3:Q$2927) / COUNTIF('Raw Data'!$A$3:$A$2927,$A49))</f>
        <v>0.1111111111111111</v>
      </c>
      <c r="U49">
        <f>IF( COUNTIF('Raw Data'!$A$3:$A$2927,$A49)=0,0,SUMIF('Raw Data'!$A$3:$A$2927, $A49,'Raw Data'!R$3:R$2927) / COUNTIF('Raw Data'!$A$3:$A$2927,$A49))</f>
        <v>0</v>
      </c>
      <c r="V49">
        <f>IF( COUNTIF('Raw Data'!$A$3:$A$2927,$A49)=0,0,SUMIF('Raw Data'!$A$3:$A$2927, $A49,'Raw Data'!S$3:S$2927) / COUNTIF('Raw Data'!$A$3:$A$2927,$A49))</f>
        <v>0</v>
      </c>
      <c r="W49">
        <f>MAX(IF('Raw Data'!$A$3:$A$927=$A49, 'Raw Data'!$Y$3:$Y$927))</f>
        <v>0</v>
      </c>
      <c r="X49">
        <f>IF( COUNTIF('Raw Data'!$A$3:$A$2927,$A49)=0,0,SUMIF('Raw Data'!$A$3:$A$2927, $A49,'Raw Data'!U$3:U$2927) / COUNTIF('Raw Data'!$A$3:$A$2927,$A49))</f>
        <v>0.77777777777777779</v>
      </c>
      <c r="Y49">
        <f>IF( COUNTIF('Raw Data'!$A$3:$A$2927,$A49)=0,0,SUMIF('Raw Data'!$A$3:$A$2927, $A49,'Raw Data'!V$3:V$2927) / COUNTIF('Raw Data'!$A$3:$A$2927,$A49))</f>
        <v>0</v>
      </c>
      <c r="Z49">
        <f>IF( COUNTIF('Raw Data'!$A$3:$A$2927,$A49)=0,0,SUMIF('Raw Data'!$A$3:$A$2927, $A49,'Raw Data'!W$3:W$2927) / COUNTIF('Raw Data'!$A$3:$A$2927,$A49))</f>
        <v>0</v>
      </c>
      <c r="AA49">
        <f>IF( COUNTIF('Raw Data'!$A$3:$A$2927,$A49)=0,0,SUMIF('Raw Data'!$A$3:$A$2927, $A49,'Raw Data'!X$3:X$2927) / COUNTIF('Raw Data'!$A$3:$A$2927,$A49))</f>
        <v>0</v>
      </c>
      <c r="AB49">
        <f>IF( COUNTIF('Raw Data'!$A$3:$A$2927,$A49)=0,0,SUMIF('Raw Data'!$A$3:$A$2927, $A49,'Raw Data'!AA$3:AA$2927) / COUNTIF('Raw Data'!$A$3:$A$2927,$A49))</f>
        <v>0.66666666666666663</v>
      </c>
      <c r="AC49">
        <f>IF( COUNTIF('Raw Data'!$A$3:$A$2927,$A49)=0,0,SUMIF('Raw Data'!$A$3:$A$2927, $A49,'Raw Data'!AB$3:AB$2927) / COUNTIF('Raw Data'!$A$3:$A$2927,$A49))</f>
        <v>0</v>
      </c>
      <c r="AD49">
        <f>IF( COUNTIF('Raw Data'!$A$3:$A$2927,$A49)=0,0,SUMIF('Raw Data'!$A$3:$A$2927, $A49,'Raw Data'!AC$3:AC$2927) / COUNTIF('Raw Data'!$A$3:$A$2927,$A49))</f>
        <v>0.44444444444444442</v>
      </c>
      <c r="AE49" s="117">
        <f>IF( COUNTIF('Raw Data'!$A$3:$A$2927,$A49)=0,0,SUMIF('Raw Data'!$A$3:$A$2927, $A49,'Raw Data'!AD$3:AD$2927) / COUNTIF('Raw Data'!$A$3:$A$2927,$A49))</f>
        <v>0</v>
      </c>
      <c r="AF49">
        <f>IF( COUNTIF('Raw Data'!$A$3:$A$2927,$A49)=0,0,SUMIF('Raw Data'!$A$3:$A$2927, $A49,'Raw Data'!AE$3:AE$2927) / COUNTIF('Raw Data'!$A$3:$A$2927,$A49))</f>
        <v>0.1111111111111111</v>
      </c>
      <c r="AG49">
        <f>IF( COUNTIF('Raw Data'!$A$3:$A$2927,$A49)=0,0,SUMIF('Raw Data'!$A$3:$A$2927, $A49,'Raw Data'!AF$3:AF$2927) / COUNTIF('Raw Data'!$A$3:$A$2927,$A49))</f>
        <v>0</v>
      </c>
      <c r="AH49">
        <f>IF( COUNTIF('Raw Data'!$A$3:$A$2927,$A49)=0,0,SUMIF('Raw Data'!$A$3:$A$2927, $A49,'Raw Data'!AG$3:AG$2927) / COUNTIF('Raw Data'!$A$3:$A$2927,$A49))</f>
        <v>2</v>
      </c>
      <c r="AI49">
        <f>IF( COUNTIF('Raw Data'!$A$3:$A$2927,$A49)=0,0,SUMIF('Raw Data'!$A$3:$A$2927, $A49,'Raw Data'!AH$3:AH$2927) / COUNTIF('Raw Data'!$A$3:$A$2927,$A49))</f>
        <v>0.1111111111111111</v>
      </c>
      <c r="AJ49" s="116">
        <f>COUNTIF('Raw Data'!A$3:A$2927, $A49)</f>
        <v>9</v>
      </c>
      <c r="AK49">
        <f t="shared" si="7"/>
        <v>-0.70888888888888879</v>
      </c>
      <c r="AL49">
        <f t="shared" si="8"/>
        <v>-1.4444444444444446</v>
      </c>
      <c r="AM49">
        <f t="shared" si="9"/>
        <v>-0.10444444444444445</v>
      </c>
    </row>
    <row r="50" spans="1:39" ht="15.75" thickBot="1">
      <c r="A50">
        <v>6864</v>
      </c>
      <c r="B50" t="s">
        <v>225</v>
      </c>
      <c r="C50">
        <f t="shared" si="5"/>
        <v>7.8181818181818201</v>
      </c>
      <c r="D50">
        <f t="shared" si="6"/>
        <v>3.7272727272727275</v>
      </c>
      <c r="E50">
        <f>IF( COUNTIF('Raw Data'!$A$3:$A$2927,$A50)=0,0,SUMIF('Raw Data'!$A$3:$A$2927, $A50,'Raw Data'!D$3:D$2927) / COUNTIF('Raw Data'!$A$3:$A$2927,$A50))</f>
        <v>1.1818181818181819</v>
      </c>
      <c r="F50">
        <f>MAX(IF('Raw Data'!$A$3:$A$927=$A50, 'Raw Data'!$O$3:$O$927))</f>
        <v>0</v>
      </c>
      <c r="G50">
        <f>MAX(IF('Raw Data'!$A$3:$A$927=$A50, 'Raw Data'!$I$3:$I$927))</f>
        <v>0</v>
      </c>
      <c r="H50">
        <f>IF( COUNTIF('Raw Data'!$A$3:$A$2927,$A50)=0,0,SUMIF('Raw Data'!$A$3:$A$2927, $A50,'Raw Data'!E$3:E$2927) / COUNTIF('Raw Data'!$A$3:$A$2927,$A50))</f>
        <v>9.0909090909090912E-2</v>
      </c>
      <c r="I50">
        <f>IF( COUNTIF('Raw Data'!$A$3:$A$2927,$A50)=0,0,SUMIF('Raw Data'!$A$3:$A$2927, $A50,'Raw Data'!F$3:F$2927) / COUNTIF('Raw Data'!$A$3:$A$2927,$A50))</f>
        <v>0</v>
      </c>
      <c r="J50">
        <f>IF( COUNTIF('Raw Data'!$A$3:$A$2927,$A50)=0,0,SUMIF('Raw Data'!$A$3:$A$2927, $A50,'Raw Data'!G$3:G$2927) / COUNTIF('Raw Data'!$A$3:$A$2927,$A50))</f>
        <v>0</v>
      </c>
      <c r="K50">
        <f>IF( COUNTIF('Raw Data'!$A$3:$A$2927,$A50)=0,0,SUMIF('Raw Data'!$A$3:$A$2927, $A50,'Raw Data'!H$3:H$2927) / COUNTIF('Raw Data'!$A$3:$A$2927,$A50))</f>
        <v>0</v>
      </c>
      <c r="L50">
        <f>MAX(IF('Raw Data'!$A$3:$A$927=$A50, 'Raw Data'!$N$3:$N$927))</f>
        <v>0</v>
      </c>
      <c r="M50">
        <f>IF( COUNTIF('Raw Data'!$A$3:$A$2927,$A50)=0,0,SUMIF('Raw Data'!$A$3:$A$2927, $A50,'Raw Data'!J$3:J$2927) / COUNTIF('Raw Data'!$A$3:$A$2927,$A50))</f>
        <v>0</v>
      </c>
      <c r="N50">
        <f>IF( COUNTIF('Raw Data'!$A$3:$A$2927,$A50)=0,0,SUMIF('Raw Data'!$A$3:$A$2927, $A50,'Raw Data'!K$3:K$2927) / COUNTIF('Raw Data'!$A$3:$A$2927,$A50))</f>
        <v>0</v>
      </c>
      <c r="O50">
        <f>IF( COUNTIF('Raw Data'!$A$3:$A$2927,$A50)=0,0,SUMIF('Raw Data'!$A$3:$A$2927, $A50,'Raw Data'!L$3:L$2927) / COUNTIF('Raw Data'!$A$3:$A$2927,$A50))</f>
        <v>0</v>
      </c>
      <c r="P50" s="58">
        <f>IF( COUNTIF('Raw Data'!$A$3:$A$2927,$A50)=0,0,SUMIF('Raw Data'!$A$3:$A$2927, $A50,'Raw Data'!M$3:M$2927) / COUNTIF('Raw Data'!$A$3:$A$2927,$A50))</f>
        <v>0</v>
      </c>
      <c r="Q50">
        <f>MAX(IF('Raw Data'!$A$3:$A$927=$A50, 'Raw Data'!$Z$3:$Z$927))</f>
        <v>0</v>
      </c>
      <c r="R50">
        <f>MAX(IF('Raw Data'!$A$3:$A$927=$A50, 'Raw Data'!$T$3:$T$927))</f>
        <v>0</v>
      </c>
      <c r="S50">
        <f>IF( COUNTIF('Raw Data'!$A$3:$A$2927,$A50)=0,0,SUMIF('Raw Data'!$A$3:$A$2927, $A50,'Raw Data'!P$3:P$2927) / COUNTIF('Raw Data'!$A$3:$A$2927,$A50))</f>
        <v>0.27272727272727271</v>
      </c>
      <c r="T50">
        <f>IF( COUNTIF('Raw Data'!$A$3:$A$2927,$A50)=0,0,SUMIF('Raw Data'!$A$3:$A$2927, $A50,'Raw Data'!Q$3:Q$2927) / COUNTIF('Raw Data'!$A$3:$A$2927,$A50))</f>
        <v>0</v>
      </c>
      <c r="U50">
        <f>IF( COUNTIF('Raw Data'!$A$3:$A$2927,$A50)=0,0,SUMIF('Raw Data'!$A$3:$A$2927, $A50,'Raw Data'!R$3:R$2927) / COUNTIF('Raw Data'!$A$3:$A$2927,$A50))</f>
        <v>0</v>
      </c>
      <c r="V50">
        <f>IF( COUNTIF('Raw Data'!$A$3:$A$2927,$A50)=0,0,SUMIF('Raw Data'!$A$3:$A$2927, $A50,'Raw Data'!S$3:S$2927) / COUNTIF('Raw Data'!$A$3:$A$2927,$A50))</f>
        <v>0</v>
      </c>
      <c r="W50">
        <f>MAX(IF('Raw Data'!$A$3:$A$927=$A50, 'Raw Data'!$Y$3:$Y$927))</f>
        <v>0</v>
      </c>
      <c r="X50">
        <f>IF( COUNTIF('Raw Data'!$A$3:$A$2927,$A50)=0,0,SUMIF('Raw Data'!$A$3:$A$2927, $A50,'Raw Data'!U$3:U$2927) / COUNTIF('Raw Data'!$A$3:$A$2927,$A50))</f>
        <v>1</v>
      </c>
      <c r="Y50">
        <f>IF( COUNTIF('Raw Data'!$A$3:$A$2927,$A50)=0,0,SUMIF('Raw Data'!$A$3:$A$2927, $A50,'Raw Data'!V$3:V$2927) / COUNTIF('Raw Data'!$A$3:$A$2927,$A50))</f>
        <v>0</v>
      </c>
      <c r="Z50">
        <f>IF( COUNTIF('Raw Data'!$A$3:$A$2927,$A50)=0,0,SUMIF('Raw Data'!$A$3:$A$2927, $A50,'Raw Data'!W$3:W$2927) / COUNTIF('Raw Data'!$A$3:$A$2927,$A50))</f>
        <v>0</v>
      </c>
      <c r="AA50">
        <f>IF( COUNTIF('Raw Data'!$A$3:$A$2927,$A50)=0,0,SUMIF('Raw Data'!$A$3:$A$2927, $A50,'Raw Data'!X$3:X$2927) / COUNTIF('Raw Data'!$A$3:$A$2927,$A50))</f>
        <v>0</v>
      </c>
      <c r="AB50">
        <f>IF( COUNTIF('Raw Data'!$A$3:$A$2927,$A50)=0,0,SUMIF('Raw Data'!$A$3:$A$2927, $A50,'Raw Data'!AA$3:AA$2927) / COUNTIF('Raw Data'!$A$3:$A$2927,$A50))</f>
        <v>9.1818181818181817</v>
      </c>
      <c r="AC50">
        <f>IF( COUNTIF('Raw Data'!$A$3:$A$2927,$A50)=0,0,SUMIF('Raw Data'!$A$3:$A$2927, $A50,'Raw Data'!AB$3:AB$2927) / COUNTIF('Raw Data'!$A$3:$A$2927,$A50))</f>
        <v>0</v>
      </c>
      <c r="AD50">
        <f>IF( COUNTIF('Raw Data'!$A$3:$A$2927,$A50)=0,0,SUMIF('Raw Data'!$A$3:$A$2927, $A50,'Raw Data'!AC$3:AC$2927) / COUNTIF('Raw Data'!$A$3:$A$2927,$A50))</f>
        <v>0.63636363636363635</v>
      </c>
      <c r="AE50" s="117">
        <f>IF( COUNTIF('Raw Data'!$A$3:$A$2927,$A50)=0,0,SUMIF('Raw Data'!$A$3:$A$2927, $A50,'Raw Data'!AD$3:AD$2927) / COUNTIF('Raw Data'!$A$3:$A$2927,$A50))</f>
        <v>0</v>
      </c>
      <c r="AF50">
        <f>IF( COUNTIF('Raw Data'!$A$3:$A$2927,$A50)=0,0,SUMIF('Raw Data'!$A$3:$A$2927, $A50,'Raw Data'!AE$3:AE$2927) / COUNTIF('Raw Data'!$A$3:$A$2927,$A50))</f>
        <v>0</v>
      </c>
      <c r="AG50">
        <f>IF( COUNTIF('Raw Data'!$A$3:$A$2927,$A50)=0,0,SUMIF('Raw Data'!$A$3:$A$2927, $A50,'Raw Data'!AF$3:AF$2927) / COUNTIF('Raw Data'!$A$3:$A$2927,$A50))</f>
        <v>0</v>
      </c>
      <c r="AH50">
        <f>IF( COUNTIF('Raw Data'!$A$3:$A$2927,$A50)=0,0,SUMIF('Raw Data'!$A$3:$A$2927, $A50,'Raw Data'!AG$3:AG$2927) / COUNTIF('Raw Data'!$A$3:$A$2927,$A50))</f>
        <v>1.3636363636363635</v>
      </c>
      <c r="AI50">
        <f>IF( COUNTIF('Raw Data'!$A$3:$A$2927,$A50)=0,0,SUMIF('Raw Data'!$A$3:$A$2927, $A50,'Raw Data'!AH$3:AH$2927) / COUNTIF('Raw Data'!$A$3:$A$2927,$A50))</f>
        <v>0.45454545454545453</v>
      </c>
      <c r="AJ50" s="116">
        <f>COUNTIF('Raw Data'!A$3:A$2927, $A50)</f>
        <v>11</v>
      </c>
      <c r="AK50">
        <f t="shared" si="7"/>
        <v>-0.56727272727272715</v>
      </c>
      <c r="AL50">
        <f t="shared" si="8"/>
        <v>-2.0909090909090908</v>
      </c>
      <c r="AM50">
        <f t="shared" si="9"/>
        <v>0.55000000000000004</v>
      </c>
    </row>
    <row r="51" spans="1:39" ht="15.75" thickBot="1">
      <c r="A51">
        <v>6866</v>
      </c>
      <c r="B51" t="s">
        <v>226</v>
      </c>
      <c r="C51">
        <f t="shared" si="5"/>
        <v>13.75</v>
      </c>
      <c r="D51">
        <f t="shared" si="6"/>
        <v>8.125</v>
      </c>
      <c r="E51">
        <f>IF( COUNTIF('Raw Data'!$A$3:$A$2927,$A51)=0,0,SUMIF('Raw Data'!$A$3:$A$2927, $A51,'Raw Data'!D$3:D$2927) / COUNTIF('Raw Data'!$A$3:$A$2927,$A51))</f>
        <v>1.75</v>
      </c>
      <c r="F51">
        <f>MAX(IF('Raw Data'!$A$3:$A$927=$A51, 'Raw Data'!$O$3:$O$927))</f>
        <v>0</v>
      </c>
      <c r="G51">
        <f>MAX(IF('Raw Data'!$A$3:$A$927=$A51, 'Raw Data'!$I$3:$I$927))</f>
        <v>0</v>
      </c>
      <c r="H51">
        <f>IF( COUNTIF('Raw Data'!$A$3:$A$2927,$A51)=0,0,SUMIF('Raw Data'!$A$3:$A$2927, $A51,'Raw Data'!E$3:E$2927) / COUNTIF('Raw Data'!$A$3:$A$2927,$A51))</f>
        <v>0</v>
      </c>
      <c r="I51">
        <f>IF( COUNTIF('Raw Data'!$A$3:$A$2927,$A51)=0,0,SUMIF('Raw Data'!$A$3:$A$2927, $A51,'Raw Data'!F$3:F$2927) / COUNTIF('Raw Data'!$A$3:$A$2927,$A51))</f>
        <v>0</v>
      </c>
      <c r="J51">
        <f>IF( COUNTIF('Raw Data'!$A$3:$A$2927,$A51)=0,0,SUMIF('Raw Data'!$A$3:$A$2927, $A51,'Raw Data'!G$3:G$2927) / COUNTIF('Raw Data'!$A$3:$A$2927,$A51))</f>
        <v>0</v>
      </c>
      <c r="K51">
        <f>IF( COUNTIF('Raw Data'!$A$3:$A$2927,$A51)=0,0,SUMIF('Raw Data'!$A$3:$A$2927, $A51,'Raw Data'!H$3:H$2927) / COUNTIF('Raw Data'!$A$3:$A$2927,$A51))</f>
        <v>0</v>
      </c>
      <c r="L51">
        <f>MAX(IF('Raw Data'!$A$3:$A$927=$A51, 'Raw Data'!$N$3:$N$927))</f>
        <v>0</v>
      </c>
      <c r="M51">
        <f>IF( COUNTIF('Raw Data'!$A$3:$A$2927,$A51)=0,0,SUMIF('Raw Data'!$A$3:$A$2927, $A51,'Raw Data'!J$3:J$2927) / COUNTIF('Raw Data'!$A$3:$A$2927,$A51))</f>
        <v>0</v>
      </c>
      <c r="N51">
        <f>IF( COUNTIF('Raw Data'!$A$3:$A$2927,$A51)=0,0,SUMIF('Raw Data'!$A$3:$A$2927, $A51,'Raw Data'!K$3:K$2927) / COUNTIF('Raw Data'!$A$3:$A$2927,$A51))</f>
        <v>0</v>
      </c>
      <c r="O51">
        <f>IF( COUNTIF('Raw Data'!$A$3:$A$2927,$A51)=0,0,SUMIF('Raw Data'!$A$3:$A$2927, $A51,'Raw Data'!L$3:L$2927) / COUNTIF('Raw Data'!$A$3:$A$2927,$A51))</f>
        <v>0</v>
      </c>
      <c r="P51" s="58">
        <f>IF( COUNTIF('Raw Data'!$A$3:$A$2927,$A51)=0,0,SUMIF('Raw Data'!$A$3:$A$2927, $A51,'Raw Data'!M$3:M$2927) / COUNTIF('Raw Data'!$A$3:$A$2927,$A51))</f>
        <v>0</v>
      </c>
      <c r="Q51">
        <f>MAX(IF('Raw Data'!$A$3:$A$927=$A51, 'Raw Data'!$Z$3:$Z$927))</f>
        <v>0</v>
      </c>
      <c r="R51">
        <f>MAX(IF('Raw Data'!$A$3:$A$927=$A51, 'Raw Data'!$T$3:$T$927))</f>
        <v>0</v>
      </c>
      <c r="S51">
        <f>IF( COUNTIF('Raw Data'!$A$3:$A$2927,$A51)=0,0,SUMIF('Raw Data'!$A$3:$A$2927, $A51,'Raw Data'!P$3:P$2927) / COUNTIF('Raw Data'!$A$3:$A$2927,$A51))</f>
        <v>0.125</v>
      </c>
      <c r="T51">
        <f>IF( COUNTIF('Raw Data'!$A$3:$A$2927,$A51)=0,0,SUMIF('Raw Data'!$A$3:$A$2927, $A51,'Raw Data'!Q$3:Q$2927) / COUNTIF('Raw Data'!$A$3:$A$2927,$A51))</f>
        <v>0</v>
      </c>
      <c r="U51">
        <f>IF( COUNTIF('Raw Data'!$A$3:$A$2927,$A51)=0,0,SUMIF('Raw Data'!$A$3:$A$2927, $A51,'Raw Data'!R$3:R$2927) / COUNTIF('Raw Data'!$A$3:$A$2927,$A51))</f>
        <v>0</v>
      </c>
      <c r="V51">
        <f>IF( COUNTIF('Raw Data'!$A$3:$A$2927,$A51)=0,0,SUMIF('Raw Data'!$A$3:$A$2927, $A51,'Raw Data'!S$3:S$2927) / COUNTIF('Raw Data'!$A$3:$A$2927,$A51))</f>
        <v>0</v>
      </c>
      <c r="W51">
        <f>MAX(IF('Raw Data'!$A$3:$A$927=$A51, 'Raw Data'!$Y$3:$Y$927))</f>
        <v>0</v>
      </c>
      <c r="X51">
        <f>IF( COUNTIF('Raw Data'!$A$3:$A$2927,$A51)=0,0,SUMIF('Raw Data'!$A$3:$A$2927, $A51,'Raw Data'!U$3:U$2927) / COUNTIF('Raw Data'!$A$3:$A$2927,$A51))</f>
        <v>2.625</v>
      </c>
      <c r="Y51">
        <f>IF( COUNTIF('Raw Data'!$A$3:$A$2927,$A51)=0,0,SUMIF('Raw Data'!$A$3:$A$2927, $A51,'Raw Data'!V$3:V$2927) / COUNTIF('Raw Data'!$A$3:$A$2927,$A51))</f>
        <v>0</v>
      </c>
      <c r="Z51">
        <f>IF( COUNTIF('Raw Data'!$A$3:$A$2927,$A51)=0,0,SUMIF('Raw Data'!$A$3:$A$2927, $A51,'Raw Data'!W$3:W$2927) / COUNTIF('Raw Data'!$A$3:$A$2927,$A51))</f>
        <v>0</v>
      </c>
      <c r="AA51">
        <f>IF( COUNTIF('Raw Data'!$A$3:$A$2927,$A51)=0,0,SUMIF('Raw Data'!$A$3:$A$2927, $A51,'Raw Data'!X$3:X$2927) / COUNTIF('Raw Data'!$A$3:$A$2927,$A51))</f>
        <v>0</v>
      </c>
      <c r="AB51">
        <f>IF( COUNTIF('Raw Data'!$A$3:$A$2927,$A51)=0,0,SUMIF('Raw Data'!$A$3:$A$2927, $A51,'Raw Data'!AA$3:AA$2927) / COUNTIF('Raw Data'!$A$3:$A$2927,$A51))</f>
        <v>6.875</v>
      </c>
      <c r="AC51">
        <f>IF( COUNTIF('Raw Data'!$A$3:$A$2927,$A51)=0,0,SUMIF('Raw Data'!$A$3:$A$2927, $A51,'Raw Data'!AB$3:AB$2927) / COUNTIF('Raw Data'!$A$3:$A$2927,$A51))</f>
        <v>0</v>
      </c>
      <c r="AD51">
        <f>IF( COUNTIF('Raw Data'!$A$3:$A$2927,$A51)=0,0,SUMIF('Raw Data'!$A$3:$A$2927, $A51,'Raw Data'!AC$3:AC$2927) / COUNTIF('Raw Data'!$A$3:$A$2927,$A51))</f>
        <v>0.875</v>
      </c>
      <c r="AE51" s="117">
        <f>IF( COUNTIF('Raw Data'!$A$3:$A$2927,$A51)=0,0,SUMIF('Raw Data'!$A$3:$A$2927, $A51,'Raw Data'!AD$3:AD$2927) / COUNTIF('Raw Data'!$A$3:$A$2927,$A51))</f>
        <v>0</v>
      </c>
      <c r="AF51">
        <f>IF( COUNTIF('Raw Data'!$A$3:$A$2927,$A51)=0,0,SUMIF('Raw Data'!$A$3:$A$2927, $A51,'Raw Data'!AE$3:AE$2927) / COUNTIF('Raw Data'!$A$3:$A$2927,$A51))</f>
        <v>0</v>
      </c>
      <c r="AG51">
        <f>IF( COUNTIF('Raw Data'!$A$3:$A$2927,$A51)=0,0,SUMIF('Raw Data'!$A$3:$A$2927, $A51,'Raw Data'!AF$3:AF$2927) / COUNTIF('Raw Data'!$A$3:$A$2927,$A51))</f>
        <v>0</v>
      </c>
      <c r="AH51">
        <f>IF( COUNTIF('Raw Data'!$A$3:$A$2927,$A51)=0,0,SUMIF('Raw Data'!$A$3:$A$2927, $A51,'Raw Data'!AG$3:AG$2927) / COUNTIF('Raw Data'!$A$3:$A$2927,$A51))</f>
        <v>2.25</v>
      </c>
      <c r="AI51">
        <f>IF( COUNTIF('Raw Data'!$A$3:$A$2927,$A51)=0,0,SUMIF('Raw Data'!$A$3:$A$2927, $A51,'Raw Data'!AH$3:AH$2927) / COUNTIF('Raw Data'!$A$3:$A$2927,$A51))</f>
        <v>0</v>
      </c>
      <c r="AJ51" s="116">
        <f>COUNTIF('Raw Data'!A$3:A$2927, $A51)</f>
        <v>8</v>
      </c>
      <c r="AK51">
        <f t="shared" si="7"/>
        <v>1.7324999999999999</v>
      </c>
      <c r="AL51">
        <f t="shared" si="8"/>
        <v>-1</v>
      </c>
      <c r="AM51">
        <f t="shared" si="9"/>
        <v>1.8824999999999998</v>
      </c>
    </row>
    <row r="52" spans="1:39" ht="15.75" thickBot="1">
      <c r="A52">
        <v>6867</v>
      </c>
      <c r="B52" t="s">
        <v>227</v>
      </c>
      <c r="C52">
        <f t="shared" si="5"/>
        <v>16.818181818181817</v>
      </c>
      <c r="D52">
        <f t="shared" si="6"/>
        <v>8.9090909090909083</v>
      </c>
      <c r="E52">
        <f>IF( COUNTIF('Raw Data'!$A$3:$A$2927,$A52)=0,0,SUMIF('Raw Data'!$A$3:$A$2927, $A52,'Raw Data'!D$3:D$2927) / COUNTIF('Raw Data'!$A$3:$A$2927,$A52))</f>
        <v>1.7272727272727273</v>
      </c>
      <c r="F52">
        <f>MAX(IF('Raw Data'!$A$3:$A$927=$A52, 'Raw Data'!$O$3:$O$927))</f>
        <v>0</v>
      </c>
      <c r="G52">
        <f>MAX(IF('Raw Data'!$A$3:$A$927=$A52, 'Raw Data'!$I$3:$I$927))</f>
        <v>0</v>
      </c>
      <c r="H52">
        <f>IF( COUNTIF('Raw Data'!$A$3:$A$2927,$A52)=0,0,SUMIF('Raw Data'!$A$3:$A$2927, $A52,'Raw Data'!E$3:E$2927) / COUNTIF('Raw Data'!$A$3:$A$2927,$A52))</f>
        <v>0.54545454545454541</v>
      </c>
      <c r="I52">
        <f>IF( COUNTIF('Raw Data'!$A$3:$A$2927,$A52)=0,0,SUMIF('Raw Data'!$A$3:$A$2927, $A52,'Raw Data'!F$3:F$2927) / COUNTIF('Raw Data'!$A$3:$A$2927,$A52))</f>
        <v>0</v>
      </c>
      <c r="J52">
        <f>IF( COUNTIF('Raw Data'!$A$3:$A$2927,$A52)=0,0,SUMIF('Raw Data'!$A$3:$A$2927, $A52,'Raw Data'!G$3:G$2927) / COUNTIF('Raw Data'!$A$3:$A$2927,$A52))</f>
        <v>0</v>
      </c>
      <c r="K52">
        <f>IF( COUNTIF('Raw Data'!$A$3:$A$2927,$A52)=0,0,SUMIF('Raw Data'!$A$3:$A$2927, $A52,'Raw Data'!H$3:H$2927) / COUNTIF('Raw Data'!$A$3:$A$2927,$A52))</f>
        <v>0</v>
      </c>
      <c r="L52">
        <f>MAX(IF('Raw Data'!$A$3:$A$927=$A52, 'Raw Data'!$N$3:$N$927))</f>
        <v>0</v>
      </c>
      <c r="M52">
        <f>IF( COUNTIF('Raw Data'!$A$3:$A$2927,$A52)=0,0,SUMIF('Raw Data'!$A$3:$A$2927, $A52,'Raw Data'!J$3:J$2927) / COUNTIF('Raw Data'!$A$3:$A$2927,$A52))</f>
        <v>0</v>
      </c>
      <c r="N52">
        <f>IF( COUNTIF('Raw Data'!$A$3:$A$2927,$A52)=0,0,SUMIF('Raw Data'!$A$3:$A$2927, $A52,'Raw Data'!K$3:K$2927) / COUNTIF('Raw Data'!$A$3:$A$2927,$A52))</f>
        <v>0</v>
      </c>
      <c r="O52">
        <f>IF( COUNTIF('Raw Data'!$A$3:$A$2927,$A52)=0,0,SUMIF('Raw Data'!$A$3:$A$2927, $A52,'Raw Data'!L$3:L$2927) / COUNTIF('Raw Data'!$A$3:$A$2927,$A52))</f>
        <v>0</v>
      </c>
      <c r="P52" s="58">
        <f>IF( COUNTIF('Raw Data'!$A$3:$A$2927,$A52)=0,0,SUMIF('Raw Data'!$A$3:$A$2927, $A52,'Raw Data'!M$3:M$2927) / COUNTIF('Raw Data'!$A$3:$A$2927,$A52))</f>
        <v>0</v>
      </c>
      <c r="Q52">
        <f>MAX(IF('Raw Data'!$A$3:$A$927=$A52, 'Raw Data'!$Z$3:$Z$927))</f>
        <v>0</v>
      </c>
      <c r="R52">
        <f>MAX(IF('Raw Data'!$A$3:$A$927=$A52, 'Raw Data'!$T$3:$T$927))</f>
        <v>0</v>
      </c>
      <c r="S52">
        <f>IF( COUNTIF('Raw Data'!$A$3:$A$2927,$A52)=0,0,SUMIF('Raw Data'!$A$3:$A$2927, $A52,'Raw Data'!P$3:P$2927) / COUNTIF('Raw Data'!$A$3:$A$2927,$A52))</f>
        <v>2.5454545454545454</v>
      </c>
      <c r="T52">
        <f>IF( COUNTIF('Raw Data'!$A$3:$A$2927,$A52)=0,0,SUMIF('Raw Data'!$A$3:$A$2927, $A52,'Raw Data'!Q$3:Q$2927) / COUNTIF('Raw Data'!$A$3:$A$2927,$A52))</f>
        <v>1.0909090909090908</v>
      </c>
      <c r="U52">
        <f>IF( COUNTIF('Raw Data'!$A$3:$A$2927,$A52)=0,0,SUMIF('Raw Data'!$A$3:$A$2927, $A52,'Raw Data'!R$3:R$2927) / COUNTIF('Raw Data'!$A$3:$A$2927,$A52))</f>
        <v>0</v>
      </c>
      <c r="V52">
        <f>IF( COUNTIF('Raw Data'!$A$3:$A$2927,$A52)=0,0,SUMIF('Raw Data'!$A$3:$A$2927, $A52,'Raw Data'!S$3:S$2927) / COUNTIF('Raw Data'!$A$3:$A$2927,$A52))</f>
        <v>0</v>
      </c>
      <c r="W52">
        <f>MAX(IF('Raw Data'!$A$3:$A$927=$A52, 'Raw Data'!$Y$3:$Y$927))</f>
        <v>0</v>
      </c>
      <c r="X52">
        <f>IF( COUNTIF('Raw Data'!$A$3:$A$2927,$A52)=0,0,SUMIF('Raw Data'!$A$3:$A$2927, $A52,'Raw Data'!U$3:U$2927) / COUNTIF('Raw Data'!$A$3:$A$2927,$A52))</f>
        <v>0.18181818181818182</v>
      </c>
      <c r="Y52">
        <f>IF( COUNTIF('Raw Data'!$A$3:$A$2927,$A52)=0,0,SUMIF('Raw Data'!$A$3:$A$2927, $A52,'Raw Data'!V$3:V$2927) / COUNTIF('Raw Data'!$A$3:$A$2927,$A52))</f>
        <v>0</v>
      </c>
      <c r="Z52">
        <f>IF( COUNTIF('Raw Data'!$A$3:$A$2927,$A52)=0,0,SUMIF('Raw Data'!$A$3:$A$2927, $A52,'Raw Data'!W$3:W$2927) / COUNTIF('Raw Data'!$A$3:$A$2927,$A52))</f>
        <v>0</v>
      </c>
      <c r="AA52">
        <f>IF( COUNTIF('Raw Data'!$A$3:$A$2927,$A52)=0,0,SUMIF('Raw Data'!$A$3:$A$2927, $A52,'Raw Data'!X$3:X$2927) / COUNTIF('Raw Data'!$A$3:$A$2927,$A52))</f>
        <v>0</v>
      </c>
      <c r="AB52">
        <f>IF( COUNTIF('Raw Data'!$A$3:$A$2927,$A52)=0,0,SUMIF('Raw Data'!$A$3:$A$2927, $A52,'Raw Data'!AA$3:AA$2927) / COUNTIF('Raw Data'!$A$3:$A$2927,$A52))</f>
        <v>3.1818181818181817</v>
      </c>
      <c r="AC52">
        <f>IF( COUNTIF('Raw Data'!$A$3:$A$2927,$A52)=0,0,SUMIF('Raw Data'!$A$3:$A$2927, $A52,'Raw Data'!AB$3:AB$2927) / COUNTIF('Raw Data'!$A$3:$A$2927,$A52))</f>
        <v>0</v>
      </c>
      <c r="AD52">
        <f>IF( COUNTIF('Raw Data'!$A$3:$A$2927,$A52)=0,0,SUMIF('Raw Data'!$A$3:$A$2927, $A52,'Raw Data'!AC$3:AC$2927) / COUNTIF('Raw Data'!$A$3:$A$2927,$A52))</f>
        <v>1.4545454545454546</v>
      </c>
      <c r="AE52" s="117">
        <f>IF( COUNTIF('Raw Data'!$A$3:$A$2927,$A52)=0,0,SUMIF('Raw Data'!$A$3:$A$2927, $A52,'Raw Data'!AD$3:AD$2927) / COUNTIF('Raw Data'!$A$3:$A$2927,$A52))</f>
        <v>0</v>
      </c>
      <c r="AF52">
        <f>IF( COUNTIF('Raw Data'!$A$3:$A$2927,$A52)=0,0,SUMIF('Raw Data'!$A$3:$A$2927, $A52,'Raw Data'!AE$3:AE$2927) / COUNTIF('Raw Data'!$A$3:$A$2927,$A52))</f>
        <v>0</v>
      </c>
      <c r="AG52">
        <f>IF( COUNTIF('Raw Data'!$A$3:$A$2927,$A52)=0,0,SUMIF('Raw Data'!$A$3:$A$2927, $A52,'Raw Data'!AF$3:AF$2927) / COUNTIF('Raw Data'!$A$3:$A$2927,$A52))</f>
        <v>0</v>
      </c>
      <c r="AH52">
        <f>IF( COUNTIF('Raw Data'!$A$3:$A$2927,$A52)=0,0,SUMIF('Raw Data'!$A$3:$A$2927, $A52,'Raw Data'!AG$3:AG$2927) / COUNTIF('Raw Data'!$A$3:$A$2927,$A52))</f>
        <v>1.6363636363636365</v>
      </c>
      <c r="AI52">
        <f>IF( COUNTIF('Raw Data'!$A$3:$A$2927,$A52)=0,0,SUMIF('Raw Data'!$A$3:$A$2927, $A52,'Raw Data'!AH$3:AH$2927) / COUNTIF('Raw Data'!$A$3:$A$2927,$A52))</f>
        <v>0.81818181818181823</v>
      </c>
      <c r="AJ52" s="116">
        <f>COUNTIF('Raw Data'!A$3:A$2927, $A52)</f>
        <v>11</v>
      </c>
      <c r="AK52">
        <f t="shared" si="7"/>
        <v>4.8472727272727267</v>
      </c>
      <c r="AL52">
        <f t="shared" si="8"/>
        <v>0.36363636363636287</v>
      </c>
      <c r="AM52">
        <f t="shared" si="9"/>
        <v>-0.35818181818181821</v>
      </c>
    </row>
    <row r="53" spans="1:39" ht="15.75" thickBot="1">
      <c r="A53">
        <v>6878</v>
      </c>
      <c r="B53" t="s">
        <v>377</v>
      </c>
      <c r="C53">
        <f t="shared" si="5"/>
        <v>0</v>
      </c>
      <c r="D53">
        <f t="shared" si="6"/>
        <v>0</v>
      </c>
      <c r="E53">
        <f>IF( COUNTIF('Raw Data'!$A$3:$A$2927,$A53)=0,0,SUMIF('Raw Data'!$A$3:$A$2927, $A53,'Raw Data'!D$3:D$2927) / COUNTIF('Raw Data'!$A$3:$A$2927,$A53))</f>
        <v>0</v>
      </c>
      <c r="F53">
        <f>MAX(IF('Raw Data'!$A$3:$A$927=$A53, 'Raw Data'!$O$3:$O$927))</f>
        <v>0</v>
      </c>
      <c r="G53">
        <f>MAX(IF('Raw Data'!$A$3:$A$927=$A53, 'Raw Data'!$I$3:$I$927))</f>
        <v>0</v>
      </c>
      <c r="H53">
        <f>IF( COUNTIF('Raw Data'!$A$3:$A$2927,$A53)=0,0,SUMIF('Raw Data'!$A$3:$A$2927, $A53,'Raw Data'!E$3:E$2927) / COUNTIF('Raw Data'!$A$3:$A$2927,$A53))</f>
        <v>0</v>
      </c>
      <c r="I53">
        <f>IF( COUNTIF('Raw Data'!$A$3:$A$2927,$A53)=0,0,SUMIF('Raw Data'!$A$3:$A$2927, $A53,'Raw Data'!F$3:F$2927) / COUNTIF('Raw Data'!$A$3:$A$2927,$A53))</f>
        <v>0</v>
      </c>
      <c r="J53">
        <f>IF( COUNTIF('Raw Data'!$A$3:$A$2927,$A53)=0,0,SUMIF('Raw Data'!$A$3:$A$2927, $A53,'Raw Data'!G$3:G$2927) / COUNTIF('Raw Data'!$A$3:$A$2927,$A53))</f>
        <v>0</v>
      </c>
      <c r="K53">
        <f>IF( COUNTIF('Raw Data'!$A$3:$A$2927,$A53)=0,0,SUMIF('Raw Data'!$A$3:$A$2927, $A53,'Raw Data'!H$3:H$2927) / COUNTIF('Raw Data'!$A$3:$A$2927,$A53))</f>
        <v>0</v>
      </c>
      <c r="L53">
        <f>MAX(IF('Raw Data'!$A$3:$A$927=$A53, 'Raw Data'!$N$3:$N$927))</f>
        <v>0</v>
      </c>
      <c r="M53">
        <f>IF( COUNTIF('Raw Data'!$A$3:$A$2927,$A53)=0,0,SUMIF('Raw Data'!$A$3:$A$2927, $A53,'Raw Data'!J$3:J$2927) / COUNTIF('Raw Data'!$A$3:$A$2927,$A53))</f>
        <v>0</v>
      </c>
      <c r="N53">
        <f>IF( COUNTIF('Raw Data'!$A$3:$A$2927,$A53)=0,0,SUMIF('Raw Data'!$A$3:$A$2927, $A53,'Raw Data'!K$3:K$2927) / COUNTIF('Raw Data'!$A$3:$A$2927,$A53))</f>
        <v>0</v>
      </c>
      <c r="O53">
        <f>IF( COUNTIF('Raw Data'!$A$3:$A$2927,$A53)=0,0,SUMIF('Raw Data'!$A$3:$A$2927, $A53,'Raw Data'!L$3:L$2927) / COUNTIF('Raw Data'!$A$3:$A$2927,$A53))</f>
        <v>0</v>
      </c>
      <c r="P53" s="58">
        <f>IF( COUNTIF('Raw Data'!$A$3:$A$2927,$A53)=0,0,SUMIF('Raw Data'!$A$3:$A$2927, $A53,'Raw Data'!M$3:M$2927) / COUNTIF('Raw Data'!$A$3:$A$2927,$A53))</f>
        <v>0</v>
      </c>
      <c r="Q53">
        <f>MAX(IF('Raw Data'!$A$3:$A$927=$A53, 'Raw Data'!$Z$3:$Z$927))</f>
        <v>0</v>
      </c>
      <c r="R53">
        <f>MAX(IF('Raw Data'!$A$3:$A$927=$A53, 'Raw Data'!$T$3:$T$927))</f>
        <v>0</v>
      </c>
      <c r="S53">
        <f>IF( COUNTIF('Raw Data'!$A$3:$A$2927,$A53)=0,0,SUMIF('Raw Data'!$A$3:$A$2927, $A53,'Raw Data'!P$3:P$2927) / COUNTIF('Raw Data'!$A$3:$A$2927,$A53))</f>
        <v>0</v>
      </c>
      <c r="T53">
        <f>IF( COUNTIF('Raw Data'!$A$3:$A$2927,$A53)=0,0,SUMIF('Raw Data'!$A$3:$A$2927, $A53,'Raw Data'!Q$3:Q$2927) / COUNTIF('Raw Data'!$A$3:$A$2927,$A53))</f>
        <v>0</v>
      </c>
      <c r="U53">
        <f>IF( COUNTIF('Raw Data'!$A$3:$A$2927,$A53)=0,0,SUMIF('Raw Data'!$A$3:$A$2927, $A53,'Raw Data'!R$3:R$2927) / COUNTIF('Raw Data'!$A$3:$A$2927,$A53))</f>
        <v>0</v>
      </c>
      <c r="V53">
        <f>IF( COUNTIF('Raw Data'!$A$3:$A$2927,$A53)=0,0,SUMIF('Raw Data'!$A$3:$A$2927, $A53,'Raw Data'!S$3:S$2927) / COUNTIF('Raw Data'!$A$3:$A$2927,$A53))</f>
        <v>0</v>
      </c>
      <c r="W53">
        <f>MAX(IF('Raw Data'!$A$3:$A$927=$A53, 'Raw Data'!$Y$3:$Y$927))</f>
        <v>0</v>
      </c>
      <c r="X53">
        <f>IF( COUNTIF('Raw Data'!$A$3:$A$2927,$A53)=0,0,SUMIF('Raw Data'!$A$3:$A$2927, $A53,'Raw Data'!U$3:U$2927) / COUNTIF('Raw Data'!$A$3:$A$2927,$A53))</f>
        <v>0</v>
      </c>
      <c r="Y53">
        <f>IF( COUNTIF('Raw Data'!$A$3:$A$2927,$A53)=0,0,SUMIF('Raw Data'!$A$3:$A$2927, $A53,'Raw Data'!V$3:V$2927) / COUNTIF('Raw Data'!$A$3:$A$2927,$A53))</f>
        <v>0</v>
      </c>
      <c r="Z53">
        <f>IF( COUNTIF('Raw Data'!$A$3:$A$2927,$A53)=0,0,SUMIF('Raw Data'!$A$3:$A$2927, $A53,'Raw Data'!W$3:W$2927) / COUNTIF('Raw Data'!$A$3:$A$2927,$A53))</f>
        <v>0</v>
      </c>
      <c r="AA53">
        <f>IF( COUNTIF('Raw Data'!$A$3:$A$2927,$A53)=0,0,SUMIF('Raw Data'!$A$3:$A$2927, $A53,'Raw Data'!X$3:X$2927) / COUNTIF('Raw Data'!$A$3:$A$2927,$A53))</f>
        <v>0</v>
      </c>
      <c r="AB53">
        <f>IF( COUNTIF('Raw Data'!$A$3:$A$2927,$A53)=0,0,SUMIF('Raw Data'!$A$3:$A$2927, $A53,'Raw Data'!AA$3:AA$2927) / COUNTIF('Raw Data'!$A$3:$A$2927,$A53))</f>
        <v>0</v>
      </c>
      <c r="AC53">
        <f>IF( COUNTIF('Raw Data'!$A$3:$A$2927,$A53)=0,0,SUMIF('Raw Data'!$A$3:$A$2927, $A53,'Raw Data'!AB$3:AB$2927) / COUNTIF('Raw Data'!$A$3:$A$2927,$A53))</f>
        <v>0</v>
      </c>
      <c r="AD53">
        <f>IF( COUNTIF('Raw Data'!$A$3:$A$2927,$A53)=0,0,SUMIF('Raw Data'!$A$3:$A$2927, $A53,'Raw Data'!AC$3:AC$2927) / COUNTIF('Raw Data'!$A$3:$A$2927,$A53))</f>
        <v>0</v>
      </c>
      <c r="AE53" s="117">
        <f>IF( COUNTIF('Raw Data'!$A$3:$A$2927,$A53)=0,0,SUMIF('Raw Data'!$A$3:$A$2927, $A53,'Raw Data'!AD$3:AD$2927) / COUNTIF('Raw Data'!$A$3:$A$2927,$A53))</f>
        <v>0</v>
      </c>
      <c r="AF53">
        <f>IF( COUNTIF('Raw Data'!$A$3:$A$2927,$A53)=0,0,SUMIF('Raw Data'!$A$3:$A$2927, $A53,'Raw Data'!AE$3:AE$2927) / COUNTIF('Raw Data'!$A$3:$A$2927,$A53))</f>
        <v>0</v>
      </c>
      <c r="AG53">
        <f>IF( COUNTIF('Raw Data'!$A$3:$A$2927,$A53)=0,0,SUMIF('Raw Data'!$A$3:$A$2927, $A53,'Raw Data'!AF$3:AF$2927) / COUNTIF('Raw Data'!$A$3:$A$2927,$A53))</f>
        <v>0</v>
      </c>
      <c r="AH53">
        <f>IF( COUNTIF('Raw Data'!$A$3:$A$2927,$A53)=0,0,SUMIF('Raw Data'!$A$3:$A$2927, $A53,'Raw Data'!AG$3:AG$2927) / COUNTIF('Raw Data'!$A$3:$A$2927,$A53))</f>
        <v>0</v>
      </c>
      <c r="AI53">
        <f>IF( COUNTIF('Raw Data'!$A$3:$A$2927,$A53)=0,0,SUMIF('Raw Data'!$A$3:$A$2927, $A53,'Raw Data'!AH$3:AH$2927) / COUNTIF('Raw Data'!$A$3:$A$2927,$A53))</f>
        <v>0</v>
      </c>
      <c r="AJ53" s="116">
        <f>COUNTIF('Raw Data'!A$3:A$2927, $A53)</f>
        <v>0</v>
      </c>
      <c r="AK53">
        <f t="shared" si="7"/>
        <v>-21</v>
      </c>
      <c r="AL53">
        <f t="shared" si="8"/>
        <v>-1.5</v>
      </c>
      <c r="AM53">
        <f t="shared" si="9"/>
        <v>-1</v>
      </c>
    </row>
    <row r="54" spans="1:39" ht="15.75" thickBot="1">
      <c r="A54">
        <v>6975</v>
      </c>
      <c r="B54" t="s">
        <v>228</v>
      </c>
      <c r="C54">
        <f t="shared" si="5"/>
        <v>2.8888888888888893</v>
      </c>
      <c r="D54">
        <f t="shared" si="6"/>
        <v>0.22222222222222221</v>
      </c>
      <c r="E54">
        <f>IF( COUNTIF('Raw Data'!$A$3:$A$2927,$A54)=0,0,SUMIF('Raw Data'!$A$3:$A$2927, $A54,'Raw Data'!D$3:D$2927) / COUNTIF('Raw Data'!$A$3:$A$2927,$A54))</f>
        <v>0.88888888888888884</v>
      </c>
      <c r="F54">
        <f>MAX(IF('Raw Data'!$A$3:$A$927=$A54, 'Raw Data'!$O$3:$O$927))</f>
        <v>0</v>
      </c>
      <c r="G54">
        <f>MAX(IF('Raw Data'!$A$3:$A$927=$A54, 'Raw Data'!$I$3:$I$927))</f>
        <v>0</v>
      </c>
      <c r="H54">
        <f>IF( COUNTIF('Raw Data'!$A$3:$A$2927,$A54)=0,0,SUMIF('Raw Data'!$A$3:$A$2927, $A54,'Raw Data'!E$3:E$2927) / COUNTIF('Raw Data'!$A$3:$A$2927,$A54))</f>
        <v>0.1111111111111111</v>
      </c>
      <c r="I54">
        <f>IF( COUNTIF('Raw Data'!$A$3:$A$2927,$A54)=0,0,SUMIF('Raw Data'!$A$3:$A$2927, $A54,'Raw Data'!F$3:F$2927) / COUNTIF('Raw Data'!$A$3:$A$2927,$A54))</f>
        <v>0</v>
      </c>
      <c r="J54">
        <f>IF( COUNTIF('Raw Data'!$A$3:$A$2927,$A54)=0,0,SUMIF('Raw Data'!$A$3:$A$2927, $A54,'Raw Data'!G$3:G$2927) / COUNTIF('Raw Data'!$A$3:$A$2927,$A54))</f>
        <v>0</v>
      </c>
      <c r="K54">
        <f>IF( COUNTIF('Raw Data'!$A$3:$A$2927,$A54)=0,0,SUMIF('Raw Data'!$A$3:$A$2927, $A54,'Raw Data'!H$3:H$2927) / COUNTIF('Raw Data'!$A$3:$A$2927,$A54))</f>
        <v>0</v>
      </c>
      <c r="L54">
        <f>MAX(IF('Raw Data'!$A$3:$A$927=$A54, 'Raw Data'!$N$3:$N$927))</f>
        <v>0</v>
      </c>
      <c r="M54">
        <f>IF( COUNTIF('Raw Data'!$A$3:$A$2927,$A54)=0,0,SUMIF('Raw Data'!$A$3:$A$2927, $A54,'Raw Data'!J$3:J$2927) / COUNTIF('Raw Data'!$A$3:$A$2927,$A54))</f>
        <v>0</v>
      </c>
      <c r="N54">
        <f>IF( COUNTIF('Raw Data'!$A$3:$A$2927,$A54)=0,0,SUMIF('Raw Data'!$A$3:$A$2927, $A54,'Raw Data'!K$3:K$2927) / COUNTIF('Raw Data'!$A$3:$A$2927,$A54))</f>
        <v>0</v>
      </c>
      <c r="O54">
        <f>IF( COUNTIF('Raw Data'!$A$3:$A$2927,$A54)=0,0,SUMIF('Raw Data'!$A$3:$A$2927, $A54,'Raw Data'!L$3:L$2927) / COUNTIF('Raw Data'!$A$3:$A$2927,$A54))</f>
        <v>0</v>
      </c>
      <c r="P54" s="58">
        <f>IF( COUNTIF('Raw Data'!$A$3:$A$2927,$A54)=0,0,SUMIF('Raw Data'!$A$3:$A$2927, $A54,'Raw Data'!M$3:M$2927) / COUNTIF('Raw Data'!$A$3:$A$2927,$A54))</f>
        <v>0</v>
      </c>
      <c r="Q54">
        <f>MAX(IF('Raw Data'!$A$3:$A$927=$A54, 'Raw Data'!$Z$3:$Z$927))</f>
        <v>0</v>
      </c>
      <c r="R54">
        <f>MAX(IF('Raw Data'!$A$3:$A$927=$A54, 'Raw Data'!$T$3:$T$927))</f>
        <v>0</v>
      </c>
      <c r="S54">
        <f>IF( COUNTIF('Raw Data'!$A$3:$A$2927,$A54)=0,0,SUMIF('Raw Data'!$A$3:$A$2927, $A54,'Raw Data'!P$3:P$2927) / COUNTIF('Raw Data'!$A$3:$A$2927,$A54))</f>
        <v>0</v>
      </c>
      <c r="T54">
        <f>IF( COUNTIF('Raw Data'!$A$3:$A$2927,$A54)=0,0,SUMIF('Raw Data'!$A$3:$A$2927, $A54,'Raw Data'!Q$3:Q$2927) / COUNTIF('Raw Data'!$A$3:$A$2927,$A54))</f>
        <v>0</v>
      </c>
      <c r="U54">
        <f>IF( COUNTIF('Raw Data'!$A$3:$A$2927,$A54)=0,0,SUMIF('Raw Data'!$A$3:$A$2927, $A54,'Raw Data'!R$3:R$2927) / COUNTIF('Raw Data'!$A$3:$A$2927,$A54))</f>
        <v>0</v>
      </c>
      <c r="V54">
        <f>IF( COUNTIF('Raw Data'!$A$3:$A$2927,$A54)=0,0,SUMIF('Raw Data'!$A$3:$A$2927, $A54,'Raw Data'!S$3:S$2927) / COUNTIF('Raw Data'!$A$3:$A$2927,$A54))</f>
        <v>0</v>
      </c>
      <c r="W54">
        <f>MAX(IF('Raw Data'!$A$3:$A$927=$A54, 'Raw Data'!$Y$3:$Y$927))</f>
        <v>0</v>
      </c>
      <c r="X54">
        <f>IF( COUNTIF('Raw Data'!$A$3:$A$2927,$A54)=0,0,SUMIF('Raw Data'!$A$3:$A$2927, $A54,'Raw Data'!U$3:U$2927) / COUNTIF('Raw Data'!$A$3:$A$2927,$A54))</f>
        <v>0</v>
      </c>
      <c r="Y54">
        <f>IF( COUNTIF('Raw Data'!$A$3:$A$2927,$A54)=0,0,SUMIF('Raw Data'!$A$3:$A$2927, $A54,'Raw Data'!V$3:V$2927) / COUNTIF('Raw Data'!$A$3:$A$2927,$A54))</f>
        <v>0</v>
      </c>
      <c r="Z54">
        <f>IF( COUNTIF('Raw Data'!$A$3:$A$2927,$A54)=0,0,SUMIF('Raw Data'!$A$3:$A$2927, $A54,'Raw Data'!W$3:W$2927) / COUNTIF('Raw Data'!$A$3:$A$2927,$A54))</f>
        <v>0</v>
      </c>
      <c r="AA54">
        <f>IF( COUNTIF('Raw Data'!$A$3:$A$2927,$A54)=0,0,SUMIF('Raw Data'!$A$3:$A$2927, $A54,'Raw Data'!X$3:X$2927) / COUNTIF('Raw Data'!$A$3:$A$2927,$A54))</f>
        <v>0</v>
      </c>
      <c r="AB54">
        <f>IF( COUNTIF('Raw Data'!$A$3:$A$2927,$A54)=0,0,SUMIF('Raw Data'!$A$3:$A$2927, $A54,'Raw Data'!AA$3:AA$2927) / COUNTIF('Raw Data'!$A$3:$A$2927,$A54))</f>
        <v>68.666666666666671</v>
      </c>
      <c r="AC54">
        <f>IF( COUNTIF('Raw Data'!$A$3:$A$2927,$A54)=0,0,SUMIF('Raw Data'!$A$3:$A$2927, $A54,'Raw Data'!AB$3:AB$2927) / COUNTIF('Raw Data'!$A$3:$A$2927,$A54))</f>
        <v>0</v>
      </c>
      <c r="AD54">
        <f>IF( COUNTIF('Raw Data'!$A$3:$A$2927,$A54)=0,0,SUMIF('Raw Data'!$A$3:$A$2927, $A54,'Raw Data'!AC$3:AC$2927) / COUNTIF('Raw Data'!$A$3:$A$2927,$A54))</f>
        <v>0.44444444444444442</v>
      </c>
      <c r="AE54" s="117">
        <f>IF( COUNTIF('Raw Data'!$A$3:$A$2927,$A54)=0,0,SUMIF('Raw Data'!$A$3:$A$2927, $A54,'Raw Data'!AD$3:AD$2927) / COUNTIF('Raw Data'!$A$3:$A$2927,$A54))</f>
        <v>0</v>
      </c>
      <c r="AF54">
        <f>IF( COUNTIF('Raw Data'!$A$3:$A$2927,$A54)=0,0,SUMIF('Raw Data'!$A$3:$A$2927, $A54,'Raw Data'!AE$3:AE$2927) / COUNTIF('Raw Data'!$A$3:$A$2927,$A54))</f>
        <v>0.22222222222222221</v>
      </c>
      <c r="AG54">
        <f>IF( COUNTIF('Raw Data'!$A$3:$A$2927,$A54)=0,0,SUMIF('Raw Data'!$A$3:$A$2927, $A54,'Raw Data'!AF$3:AF$2927) / COUNTIF('Raw Data'!$A$3:$A$2927,$A54))</f>
        <v>0</v>
      </c>
      <c r="AH54">
        <f>IF( COUNTIF('Raw Data'!$A$3:$A$2927,$A54)=0,0,SUMIF('Raw Data'!$A$3:$A$2927, $A54,'Raw Data'!AG$3:AG$2927) / COUNTIF('Raw Data'!$A$3:$A$2927,$A54))</f>
        <v>1.3333333333333333</v>
      </c>
      <c r="AI54">
        <f>IF( COUNTIF('Raw Data'!$A$3:$A$2927,$A54)=0,0,SUMIF('Raw Data'!$A$3:$A$2927, $A54,'Raw Data'!AH$3:AH$2927) / COUNTIF('Raw Data'!$A$3:$A$2927,$A54))</f>
        <v>0</v>
      </c>
      <c r="AJ54" s="116">
        <f>COUNTIF('Raw Data'!A$3:A$2927, $A54)</f>
        <v>9</v>
      </c>
      <c r="AK54">
        <f t="shared" si="7"/>
        <v>-22</v>
      </c>
      <c r="AL54">
        <f t="shared" si="8"/>
        <v>-2.4444444444444446</v>
      </c>
      <c r="AM54">
        <f t="shared" si="9"/>
        <v>-1.8844444444444444</v>
      </c>
    </row>
    <row r="55" spans="1:39" ht="15.75" thickBot="1">
      <c r="A55">
        <v>6987</v>
      </c>
      <c r="B55" t="s">
        <v>229</v>
      </c>
      <c r="C55">
        <f t="shared" si="5"/>
        <v>5.4444444444444446</v>
      </c>
      <c r="D55">
        <f t="shared" si="6"/>
        <v>0.44444444444444442</v>
      </c>
      <c r="E55">
        <f>IF( COUNTIF('Raw Data'!$A$3:$A$2927,$A55)=0,0,SUMIF('Raw Data'!$A$3:$A$2927, $A55,'Raw Data'!D$3:D$2927) / COUNTIF('Raw Data'!$A$3:$A$2927,$A55))</f>
        <v>1.2222222222222223</v>
      </c>
      <c r="F55">
        <f>MAX(IF('Raw Data'!$A$3:$A$927=$A55, 'Raw Data'!$O$3:$O$927))</f>
        <v>0</v>
      </c>
      <c r="G55">
        <f>MAX(IF('Raw Data'!$A$3:$A$927=$A55, 'Raw Data'!$I$3:$I$927))</f>
        <v>0</v>
      </c>
      <c r="H55">
        <f>IF( COUNTIF('Raw Data'!$A$3:$A$2927,$A55)=0,0,SUMIF('Raw Data'!$A$3:$A$2927, $A55,'Raw Data'!E$3:E$2927) / COUNTIF('Raw Data'!$A$3:$A$2927,$A55))</f>
        <v>0</v>
      </c>
      <c r="I55">
        <f>IF( COUNTIF('Raw Data'!$A$3:$A$2927,$A55)=0,0,SUMIF('Raw Data'!$A$3:$A$2927, $A55,'Raw Data'!F$3:F$2927) / COUNTIF('Raw Data'!$A$3:$A$2927,$A55))</f>
        <v>0</v>
      </c>
      <c r="J55">
        <f>IF( COUNTIF('Raw Data'!$A$3:$A$2927,$A55)=0,0,SUMIF('Raw Data'!$A$3:$A$2927, $A55,'Raw Data'!G$3:G$2927) / COUNTIF('Raw Data'!$A$3:$A$2927,$A55))</f>
        <v>0</v>
      </c>
      <c r="K55">
        <f>IF( COUNTIF('Raw Data'!$A$3:$A$2927,$A55)=0,0,SUMIF('Raw Data'!$A$3:$A$2927, $A55,'Raw Data'!H$3:H$2927) / COUNTIF('Raw Data'!$A$3:$A$2927,$A55))</f>
        <v>0</v>
      </c>
      <c r="L55">
        <f>MAX(IF('Raw Data'!$A$3:$A$927=$A55, 'Raw Data'!$N$3:$N$927))</f>
        <v>0</v>
      </c>
      <c r="M55">
        <f>IF( COUNTIF('Raw Data'!$A$3:$A$2927,$A55)=0,0,SUMIF('Raw Data'!$A$3:$A$2927, $A55,'Raw Data'!J$3:J$2927) / COUNTIF('Raw Data'!$A$3:$A$2927,$A55))</f>
        <v>0</v>
      </c>
      <c r="N55">
        <f>IF( COUNTIF('Raw Data'!$A$3:$A$2927,$A55)=0,0,SUMIF('Raw Data'!$A$3:$A$2927, $A55,'Raw Data'!K$3:K$2927) / COUNTIF('Raw Data'!$A$3:$A$2927,$A55))</f>
        <v>0</v>
      </c>
      <c r="O55">
        <f>IF( COUNTIF('Raw Data'!$A$3:$A$2927,$A55)=0,0,SUMIF('Raw Data'!$A$3:$A$2927, $A55,'Raw Data'!L$3:L$2927) / COUNTIF('Raw Data'!$A$3:$A$2927,$A55))</f>
        <v>0</v>
      </c>
      <c r="P55" s="58">
        <f>IF( COUNTIF('Raw Data'!$A$3:$A$2927,$A55)=0,0,SUMIF('Raw Data'!$A$3:$A$2927, $A55,'Raw Data'!M$3:M$2927) / COUNTIF('Raw Data'!$A$3:$A$2927,$A55))</f>
        <v>0</v>
      </c>
      <c r="Q55">
        <f>MAX(IF('Raw Data'!$A$3:$A$927=$A55, 'Raw Data'!$Z$3:$Z$927))</f>
        <v>0</v>
      </c>
      <c r="R55">
        <f>MAX(IF('Raw Data'!$A$3:$A$927=$A55, 'Raw Data'!$T$3:$T$927))</f>
        <v>0</v>
      </c>
      <c r="S55">
        <f>IF( COUNTIF('Raw Data'!$A$3:$A$2927,$A55)=0,0,SUMIF('Raw Data'!$A$3:$A$2927, $A55,'Raw Data'!P$3:P$2927) / COUNTIF('Raw Data'!$A$3:$A$2927,$A55))</f>
        <v>0.1111111111111111</v>
      </c>
      <c r="T55">
        <f>IF( COUNTIF('Raw Data'!$A$3:$A$2927,$A55)=0,0,SUMIF('Raw Data'!$A$3:$A$2927, $A55,'Raw Data'!Q$3:Q$2927) / COUNTIF('Raw Data'!$A$3:$A$2927,$A55))</f>
        <v>0.1111111111111111</v>
      </c>
      <c r="U55">
        <f>IF( COUNTIF('Raw Data'!$A$3:$A$2927,$A55)=0,0,SUMIF('Raw Data'!$A$3:$A$2927, $A55,'Raw Data'!R$3:R$2927) / COUNTIF('Raw Data'!$A$3:$A$2927,$A55))</f>
        <v>0</v>
      </c>
      <c r="V55">
        <f>IF( COUNTIF('Raw Data'!$A$3:$A$2927,$A55)=0,0,SUMIF('Raw Data'!$A$3:$A$2927, $A55,'Raw Data'!S$3:S$2927) / COUNTIF('Raw Data'!$A$3:$A$2927,$A55))</f>
        <v>0</v>
      </c>
      <c r="W55">
        <f>MAX(IF('Raw Data'!$A$3:$A$927=$A55, 'Raw Data'!$Y$3:$Y$927))</f>
        <v>0</v>
      </c>
      <c r="X55">
        <f>IF( COUNTIF('Raw Data'!$A$3:$A$2927,$A55)=0,0,SUMIF('Raw Data'!$A$3:$A$2927, $A55,'Raw Data'!U$3:U$2927) / COUNTIF('Raw Data'!$A$3:$A$2927,$A55))</f>
        <v>0</v>
      </c>
      <c r="Y55">
        <f>IF( COUNTIF('Raw Data'!$A$3:$A$2927,$A55)=0,0,SUMIF('Raw Data'!$A$3:$A$2927, $A55,'Raw Data'!V$3:V$2927) / COUNTIF('Raw Data'!$A$3:$A$2927,$A55))</f>
        <v>0</v>
      </c>
      <c r="Z55">
        <f>IF( COUNTIF('Raw Data'!$A$3:$A$2927,$A55)=0,0,SUMIF('Raw Data'!$A$3:$A$2927, $A55,'Raw Data'!W$3:W$2927) / COUNTIF('Raw Data'!$A$3:$A$2927,$A55))</f>
        <v>0</v>
      </c>
      <c r="AA55">
        <f>IF( COUNTIF('Raw Data'!$A$3:$A$2927,$A55)=0,0,SUMIF('Raw Data'!$A$3:$A$2927, $A55,'Raw Data'!X$3:X$2927) / COUNTIF('Raw Data'!$A$3:$A$2927,$A55))</f>
        <v>0</v>
      </c>
      <c r="AB55">
        <f>IF( COUNTIF('Raw Data'!$A$3:$A$2927,$A55)=0,0,SUMIF('Raw Data'!$A$3:$A$2927, $A55,'Raw Data'!AA$3:AA$2927) / COUNTIF('Raw Data'!$A$3:$A$2927,$A55))</f>
        <v>70.333333333333329</v>
      </c>
      <c r="AC55">
        <f>IF( COUNTIF('Raw Data'!$A$3:$A$2927,$A55)=0,0,SUMIF('Raw Data'!$A$3:$A$2927, $A55,'Raw Data'!AB$3:AB$2927) / COUNTIF('Raw Data'!$A$3:$A$2927,$A55))</f>
        <v>0</v>
      </c>
      <c r="AD55">
        <f>IF( COUNTIF('Raw Data'!$A$3:$A$2927,$A55)=0,0,SUMIF('Raw Data'!$A$3:$A$2927, $A55,'Raw Data'!AC$3:AC$2927) / COUNTIF('Raw Data'!$A$3:$A$2927,$A55))</f>
        <v>1</v>
      </c>
      <c r="AE55" s="117">
        <f>IF( COUNTIF('Raw Data'!$A$3:$A$2927,$A55)=0,0,SUMIF('Raw Data'!$A$3:$A$2927, $A55,'Raw Data'!AD$3:AD$2927) / COUNTIF('Raw Data'!$A$3:$A$2927,$A55))</f>
        <v>0</v>
      </c>
      <c r="AF55">
        <f>IF( COUNTIF('Raw Data'!$A$3:$A$2927,$A55)=0,0,SUMIF('Raw Data'!$A$3:$A$2927, $A55,'Raw Data'!AE$3:AE$2927) / COUNTIF('Raw Data'!$A$3:$A$2927,$A55))</f>
        <v>0</v>
      </c>
      <c r="AG55">
        <f>IF( COUNTIF('Raw Data'!$A$3:$A$2927,$A55)=0,0,SUMIF('Raw Data'!$A$3:$A$2927, $A55,'Raw Data'!AF$3:AF$2927) / COUNTIF('Raw Data'!$A$3:$A$2927,$A55))</f>
        <v>0</v>
      </c>
      <c r="AH55">
        <f>IF( COUNTIF('Raw Data'!$A$3:$A$2927,$A55)=0,0,SUMIF('Raw Data'!$A$3:$A$2927, $A55,'Raw Data'!AG$3:AG$2927) / COUNTIF('Raw Data'!$A$3:$A$2927,$A55))</f>
        <v>1.6666666666666667</v>
      </c>
      <c r="AI55">
        <f>IF( COUNTIF('Raw Data'!$A$3:$A$2927,$A55)=0,0,SUMIF('Raw Data'!$A$3:$A$2927, $A55,'Raw Data'!AH$3:AH$2927) / COUNTIF('Raw Data'!$A$3:$A$2927,$A55))</f>
        <v>0</v>
      </c>
      <c r="AJ55" s="116">
        <f>COUNTIF('Raw Data'!A$3:A$2927, $A55)</f>
        <v>9</v>
      </c>
      <c r="AK55">
        <f t="shared" si="7"/>
        <v>-0.61111111111111116</v>
      </c>
      <c r="AL55">
        <f t="shared" si="8"/>
        <v>-0.61111111111111116</v>
      </c>
      <c r="AM55">
        <f t="shared" si="9"/>
        <v>-0.55000000000000004</v>
      </c>
    </row>
    <row r="56" spans="1:39" ht="15.75" thickBot="1">
      <c r="A56">
        <v>7136</v>
      </c>
      <c r="B56" t="s">
        <v>364</v>
      </c>
      <c r="C56">
        <f t="shared" si="5"/>
        <v>0</v>
      </c>
      <c r="D56">
        <f t="shared" si="6"/>
        <v>0</v>
      </c>
      <c r="E56">
        <f>IF( COUNTIF('Raw Data'!$A$3:$A$2927,$A56)=0,0,SUMIF('Raw Data'!$A$3:$A$2927, $A56,'Raw Data'!D$3:D$2927) / COUNTIF('Raw Data'!$A$3:$A$2927,$A56))</f>
        <v>0</v>
      </c>
      <c r="F56">
        <f>MAX(IF('Raw Data'!$A$3:$A$927=$A56, 'Raw Data'!$O$3:$O$927))</f>
        <v>0</v>
      </c>
      <c r="G56">
        <f>MAX(IF('Raw Data'!$A$3:$A$927=$A56, 'Raw Data'!$I$3:$I$927))</f>
        <v>0</v>
      </c>
      <c r="H56">
        <f>IF( COUNTIF('Raw Data'!$A$3:$A$2927,$A56)=0,0,SUMIF('Raw Data'!$A$3:$A$2927, $A56,'Raw Data'!E$3:E$2927) / COUNTIF('Raw Data'!$A$3:$A$2927,$A56))</f>
        <v>0</v>
      </c>
      <c r="I56">
        <f>IF( COUNTIF('Raw Data'!$A$3:$A$2927,$A56)=0,0,SUMIF('Raw Data'!$A$3:$A$2927, $A56,'Raw Data'!F$3:F$2927) / COUNTIF('Raw Data'!$A$3:$A$2927,$A56))</f>
        <v>0</v>
      </c>
      <c r="J56">
        <f>IF( COUNTIF('Raw Data'!$A$3:$A$2927,$A56)=0,0,SUMIF('Raw Data'!$A$3:$A$2927, $A56,'Raw Data'!G$3:G$2927) / COUNTIF('Raw Data'!$A$3:$A$2927,$A56))</f>
        <v>0</v>
      </c>
      <c r="K56">
        <f>IF( COUNTIF('Raw Data'!$A$3:$A$2927,$A56)=0,0,SUMIF('Raw Data'!$A$3:$A$2927, $A56,'Raw Data'!H$3:H$2927) / COUNTIF('Raw Data'!$A$3:$A$2927,$A56))</f>
        <v>0</v>
      </c>
      <c r="L56">
        <f>MAX(IF('Raw Data'!$A$3:$A$927=$A56, 'Raw Data'!$N$3:$N$927))</f>
        <v>0</v>
      </c>
      <c r="M56">
        <f>IF( COUNTIF('Raw Data'!$A$3:$A$2927,$A56)=0,0,SUMIF('Raw Data'!$A$3:$A$2927, $A56,'Raw Data'!J$3:J$2927) / COUNTIF('Raw Data'!$A$3:$A$2927,$A56))</f>
        <v>0</v>
      </c>
      <c r="N56">
        <f>IF( COUNTIF('Raw Data'!$A$3:$A$2927,$A56)=0,0,SUMIF('Raw Data'!$A$3:$A$2927, $A56,'Raw Data'!K$3:K$2927) / COUNTIF('Raw Data'!$A$3:$A$2927,$A56))</f>
        <v>0</v>
      </c>
      <c r="O56">
        <f>IF( COUNTIF('Raw Data'!$A$3:$A$2927,$A56)=0,0,SUMIF('Raw Data'!$A$3:$A$2927, $A56,'Raw Data'!L$3:L$2927) / COUNTIF('Raw Data'!$A$3:$A$2927,$A56))</f>
        <v>0</v>
      </c>
      <c r="P56" s="58">
        <f>IF( COUNTIF('Raw Data'!$A$3:$A$2927,$A56)=0,0,SUMIF('Raw Data'!$A$3:$A$2927, $A56,'Raw Data'!M$3:M$2927) / COUNTIF('Raw Data'!$A$3:$A$2927,$A56))</f>
        <v>0</v>
      </c>
      <c r="Q56">
        <f>MAX(IF('Raw Data'!$A$3:$A$927=$A56, 'Raw Data'!$Z$3:$Z$927))</f>
        <v>0</v>
      </c>
      <c r="R56">
        <f>MAX(IF('Raw Data'!$A$3:$A$927=$A56, 'Raw Data'!$T$3:$T$927))</f>
        <v>0</v>
      </c>
      <c r="S56">
        <f>IF( COUNTIF('Raw Data'!$A$3:$A$2927,$A56)=0,0,SUMIF('Raw Data'!$A$3:$A$2927, $A56,'Raw Data'!P$3:P$2927) / COUNTIF('Raw Data'!$A$3:$A$2927,$A56))</f>
        <v>0</v>
      </c>
      <c r="T56">
        <f>IF( COUNTIF('Raw Data'!$A$3:$A$2927,$A56)=0,0,SUMIF('Raw Data'!$A$3:$A$2927, $A56,'Raw Data'!Q$3:Q$2927) / COUNTIF('Raw Data'!$A$3:$A$2927,$A56))</f>
        <v>0</v>
      </c>
      <c r="U56">
        <f>IF( COUNTIF('Raw Data'!$A$3:$A$2927,$A56)=0,0,SUMIF('Raw Data'!$A$3:$A$2927, $A56,'Raw Data'!R$3:R$2927) / COUNTIF('Raw Data'!$A$3:$A$2927,$A56))</f>
        <v>0</v>
      </c>
      <c r="V56">
        <f>IF( COUNTIF('Raw Data'!$A$3:$A$2927,$A56)=0,0,SUMIF('Raw Data'!$A$3:$A$2927, $A56,'Raw Data'!S$3:S$2927) / COUNTIF('Raw Data'!$A$3:$A$2927,$A56))</f>
        <v>0</v>
      </c>
      <c r="W56">
        <f>MAX(IF('Raw Data'!$A$3:$A$927=$A56, 'Raw Data'!$Y$3:$Y$927))</f>
        <v>0</v>
      </c>
      <c r="X56">
        <f>IF( COUNTIF('Raw Data'!$A$3:$A$2927,$A56)=0,0,SUMIF('Raw Data'!$A$3:$A$2927, $A56,'Raw Data'!U$3:U$2927) / COUNTIF('Raw Data'!$A$3:$A$2927,$A56))</f>
        <v>0</v>
      </c>
      <c r="Y56">
        <f>IF( COUNTIF('Raw Data'!$A$3:$A$2927,$A56)=0,0,SUMIF('Raw Data'!$A$3:$A$2927, $A56,'Raw Data'!V$3:V$2927) / COUNTIF('Raw Data'!$A$3:$A$2927,$A56))</f>
        <v>0</v>
      </c>
      <c r="Z56">
        <f>IF( COUNTIF('Raw Data'!$A$3:$A$2927,$A56)=0,0,SUMIF('Raw Data'!$A$3:$A$2927, $A56,'Raw Data'!W$3:W$2927) / COUNTIF('Raw Data'!$A$3:$A$2927,$A56))</f>
        <v>0</v>
      </c>
      <c r="AA56">
        <f>IF( COUNTIF('Raw Data'!$A$3:$A$2927,$A56)=0,0,SUMIF('Raw Data'!$A$3:$A$2927, $A56,'Raw Data'!X$3:X$2927) / COUNTIF('Raw Data'!$A$3:$A$2927,$A56))</f>
        <v>0</v>
      </c>
      <c r="AB56">
        <f>IF( COUNTIF('Raw Data'!$A$3:$A$2927,$A56)=0,0,SUMIF('Raw Data'!$A$3:$A$2927, $A56,'Raw Data'!AA$3:AA$2927) / COUNTIF('Raw Data'!$A$3:$A$2927,$A56))</f>
        <v>0</v>
      </c>
      <c r="AC56">
        <f>IF( COUNTIF('Raw Data'!$A$3:$A$2927,$A56)=0,0,SUMIF('Raw Data'!$A$3:$A$2927, $A56,'Raw Data'!AB$3:AB$2927) / COUNTIF('Raw Data'!$A$3:$A$2927,$A56))</f>
        <v>0</v>
      </c>
      <c r="AD56">
        <f>IF( COUNTIF('Raw Data'!$A$3:$A$2927,$A56)=0,0,SUMIF('Raw Data'!$A$3:$A$2927, $A56,'Raw Data'!AC$3:AC$2927) / COUNTIF('Raw Data'!$A$3:$A$2927,$A56))</f>
        <v>0</v>
      </c>
      <c r="AE56" s="117">
        <f>IF( COUNTIF('Raw Data'!$A$3:$A$2927,$A56)=0,0,SUMIF('Raw Data'!$A$3:$A$2927, $A56,'Raw Data'!AD$3:AD$2927) / COUNTIF('Raw Data'!$A$3:$A$2927,$A56))</f>
        <v>0</v>
      </c>
      <c r="AF56">
        <f>IF( COUNTIF('Raw Data'!$A$3:$A$2927,$A56)=0,0,SUMIF('Raw Data'!$A$3:$A$2927, $A56,'Raw Data'!AE$3:AE$2927) / COUNTIF('Raw Data'!$A$3:$A$2927,$A56))</f>
        <v>0</v>
      </c>
      <c r="AG56">
        <f>IF( COUNTIF('Raw Data'!$A$3:$A$2927,$A56)=0,0,SUMIF('Raw Data'!$A$3:$A$2927, $A56,'Raw Data'!AF$3:AF$2927) / COUNTIF('Raw Data'!$A$3:$A$2927,$A56))</f>
        <v>0</v>
      </c>
      <c r="AH56">
        <f>IF( COUNTIF('Raw Data'!$A$3:$A$2927,$A56)=0,0,SUMIF('Raw Data'!$A$3:$A$2927, $A56,'Raw Data'!AG$3:AG$2927) / COUNTIF('Raw Data'!$A$3:$A$2927,$A56))</f>
        <v>0</v>
      </c>
      <c r="AI56">
        <f>IF( COUNTIF('Raw Data'!$A$3:$A$2927,$A56)=0,0,SUMIF('Raw Data'!$A$3:$A$2927, $A56,'Raw Data'!AH$3:AH$2927) / COUNTIF('Raw Data'!$A$3:$A$2927,$A56))</f>
        <v>0</v>
      </c>
      <c r="AJ56" s="116">
        <f>COUNTIF('Raw Data'!A$3:A$2927, $A56)</f>
        <v>0</v>
      </c>
      <c r="AK56">
        <f t="shared" si="7"/>
        <v>-21</v>
      </c>
      <c r="AL56">
        <f t="shared" si="8"/>
        <v>-1.5</v>
      </c>
      <c r="AM56">
        <f t="shared" si="9"/>
        <v>-1</v>
      </c>
    </row>
    <row r="57" spans="1:39" ht="15.75" thickBot="1">
      <c r="A57">
        <v>7267</v>
      </c>
      <c r="B57" t="s">
        <v>230</v>
      </c>
      <c r="C57">
        <f t="shared" si="5"/>
        <v>13.888888888888891</v>
      </c>
      <c r="D57">
        <f t="shared" si="6"/>
        <v>9.6666666666666679</v>
      </c>
      <c r="E57">
        <f>IF( COUNTIF('Raw Data'!$A$3:$A$2927,$A57)=0,0,SUMIF('Raw Data'!$A$3:$A$2927, $A57,'Raw Data'!D$3:D$2927) / COUNTIF('Raw Data'!$A$3:$A$2927,$A57))</f>
        <v>1.3333333333333333</v>
      </c>
      <c r="F57">
        <f>MAX(IF('Raw Data'!$A$3:$A$927=$A57, 'Raw Data'!$O$3:$O$927))</f>
        <v>0</v>
      </c>
      <c r="G57">
        <f>MAX(IF('Raw Data'!$A$3:$A$927=$A57, 'Raw Data'!$I$3:$I$927))</f>
        <v>0</v>
      </c>
      <c r="H57">
        <f>IF( COUNTIF('Raw Data'!$A$3:$A$2927,$A57)=0,0,SUMIF('Raw Data'!$A$3:$A$2927, $A57,'Raw Data'!E$3:E$2927) / COUNTIF('Raw Data'!$A$3:$A$2927,$A57))</f>
        <v>0</v>
      </c>
      <c r="I57">
        <f>IF( COUNTIF('Raw Data'!$A$3:$A$2927,$A57)=0,0,SUMIF('Raw Data'!$A$3:$A$2927, $A57,'Raw Data'!F$3:F$2927) / COUNTIF('Raw Data'!$A$3:$A$2927,$A57))</f>
        <v>0</v>
      </c>
      <c r="J57">
        <f>IF( COUNTIF('Raw Data'!$A$3:$A$2927,$A57)=0,0,SUMIF('Raw Data'!$A$3:$A$2927, $A57,'Raw Data'!G$3:G$2927) / COUNTIF('Raw Data'!$A$3:$A$2927,$A57))</f>
        <v>0</v>
      </c>
      <c r="K57">
        <f>IF( COUNTIF('Raw Data'!$A$3:$A$2927,$A57)=0,0,SUMIF('Raw Data'!$A$3:$A$2927, $A57,'Raw Data'!H$3:H$2927) / COUNTIF('Raw Data'!$A$3:$A$2927,$A57))</f>
        <v>0</v>
      </c>
      <c r="L57">
        <f>MAX(IF('Raw Data'!$A$3:$A$927=$A57, 'Raw Data'!$N$3:$N$927))</f>
        <v>0</v>
      </c>
      <c r="M57">
        <f>IF( COUNTIF('Raw Data'!$A$3:$A$2927,$A57)=0,0,SUMIF('Raw Data'!$A$3:$A$2927, $A57,'Raw Data'!J$3:J$2927) / COUNTIF('Raw Data'!$A$3:$A$2927,$A57))</f>
        <v>0.1111111111111111</v>
      </c>
      <c r="N57">
        <f>IF( COUNTIF('Raw Data'!$A$3:$A$2927,$A57)=0,0,SUMIF('Raw Data'!$A$3:$A$2927, $A57,'Raw Data'!K$3:K$2927) / COUNTIF('Raw Data'!$A$3:$A$2927,$A57))</f>
        <v>0</v>
      </c>
      <c r="O57">
        <f>IF( COUNTIF('Raw Data'!$A$3:$A$2927,$A57)=0,0,SUMIF('Raw Data'!$A$3:$A$2927, $A57,'Raw Data'!L$3:L$2927) / COUNTIF('Raw Data'!$A$3:$A$2927,$A57))</f>
        <v>0</v>
      </c>
      <c r="P57" s="58">
        <f>IF( COUNTIF('Raw Data'!$A$3:$A$2927,$A57)=0,0,SUMIF('Raw Data'!$A$3:$A$2927, $A57,'Raw Data'!M$3:M$2927) / COUNTIF('Raw Data'!$A$3:$A$2927,$A57))</f>
        <v>0</v>
      </c>
      <c r="Q57">
        <f>MAX(IF('Raw Data'!$A$3:$A$927=$A57, 'Raw Data'!$Z$3:$Z$927))</f>
        <v>0</v>
      </c>
      <c r="R57">
        <f>MAX(IF('Raw Data'!$A$3:$A$927=$A57, 'Raw Data'!$T$3:$T$927))</f>
        <v>0</v>
      </c>
      <c r="S57">
        <f>IF( COUNTIF('Raw Data'!$A$3:$A$2927,$A57)=0,0,SUMIF('Raw Data'!$A$3:$A$2927, $A57,'Raw Data'!P$3:P$2927) / COUNTIF('Raw Data'!$A$3:$A$2927,$A57))</f>
        <v>0</v>
      </c>
      <c r="T57">
        <f>IF( COUNTIF('Raw Data'!$A$3:$A$2927,$A57)=0,0,SUMIF('Raw Data'!$A$3:$A$2927, $A57,'Raw Data'!Q$3:Q$2927) / COUNTIF('Raw Data'!$A$3:$A$2927,$A57))</f>
        <v>0</v>
      </c>
      <c r="U57">
        <f>IF( COUNTIF('Raw Data'!$A$3:$A$2927,$A57)=0,0,SUMIF('Raw Data'!$A$3:$A$2927, $A57,'Raw Data'!R$3:R$2927) / COUNTIF('Raw Data'!$A$3:$A$2927,$A57))</f>
        <v>0</v>
      </c>
      <c r="V57">
        <f>IF( COUNTIF('Raw Data'!$A$3:$A$2927,$A57)=0,0,SUMIF('Raw Data'!$A$3:$A$2927, $A57,'Raw Data'!S$3:S$2927) / COUNTIF('Raw Data'!$A$3:$A$2927,$A57))</f>
        <v>0</v>
      </c>
      <c r="W57">
        <f>MAX(IF('Raw Data'!$A$3:$A$927=$A57, 'Raw Data'!$Y$3:$Y$927))</f>
        <v>0</v>
      </c>
      <c r="X57">
        <f>IF( COUNTIF('Raw Data'!$A$3:$A$2927,$A57)=0,0,SUMIF('Raw Data'!$A$3:$A$2927, $A57,'Raw Data'!U$3:U$2927) / COUNTIF('Raw Data'!$A$3:$A$2927,$A57))</f>
        <v>3</v>
      </c>
      <c r="Y57">
        <f>IF( COUNTIF('Raw Data'!$A$3:$A$2927,$A57)=0,0,SUMIF('Raw Data'!$A$3:$A$2927, $A57,'Raw Data'!V$3:V$2927) / COUNTIF('Raw Data'!$A$3:$A$2927,$A57))</f>
        <v>0.1111111111111111</v>
      </c>
      <c r="Z57">
        <f>IF( COUNTIF('Raw Data'!$A$3:$A$2927,$A57)=0,0,SUMIF('Raw Data'!$A$3:$A$2927, $A57,'Raw Data'!W$3:W$2927) / COUNTIF('Raw Data'!$A$3:$A$2927,$A57))</f>
        <v>0</v>
      </c>
      <c r="AA57">
        <f>IF( COUNTIF('Raw Data'!$A$3:$A$2927,$A57)=0,0,SUMIF('Raw Data'!$A$3:$A$2927, $A57,'Raw Data'!X$3:X$2927) / COUNTIF('Raw Data'!$A$3:$A$2927,$A57))</f>
        <v>0</v>
      </c>
      <c r="AB57">
        <f>IF( COUNTIF('Raw Data'!$A$3:$A$2927,$A57)=0,0,SUMIF('Raw Data'!$A$3:$A$2927, $A57,'Raw Data'!AA$3:AA$2927) / COUNTIF('Raw Data'!$A$3:$A$2927,$A57))</f>
        <v>2</v>
      </c>
      <c r="AC57">
        <f>IF( COUNTIF('Raw Data'!$A$3:$A$2927,$A57)=0,0,SUMIF('Raw Data'!$A$3:$A$2927, $A57,'Raw Data'!AB$3:AB$2927) / COUNTIF('Raw Data'!$A$3:$A$2927,$A57))</f>
        <v>0</v>
      </c>
      <c r="AD57">
        <f>IF( COUNTIF('Raw Data'!$A$3:$A$2927,$A57)=0,0,SUMIF('Raw Data'!$A$3:$A$2927, $A57,'Raw Data'!AC$3:AC$2927) / COUNTIF('Raw Data'!$A$3:$A$2927,$A57))</f>
        <v>0.44444444444444442</v>
      </c>
      <c r="AE57" s="117">
        <f>IF( COUNTIF('Raw Data'!$A$3:$A$2927,$A57)=0,0,SUMIF('Raw Data'!$A$3:$A$2927, $A57,'Raw Data'!AD$3:AD$2927) / COUNTIF('Raw Data'!$A$3:$A$2927,$A57))</f>
        <v>0</v>
      </c>
      <c r="AF57">
        <f>IF( COUNTIF('Raw Data'!$A$3:$A$2927,$A57)=0,0,SUMIF('Raw Data'!$A$3:$A$2927, $A57,'Raw Data'!AE$3:AE$2927) / COUNTIF('Raw Data'!$A$3:$A$2927,$A57))</f>
        <v>0</v>
      </c>
      <c r="AG57">
        <f>IF( COUNTIF('Raw Data'!$A$3:$A$2927,$A57)=0,0,SUMIF('Raw Data'!$A$3:$A$2927, $A57,'Raw Data'!AF$3:AF$2927) / COUNTIF('Raw Data'!$A$3:$A$2927,$A57))</f>
        <v>0</v>
      </c>
      <c r="AH57">
        <f>IF( COUNTIF('Raw Data'!$A$3:$A$2927,$A57)=0,0,SUMIF('Raw Data'!$A$3:$A$2927, $A57,'Raw Data'!AG$3:AG$2927) / COUNTIF('Raw Data'!$A$3:$A$2927,$A57))</f>
        <v>1.1111111111111112</v>
      </c>
      <c r="AI57">
        <f>IF( COUNTIF('Raw Data'!$A$3:$A$2927,$A57)=0,0,SUMIF('Raw Data'!$A$3:$A$2927, $A57,'Raw Data'!AH$3:AH$2927) / COUNTIF('Raw Data'!$A$3:$A$2927,$A57))</f>
        <v>0.1111111111111111</v>
      </c>
      <c r="AJ57" s="116">
        <f>COUNTIF('Raw Data'!A$3:A$2927, $A57)</f>
        <v>9</v>
      </c>
      <c r="AK57">
        <f t="shared" si="7"/>
        <v>1.3488888888888892</v>
      </c>
      <c r="AL57">
        <f t="shared" si="8"/>
        <v>-1</v>
      </c>
      <c r="AM57">
        <f t="shared" si="9"/>
        <v>2.8833333333333333</v>
      </c>
    </row>
    <row r="58" spans="1:39" ht="15.75" thickBot="1">
      <c r="A58">
        <v>7456</v>
      </c>
      <c r="B58" t="s">
        <v>365</v>
      </c>
      <c r="C58">
        <f t="shared" si="5"/>
        <v>0</v>
      </c>
      <c r="D58">
        <f t="shared" si="6"/>
        <v>0</v>
      </c>
      <c r="E58">
        <f>IF( COUNTIF('Raw Data'!$A$3:$A$2927,$A58)=0,0,SUMIF('Raw Data'!$A$3:$A$2927, $A58,'Raw Data'!D$3:D$2927) / COUNTIF('Raw Data'!$A$3:$A$2927,$A58))</f>
        <v>0</v>
      </c>
      <c r="F58">
        <f>MAX(IF('Raw Data'!$A$3:$A$927=$A58, 'Raw Data'!$O$3:$O$927))</f>
        <v>0</v>
      </c>
      <c r="G58">
        <f>MAX(IF('Raw Data'!$A$3:$A$927=$A58, 'Raw Data'!$I$3:$I$927))</f>
        <v>0</v>
      </c>
      <c r="H58">
        <f>IF( COUNTIF('Raw Data'!$A$3:$A$2927,$A58)=0,0,SUMIF('Raw Data'!$A$3:$A$2927, $A58,'Raw Data'!E$3:E$2927) / COUNTIF('Raw Data'!$A$3:$A$2927,$A58))</f>
        <v>0</v>
      </c>
      <c r="I58">
        <f>IF( COUNTIF('Raw Data'!$A$3:$A$2927,$A58)=0,0,SUMIF('Raw Data'!$A$3:$A$2927, $A58,'Raw Data'!F$3:F$2927) / COUNTIF('Raw Data'!$A$3:$A$2927,$A58))</f>
        <v>0</v>
      </c>
      <c r="J58">
        <f>IF( COUNTIF('Raw Data'!$A$3:$A$2927,$A58)=0,0,SUMIF('Raw Data'!$A$3:$A$2927, $A58,'Raw Data'!G$3:G$2927) / COUNTIF('Raw Data'!$A$3:$A$2927,$A58))</f>
        <v>0</v>
      </c>
      <c r="K58">
        <f>IF( COUNTIF('Raw Data'!$A$3:$A$2927,$A58)=0,0,SUMIF('Raw Data'!$A$3:$A$2927, $A58,'Raw Data'!H$3:H$2927) / COUNTIF('Raw Data'!$A$3:$A$2927,$A58))</f>
        <v>0</v>
      </c>
      <c r="L58">
        <f>MAX(IF('Raw Data'!$A$3:$A$927=$A58, 'Raw Data'!$N$3:$N$927))</f>
        <v>0</v>
      </c>
      <c r="M58">
        <f>IF( COUNTIF('Raw Data'!$A$3:$A$2927,$A58)=0,0,SUMIF('Raw Data'!$A$3:$A$2927, $A58,'Raw Data'!J$3:J$2927) / COUNTIF('Raw Data'!$A$3:$A$2927,$A58))</f>
        <v>0</v>
      </c>
      <c r="N58">
        <f>IF( COUNTIF('Raw Data'!$A$3:$A$2927,$A58)=0,0,SUMIF('Raw Data'!$A$3:$A$2927, $A58,'Raw Data'!K$3:K$2927) / COUNTIF('Raw Data'!$A$3:$A$2927,$A58))</f>
        <v>0</v>
      </c>
      <c r="O58">
        <f>IF( COUNTIF('Raw Data'!$A$3:$A$2927,$A58)=0,0,SUMIF('Raw Data'!$A$3:$A$2927, $A58,'Raw Data'!L$3:L$2927) / COUNTIF('Raw Data'!$A$3:$A$2927,$A58))</f>
        <v>0</v>
      </c>
      <c r="P58" s="58">
        <f>IF( COUNTIF('Raw Data'!$A$3:$A$2927,$A58)=0,0,SUMIF('Raw Data'!$A$3:$A$2927, $A58,'Raw Data'!M$3:M$2927) / COUNTIF('Raw Data'!$A$3:$A$2927,$A58))</f>
        <v>0</v>
      </c>
      <c r="Q58">
        <f>MAX(IF('Raw Data'!$A$3:$A$927=$A58, 'Raw Data'!$Z$3:$Z$927))</f>
        <v>0</v>
      </c>
      <c r="R58">
        <f>MAX(IF('Raw Data'!$A$3:$A$927=$A58, 'Raw Data'!$T$3:$T$927))</f>
        <v>0</v>
      </c>
      <c r="S58">
        <f>IF( COUNTIF('Raw Data'!$A$3:$A$2927,$A58)=0,0,SUMIF('Raw Data'!$A$3:$A$2927, $A58,'Raw Data'!P$3:P$2927) / COUNTIF('Raw Data'!$A$3:$A$2927,$A58))</f>
        <v>0</v>
      </c>
      <c r="T58">
        <f>IF( COUNTIF('Raw Data'!$A$3:$A$2927,$A58)=0,0,SUMIF('Raw Data'!$A$3:$A$2927, $A58,'Raw Data'!Q$3:Q$2927) / COUNTIF('Raw Data'!$A$3:$A$2927,$A58))</f>
        <v>0</v>
      </c>
      <c r="U58">
        <f>IF( COUNTIF('Raw Data'!$A$3:$A$2927,$A58)=0,0,SUMIF('Raw Data'!$A$3:$A$2927, $A58,'Raw Data'!R$3:R$2927) / COUNTIF('Raw Data'!$A$3:$A$2927,$A58))</f>
        <v>0</v>
      </c>
      <c r="V58">
        <f>IF( COUNTIF('Raw Data'!$A$3:$A$2927,$A58)=0,0,SUMIF('Raw Data'!$A$3:$A$2927, $A58,'Raw Data'!S$3:S$2927) / COUNTIF('Raw Data'!$A$3:$A$2927,$A58))</f>
        <v>0</v>
      </c>
      <c r="W58">
        <f>MAX(IF('Raw Data'!$A$3:$A$927=$A58, 'Raw Data'!$Y$3:$Y$927))</f>
        <v>0</v>
      </c>
      <c r="X58">
        <f>IF( COUNTIF('Raw Data'!$A$3:$A$2927,$A58)=0,0,SUMIF('Raw Data'!$A$3:$A$2927, $A58,'Raw Data'!U$3:U$2927) / COUNTIF('Raw Data'!$A$3:$A$2927,$A58))</f>
        <v>0</v>
      </c>
      <c r="Y58">
        <f>IF( COUNTIF('Raw Data'!$A$3:$A$2927,$A58)=0,0,SUMIF('Raw Data'!$A$3:$A$2927, $A58,'Raw Data'!V$3:V$2927) / COUNTIF('Raw Data'!$A$3:$A$2927,$A58))</f>
        <v>0</v>
      </c>
      <c r="Z58">
        <f>IF( COUNTIF('Raw Data'!$A$3:$A$2927,$A58)=0,0,SUMIF('Raw Data'!$A$3:$A$2927, $A58,'Raw Data'!W$3:W$2927) / COUNTIF('Raw Data'!$A$3:$A$2927,$A58))</f>
        <v>0</v>
      </c>
      <c r="AA58">
        <f>IF( COUNTIF('Raw Data'!$A$3:$A$2927,$A58)=0,0,SUMIF('Raw Data'!$A$3:$A$2927, $A58,'Raw Data'!X$3:X$2927) / COUNTIF('Raw Data'!$A$3:$A$2927,$A58))</f>
        <v>0</v>
      </c>
      <c r="AB58">
        <f>IF( COUNTIF('Raw Data'!$A$3:$A$2927,$A58)=0,0,SUMIF('Raw Data'!$A$3:$A$2927, $A58,'Raw Data'!AA$3:AA$2927) / COUNTIF('Raw Data'!$A$3:$A$2927,$A58))</f>
        <v>0</v>
      </c>
      <c r="AC58">
        <f>IF( COUNTIF('Raw Data'!$A$3:$A$2927,$A58)=0,0,SUMIF('Raw Data'!$A$3:$A$2927, $A58,'Raw Data'!AB$3:AB$2927) / COUNTIF('Raw Data'!$A$3:$A$2927,$A58))</f>
        <v>0</v>
      </c>
      <c r="AD58">
        <f>IF( COUNTIF('Raw Data'!$A$3:$A$2927,$A58)=0,0,SUMIF('Raw Data'!$A$3:$A$2927, $A58,'Raw Data'!AC$3:AC$2927) / COUNTIF('Raw Data'!$A$3:$A$2927,$A58))</f>
        <v>0</v>
      </c>
      <c r="AE58" s="117">
        <f>IF( COUNTIF('Raw Data'!$A$3:$A$2927,$A58)=0,0,SUMIF('Raw Data'!$A$3:$A$2927, $A58,'Raw Data'!AD$3:AD$2927) / COUNTIF('Raw Data'!$A$3:$A$2927,$A58))</f>
        <v>0</v>
      </c>
      <c r="AF58">
        <f>IF( COUNTIF('Raw Data'!$A$3:$A$2927,$A58)=0,0,SUMIF('Raw Data'!$A$3:$A$2927, $A58,'Raw Data'!AE$3:AE$2927) / COUNTIF('Raw Data'!$A$3:$A$2927,$A58))</f>
        <v>0</v>
      </c>
      <c r="AG58">
        <f>IF( COUNTIF('Raw Data'!$A$3:$A$2927,$A58)=0,0,SUMIF('Raw Data'!$A$3:$A$2927, $A58,'Raw Data'!AF$3:AF$2927) / COUNTIF('Raw Data'!$A$3:$A$2927,$A58))</f>
        <v>0</v>
      </c>
      <c r="AH58">
        <f>IF( COUNTIF('Raw Data'!$A$3:$A$2927,$A58)=0,0,SUMIF('Raw Data'!$A$3:$A$2927, $A58,'Raw Data'!AG$3:AG$2927) / COUNTIF('Raw Data'!$A$3:$A$2927,$A58))</f>
        <v>0</v>
      </c>
      <c r="AI58">
        <f>IF( COUNTIF('Raw Data'!$A$3:$A$2927,$A58)=0,0,SUMIF('Raw Data'!$A$3:$A$2927, $A58,'Raw Data'!AH$3:AH$2927) / COUNTIF('Raw Data'!$A$3:$A$2927,$A58))</f>
        <v>0</v>
      </c>
      <c r="AJ58" s="116">
        <f>COUNTIF('Raw Data'!A$3:A$2927, $A58)</f>
        <v>0</v>
      </c>
      <c r="AK58">
        <f t="shared" si="7"/>
        <v>-21</v>
      </c>
      <c r="AL58">
        <f t="shared" si="8"/>
        <v>-1.5</v>
      </c>
      <c r="AM58">
        <f t="shared" si="9"/>
        <v>-1</v>
      </c>
    </row>
    <row r="59" spans="1:39" ht="15.75" thickBot="1">
      <c r="A59">
        <v>7476</v>
      </c>
      <c r="B59" t="s">
        <v>378</v>
      </c>
      <c r="C59">
        <f t="shared" si="5"/>
        <v>0</v>
      </c>
      <c r="D59">
        <f t="shared" si="6"/>
        <v>0</v>
      </c>
      <c r="E59">
        <f>IF( COUNTIF('Raw Data'!$A$3:$A$2927,$A59)=0,0,SUMIF('Raw Data'!$A$3:$A$2927, $A59,'Raw Data'!D$3:D$2927) / COUNTIF('Raw Data'!$A$3:$A$2927,$A59))</f>
        <v>0</v>
      </c>
      <c r="F59">
        <f>MAX(IF('Raw Data'!$A$3:$A$927=$A59, 'Raw Data'!$O$3:$O$927))</f>
        <v>0</v>
      </c>
      <c r="G59">
        <f>MAX(IF('Raw Data'!$A$3:$A$927=$A59, 'Raw Data'!$I$3:$I$927))</f>
        <v>0</v>
      </c>
      <c r="H59">
        <f>IF( COUNTIF('Raw Data'!$A$3:$A$2927,$A59)=0,0,SUMIF('Raw Data'!$A$3:$A$2927, $A59,'Raw Data'!E$3:E$2927) / COUNTIF('Raw Data'!$A$3:$A$2927,$A59))</f>
        <v>0</v>
      </c>
      <c r="I59">
        <f>IF( COUNTIF('Raw Data'!$A$3:$A$2927,$A59)=0,0,SUMIF('Raw Data'!$A$3:$A$2927, $A59,'Raw Data'!F$3:F$2927) / COUNTIF('Raw Data'!$A$3:$A$2927,$A59))</f>
        <v>0</v>
      </c>
      <c r="J59">
        <f>IF( COUNTIF('Raw Data'!$A$3:$A$2927,$A59)=0,0,SUMIF('Raw Data'!$A$3:$A$2927, $A59,'Raw Data'!G$3:G$2927) / COUNTIF('Raw Data'!$A$3:$A$2927,$A59))</f>
        <v>0</v>
      </c>
      <c r="K59">
        <f>IF( COUNTIF('Raw Data'!$A$3:$A$2927,$A59)=0,0,SUMIF('Raw Data'!$A$3:$A$2927, $A59,'Raw Data'!H$3:H$2927) / COUNTIF('Raw Data'!$A$3:$A$2927,$A59))</f>
        <v>0</v>
      </c>
      <c r="L59">
        <f>MAX(IF('Raw Data'!$A$3:$A$927=$A59, 'Raw Data'!$N$3:$N$927))</f>
        <v>0</v>
      </c>
      <c r="M59">
        <f>IF( COUNTIF('Raw Data'!$A$3:$A$2927,$A59)=0,0,SUMIF('Raw Data'!$A$3:$A$2927, $A59,'Raw Data'!J$3:J$2927) / COUNTIF('Raw Data'!$A$3:$A$2927,$A59))</f>
        <v>0</v>
      </c>
      <c r="N59">
        <f>IF( COUNTIF('Raw Data'!$A$3:$A$2927,$A59)=0,0,SUMIF('Raw Data'!$A$3:$A$2927, $A59,'Raw Data'!K$3:K$2927) / COUNTIF('Raw Data'!$A$3:$A$2927,$A59))</f>
        <v>0</v>
      </c>
      <c r="O59">
        <f>IF( COUNTIF('Raw Data'!$A$3:$A$2927,$A59)=0,0,SUMIF('Raw Data'!$A$3:$A$2927, $A59,'Raw Data'!L$3:L$2927) / COUNTIF('Raw Data'!$A$3:$A$2927,$A59))</f>
        <v>0</v>
      </c>
      <c r="P59" s="58">
        <f>IF( COUNTIF('Raw Data'!$A$3:$A$2927,$A59)=0,0,SUMIF('Raw Data'!$A$3:$A$2927, $A59,'Raw Data'!M$3:M$2927) / COUNTIF('Raw Data'!$A$3:$A$2927,$A59))</f>
        <v>0</v>
      </c>
      <c r="Q59">
        <f>MAX(IF('Raw Data'!$A$3:$A$927=$A59, 'Raw Data'!$Z$3:$Z$927))</f>
        <v>0</v>
      </c>
      <c r="R59">
        <f>MAX(IF('Raw Data'!$A$3:$A$927=$A59, 'Raw Data'!$T$3:$T$927))</f>
        <v>0</v>
      </c>
      <c r="S59">
        <f>IF( COUNTIF('Raw Data'!$A$3:$A$2927,$A59)=0,0,SUMIF('Raw Data'!$A$3:$A$2927, $A59,'Raw Data'!P$3:P$2927) / COUNTIF('Raw Data'!$A$3:$A$2927,$A59))</f>
        <v>0</v>
      </c>
      <c r="T59">
        <f>IF( COUNTIF('Raw Data'!$A$3:$A$2927,$A59)=0,0,SUMIF('Raw Data'!$A$3:$A$2927, $A59,'Raw Data'!Q$3:Q$2927) / COUNTIF('Raw Data'!$A$3:$A$2927,$A59))</f>
        <v>0</v>
      </c>
      <c r="U59">
        <f>IF( COUNTIF('Raw Data'!$A$3:$A$2927,$A59)=0,0,SUMIF('Raw Data'!$A$3:$A$2927, $A59,'Raw Data'!R$3:R$2927) / COUNTIF('Raw Data'!$A$3:$A$2927,$A59))</f>
        <v>0</v>
      </c>
      <c r="V59">
        <f>IF( COUNTIF('Raw Data'!$A$3:$A$2927,$A59)=0,0,SUMIF('Raw Data'!$A$3:$A$2927, $A59,'Raw Data'!S$3:S$2927) / COUNTIF('Raw Data'!$A$3:$A$2927,$A59))</f>
        <v>0</v>
      </c>
      <c r="W59">
        <f>MAX(IF('Raw Data'!$A$3:$A$927=$A59, 'Raw Data'!$Y$3:$Y$927))</f>
        <v>0</v>
      </c>
      <c r="X59">
        <f>IF( COUNTIF('Raw Data'!$A$3:$A$2927,$A59)=0,0,SUMIF('Raw Data'!$A$3:$A$2927, $A59,'Raw Data'!U$3:U$2927) / COUNTIF('Raw Data'!$A$3:$A$2927,$A59))</f>
        <v>0</v>
      </c>
      <c r="Y59">
        <f>IF( COUNTIF('Raw Data'!$A$3:$A$2927,$A59)=0,0,SUMIF('Raw Data'!$A$3:$A$2927, $A59,'Raw Data'!V$3:V$2927) / COUNTIF('Raw Data'!$A$3:$A$2927,$A59))</f>
        <v>0</v>
      </c>
      <c r="Z59">
        <f>IF( COUNTIF('Raw Data'!$A$3:$A$2927,$A59)=0,0,SUMIF('Raw Data'!$A$3:$A$2927, $A59,'Raw Data'!W$3:W$2927) / COUNTIF('Raw Data'!$A$3:$A$2927,$A59))</f>
        <v>0</v>
      </c>
      <c r="AA59">
        <f>IF( COUNTIF('Raw Data'!$A$3:$A$2927,$A59)=0,0,SUMIF('Raw Data'!$A$3:$A$2927, $A59,'Raw Data'!X$3:X$2927) / COUNTIF('Raw Data'!$A$3:$A$2927,$A59))</f>
        <v>0</v>
      </c>
      <c r="AB59">
        <f>IF( COUNTIF('Raw Data'!$A$3:$A$2927,$A59)=0,0,SUMIF('Raw Data'!$A$3:$A$2927, $A59,'Raw Data'!AA$3:AA$2927) / COUNTIF('Raw Data'!$A$3:$A$2927,$A59))</f>
        <v>0</v>
      </c>
      <c r="AC59">
        <f>IF( COUNTIF('Raw Data'!$A$3:$A$2927,$A59)=0,0,SUMIF('Raw Data'!$A$3:$A$2927, $A59,'Raw Data'!AB$3:AB$2927) / COUNTIF('Raw Data'!$A$3:$A$2927,$A59))</f>
        <v>0</v>
      </c>
      <c r="AD59">
        <f>IF( COUNTIF('Raw Data'!$A$3:$A$2927,$A59)=0,0,SUMIF('Raw Data'!$A$3:$A$2927, $A59,'Raw Data'!AC$3:AC$2927) / COUNTIF('Raw Data'!$A$3:$A$2927,$A59))</f>
        <v>0</v>
      </c>
      <c r="AE59" s="117">
        <f>IF( COUNTIF('Raw Data'!$A$3:$A$2927,$A59)=0,0,SUMIF('Raw Data'!$A$3:$A$2927, $A59,'Raw Data'!AD$3:AD$2927) / COUNTIF('Raw Data'!$A$3:$A$2927,$A59))</f>
        <v>0</v>
      </c>
      <c r="AF59">
        <f>IF( COUNTIF('Raw Data'!$A$3:$A$2927,$A59)=0,0,SUMIF('Raw Data'!$A$3:$A$2927, $A59,'Raw Data'!AE$3:AE$2927) / COUNTIF('Raw Data'!$A$3:$A$2927,$A59))</f>
        <v>0</v>
      </c>
      <c r="AG59">
        <f>IF( COUNTIF('Raw Data'!$A$3:$A$2927,$A59)=0,0,SUMIF('Raw Data'!$A$3:$A$2927, $A59,'Raw Data'!AF$3:AF$2927) / COUNTIF('Raw Data'!$A$3:$A$2927,$A59))</f>
        <v>0</v>
      </c>
      <c r="AH59">
        <f>IF( COUNTIF('Raw Data'!$A$3:$A$2927,$A59)=0,0,SUMIF('Raw Data'!$A$3:$A$2927, $A59,'Raw Data'!AG$3:AG$2927) / COUNTIF('Raw Data'!$A$3:$A$2927,$A59))</f>
        <v>0</v>
      </c>
      <c r="AI59">
        <f>IF( COUNTIF('Raw Data'!$A$3:$A$2927,$A59)=0,0,SUMIF('Raw Data'!$A$3:$A$2927, $A59,'Raw Data'!AH$3:AH$2927) / COUNTIF('Raw Data'!$A$3:$A$2927,$A59))</f>
        <v>0</v>
      </c>
      <c r="AJ59" s="116">
        <f>COUNTIF('Raw Data'!A$3:A$2927, $A59)</f>
        <v>0</v>
      </c>
      <c r="AK59">
        <f t="shared" si="7"/>
        <v>-21</v>
      </c>
      <c r="AL59">
        <f t="shared" si="8"/>
        <v>-1.5</v>
      </c>
      <c r="AM59">
        <f t="shared" si="9"/>
        <v>-1</v>
      </c>
    </row>
    <row r="60" spans="1:39" ht="15.75" thickBot="1">
      <c r="A60">
        <v>7520</v>
      </c>
      <c r="B60" t="s">
        <v>366</v>
      </c>
      <c r="C60">
        <f t="shared" si="5"/>
        <v>0</v>
      </c>
      <c r="D60">
        <f t="shared" si="6"/>
        <v>0</v>
      </c>
      <c r="E60">
        <f>IF( COUNTIF('Raw Data'!$A$3:$A$2927,$A60)=0,0,SUMIF('Raw Data'!$A$3:$A$2927, $A60,'Raw Data'!D$3:D$2927) / COUNTIF('Raw Data'!$A$3:$A$2927,$A60))</f>
        <v>0</v>
      </c>
      <c r="F60">
        <f>MAX(IF('Raw Data'!$A$3:$A$927=$A60, 'Raw Data'!$O$3:$O$927))</f>
        <v>0</v>
      </c>
      <c r="G60">
        <f>MAX(IF('Raw Data'!$A$3:$A$927=$A60, 'Raw Data'!$I$3:$I$927))</f>
        <v>0</v>
      </c>
      <c r="H60">
        <f>IF( COUNTIF('Raw Data'!$A$3:$A$2927,$A60)=0,0,SUMIF('Raw Data'!$A$3:$A$2927, $A60,'Raw Data'!E$3:E$2927) / COUNTIF('Raw Data'!$A$3:$A$2927,$A60))</f>
        <v>0</v>
      </c>
      <c r="I60">
        <f>IF( COUNTIF('Raw Data'!$A$3:$A$2927,$A60)=0,0,SUMIF('Raw Data'!$A$3:$A$2927, $A60,'Raw Data'!F$3:F$2927) / COUNTIF('Raw Data'!$A$3:$A$2927,$A60))</f>
        <v>0</v>
      </c>
      <c r="J60">
        <f>IF( COUNTIF('Raw Data'!$A$3:$A$2927,$A60)=0,0,SUMIF('Raw Data'!$A$3:$A$2927, $A60,'Raw Data'!G$3:G$2927) / COUNTIF('Raw Data'!$A$3:$A$2927,$A60))</f>
        <v>0</v>
      </c>
      <c r="K60">
        <f>IF( COUNTIF('Raw Data'!$A$3:$A$2927,$A60)=0,0,SUMIF('Raw Data'!$A$3:$A$2927, $A60,'Raw Data'!H$3:H$2927) / COUNTIF('Raw Data'!$A$3:$A$2927,$A60))</f>
        <v>0</v>
      </c>
      <c r="L60">
        <f>MAX(IF('Raw Data'!$A$3:$A$927=$A60, 'Raw Data'!$N$3:$N$927))</f>
        <v>0</v>
      </c>
      <c r="M60">
        <f>IF( COUNTIF('Raw Data'!$A$3:$A$2927,$A60)=0,0,SUMIF('Raw Data'!$A$3:$A$2927, $A60,'Raw Data'!J$3:J$2927) / COUNTIF('Raw Data'!$A$3:$A$2927,$A60))</f>
        <v>0</v>
      </c>
      <c r="N60">
        <f>IF( COUNTIF('Raw Data'!$A$3:$A$2927,$A60)=0,0,SUMIF('Raw Data'!$A$3:$A$2927, $A60,'Raw Data'!K$3:K$2927) / COUNTIF('Raw Data'!$A$3:$A$2927,$A60))</f>
        <v>0</v>
      </c>
      <c r="O60">
        <f>IF( COUNTIF('Raw Data'!$A$3:$A$2927,$A60)=0,0,SUMIF('Raw Data'!$A$3:$A$2927, $A60,'Raw Data'!L$3:L$2927) / COUNTIF('Raw Data'!$A$3:$A$2927,$A60))</f>
        <v>0</v>
      </c>
      <c r="P60" s="58">
        <f>IF( COUNTIF('Raw Data'!$A$3:$A$2927,$A60)=0,0,SUMIF('Raw Data'!$A$3:$A$2927, $A60,'Raw Data'!M$3:M$2927) / COUNTIF('Raw Data'!$A$3:$A$2927,$A60))</f>
        <v>0</v>
      </c>
      <c r="Q60">
        <f>MAX(IF('Raw Data'!$A$3:$A$927=$A60, 'Raw Data'!$Z$3:$Z$927))</f>
        <v>0</v>
      </c>
      <c r="R60">
        <f>MAX(IF('Raw Data'!$A$3:$A$927=$A60, 'Raw Data'!$T$3:$T$927))</f>
        <v>0</v>
      </c>
      <c r="S60">
        <f>IF( COUNTIF('Raw Data'!$A$3:$A$2927,$A60)=0,0,SUMIF('Raw Data'!$A$3:$A$2927, $A60,'Raw Data'!P$3:P$2927) / COUNTIF('Raw Data'!$A$3:$A$2927,$A60))</f>
        <v>0</v>
      </c>
      <c r="T60">
        <f>IF( COUNTIF('Raw Data'!$A$3:$A$2927,$A60)=0,0,SUMIF('Raw Data'!$A$3:$A$2927, $A60,'Raw Data'!Q$3:Q$2927) / COUNTIF('Raw Data'!$A$3:$A$2927,$A60))</f>
        <v>0</v>
      </c>
      <c r="U60">
        <f>IF( COUNTIF('Raw Data'!$A$3:$A$2927,$A60)=0,0,SUMIF('Raw Data'!$A$3:$A$2927, $A60,'Raw Data'!R$3:R$2927) / COUNTIF('Raw Data'!$A$3:$A$2927,$A60))</f>
        <v>0</v>
      </c>
      <c r="V60">
        <f>IF( COUNTIF('Raw Data'!$A$3:$A$2927,$A60)=0,0,SUMIF('Raw Data'!$A$3:$A$2927, $A60,'Raw Data'!S$3:S$2927) / COUNTIF('Raw Data'!$A$3:$A$2927,$A60))</f>
        <v>0</v>
      </c>
      <c r="W60">
        <f>MAX(IF('Raw Data'!$A$3:$A$927=$A60, 'Raw Data'!$Y$3:$Y$927))</f>
        <v>0</v>
      </c>
      <c r="X60">
        <f>IF( COUNTIF('Raw Data'!$A$3:$A$2927,$A60)=0,0,SUMIF('Raw Data'!$A$3:$A$2927, $A60,'Raw Data'!U$3:U$2927) / COUNTIF('Raw Data'!$A$3:$A$2927,$A60))</f>
        <v>0</v>
      </c>
      <c r="Y60">
        <f>IF( COUNTIF('Raw Data'!$A$3:$A$2927,$A60)=0,0,SUMIF('Raw Data'!$A$3:$A$2927, $A60,'Raw Data'!V$3:V$2927) / COUNTIF('Raw Data'!$A$3:$A$2927,$A60))</f>
        <v>0</v>
      </c>
      <c r="Z60">
        <f>IF( COUNTIF('Raw Data'!$A$3:$A$2927,$A60)=0,0,SUMIF('Raw Data'!$A$3:$A$2927, $A60,'Raw Data'!W$3:W$2927) / COUNTIF('Raw Data'!$A$3:$A$2927,$A60))</f>
        <v>0</v>
      </c>
      <c r="AA60">
        <f>IF( COUNTIF('Raw Data'!$A$3:$A$2927,$A60)=0,0,SUMIF('Raw Data'!$A$3:$A$2927, $A60,'Raw Data'!X$3:X$2927) / COUNTIF('Raw Data'!$A$3:$A$2927,$A60))</f>
        <v>0</v>
      </c>
      <c r="AB60">
        <f>IF( COUNTIF('Raw Data'!$A$3:$A$2927,$A60)=0,0,SUMIF('Raw Data'!$A$3:$A$2927, $A60,'Raw Data'!AA$3:AA$2927) / COUNTIF('Raw Data'!$A$3:$A$2927,$A60))</f>
        <v>0</v>
      </c>
      <c r="AC60">
        <f>IF( COUNTIF('Raw Data'!$A$3:$A$2927,$A60)=0,0,SUMIF('Raw Data'!$A$3:$A$2927, $A60,'Raw Data'!AB$3:AB$2927) / COUNTIF('Raw Data'!$A$3:$A$2927,$A60))</f>
        <v>0</v>
      </c>
      <c r="AD60">
        <f>IF( COUNTIF('Raw Data'!$A$3:$A$2927,$A60)=0,0,SUMIF('Raw Data'!$A$3:$A$2927, $A60,'Raw Data'!AC$3:AC$2927) / COUNTIF('Raw Data'!$A$3:$A$2927,$A60))</f>
        <v>0</v>
      </c>
      <c r="AE60" s="117">
        <f>IF( COUNTIF('Raw Data'!$A$3:$A$2927,$A60)=0,0,SUMIF('Raw Data'!$A$3:$A$2927, $A60,'Raw Data'!AD$3:AD$2927) / COUNTIF('Raw Data'!$A$3:$A$2927,$A60))</f>
        <v>0</v>
      </c>
      <c r="AF60">
        <f>IF( COUNTIF('Raw Data'!$A$3:$A$2927,$A60)=0,0,SUMIF('Raw Data'!$A$3:$A$2927, $A60,'Raw Data'!AE$3:AE$2927) / COUNTIF('Raw Data'!$A$3:$A$2927,$A60))</f>
        <v>0</v>
      </c>
      <c r="AG60">
        <f>IF( COUNTIF('Raw Data'!$A$3:$A$2927,$A60)=0,0,SUMIF('Raw Data'!$A$3:$A$2927, $A60,'Raw Data'!AF$3:AF$2927) / COUNTIF('Raw Data'!$A$3:$A$2927,$A60))</f>
        <v>0</v>
      </c>
      <c r="AH60">
        <f>IF( COUNTIF('Raw Data'!$A$3:$A$2927,$A60)=0,0,SUMIF('Raw Data'!$A$3:$A$2927, $A60,'Raw Data'!AG$3:AG$2927) / COUNTIF('Raw Data'!$A$3:$A$2927,$A60))</f>
        <v>0</v>
      </c>
      <c r="AI60">
        <f>IF( COUNTIF('Raw Data'!$A$3:$A$2927,$A60)=0,0,SUMIF('Raw Data'!$A$3:$A$2927, $A60,'Raw Data'!AH$3:AH$2927) / COUNTIF('Raw Data'!$A$3:$A$2927,$A60))</f>
        <v>0</v>
      </c>
      <c r="AJ60" s="116">
        <f>COUNTIF('Raw Data'!A$3:A$2927, $A60)</f>
        <v>0</v>
      </c>
      <c r="AK60">
        <f t="shared" si="7"/>
        <v>-21</v>
      </c>
      <c r="AL60">
        <f t="shared" si="8"/>
        <v>-1.5</v>
      </c>
      <c r="AM60">
        <f t="shared" si="9"/>
        <v>-1</v>
      </c>
    </row>
    <row r="61" spans="1:39" ht="15.75" thickBot="1">
      <c r="A61">
        <v>7564</v>
      </c>
      <c r="B61" t="s">
        <v>231</v>
      </c>
      <c r="C61">
        <f t="shared" si="5"/>
        <v>7.7142857142857144</v>
      </c>
      <c r="D61">
        <f t="shared" si="6"/>
        <v>0.42857142857142855</v>
      </c>
      <c r="E61">
        <f>IF( COUNTIF('Raw Data'!$A$3:$A$2927,$A61)=0,0,SUMIF('Raw Data'!$A$3:$A$2927, $A61,'Raw Data'!D$3:D$2927) / COUNTIF('Raw Data'!$A$3:$A$2927,$A61))</f>
        <v>2</v>
      </c>
      <c r="F61">
        <f>MAX(IF('Raw Data'!$A$3:$A$927=$A61, 'Raw Data'!$O$3:$O$927))</f>
        <v>0</v>
      </c>
      <c r="G61">
        <f>MAX(IF('Raw Data'!$A$3:$A$927=$A61, 'Raw Data'!$I$3:$I$927))</f>
        <v>0</v>
      </c>
      <c r="H61">
        <f>IF( COUNTIF('Raw Data'!$A$3:$A$2927,$A61)=0,0,SUMIF('Raw Data'!$A$3:$A$2927, $A61,'Raw Data'!E$3:E$2927) / COUNTIF('Raw Data'!$A$3:$A$2927,$A61))</f>
        <v>0</v>
      </c>
      <c r="I61">
        <f>IF( COUNTIF('Raw Data'!$A$3:$A$2927,$A61)=0,0,SUMIF('Raw Data'!$A$3:$A$2927, $A61,'Raw Data'!F$3:F$2927) / COUNTIF('Raw Data'!$A$3:$A$2927,$A61))</f>
        <v>0</v>
      </c>
      <c r="J61">
        <f>IF( COUNTIF('Raw Data'!$A$3:$A$2927,$A61)=0,0,SUMIF('Raw Data'!$A$3:$A$2927, $A61,'Raw Data'!G$3:G$2927) / COUNTIF('Raw Data'!$A$3:$A$2927,$A61))</f>
        <v>0</v>
      </c>
      <c r="K61">
        <f>IF( COUNTIF('Raw Data'!$A$3:$A$2927,$A61)=0,0,SUMIF('Raw Data'!$A$3:$A$2927, $A61,'Raw Data'!H$3:H$2927) / COUNTIF('Raw Data'!$A$3:$A$2927,$A61))</f>
        <v>0</v>
      </c>
      <c r="L61">
        <f>MAX(IF('Raw Data'!$A$3:$A$927=$A61, 'Raw Data'!$N$3:$N$927))</f>
        <v>0</v>
      </c>
      <c r="M61">
        <f>IF( COUNTIF('Raw Data'!$A$3:$A$2927,$A61)=0,0,SUMIF('Raw Data'!$A$3:$A$2927, $A61,'Raw Data'!J$3:J$2927) / COUNTIF('Raw Data'!$A$3:$A$2927,$A61))</f>
        <v>0.14285714285714285</v>
      </c>
      <c r="N61">
        <f>IF( COUNTIF('Raw Data'!$A$3:$A$2927,$A61)=0,0,SUMIF('Raw Data'!$A$3:$A$2927, $A61,'Raw Data'!K$3:K$2927) / COUNTIF('Raw Data'!$A$3:$A$2927,$A61))</f>
        <v>0</v>
      </c>
      <c r="O61">
        <f>IF( COUNTIF('Raw Data'!$A$3:$A$2927,$A61)=0,0,SUMIF('Raw Data'!$A$3:$A$2927, $A61,'Raw Data'!L$3:L$2927) / COUNTIF('Raw Data'!$A$3:$A$2927,$A61))</f>
        <v>0</v>
      </c>
      <c r="P61" s="58">
        <f>IF( COUNTIF('Raw Data'!$A$3:$A$2927,$A61)=0,0,SUMIF('Raw Data'!$A$3:$A$2927, $A61,'Raw Data'!M$3:M$2927) / COUNTIF('Raw Data'!$A$3:$A$2927,$A61))</f>
        <v>0</v>
      </c>
      <c r="Q61">
        <f>MAX(IF('Raw Data'!$A$3:$A$927=$A61, 'Raw Data'!$Z$3:$Z$927))</f>
        <v>0</v>
      </c>
      <c r="R61">
        <f>MAX(IF('Raw Data'!$A$3:$A$927=$A61, 'Raw Data'!$T$3:$T$927))</f>
        <v>0</v>
      </c>
      <c r="S61">
        <f>IF( COUNTIF('Raw Data'!$A$3:$A$2927,$A61)=0,0,SUMIF('Raw Data'!$A$3:$A$2927, $A61,'Raw Data'!P$3:P$2927) / COUNTIF('Raw Data'!$A$3:$A$2927,$A61))</f>
        <v>0</v>
      </c>
      <c r="T61">
        <f>IF( COUNTIF('Raw Data'!$A$3:$A$2927,$A61)=0,0,SUMIF('Raw Data'!$A$3:$A$2927, $A61,'Raw Data'!Q$3:Q$2927) / COUNTIF('Raw Data'!$A$3:$A$2927,$A61))</f>
        <v>0</v>
      </c>
      <c r="U61">
        <f>IF( COUNTIF('Raw Data'!$A$3:$A$2927,$A61)=0,0,SUMIF('Raw Data'!$A$3:$A$2927, $A61,'Raw Data'!R$3:R$2927) / COUNTIF('Raw Data'!$A$3:$A$2927,$A61))</f>
        <v>0</v>
      </c>
      <c r="V61">
        <f>IF( COUNTIF('Raw Data'!$A$3:$A$2927,$A61)=0,0,SUMIF('Raw Data'!$A$3:$A$2927, $A61,'Raw Data'!S$3:S$2927) / COUNTIF('Raw Data'!$A$3:$A$2927,$A61))</f>
        <v>0</v>
      </c>
      <c r="W61">
        <f>MAX(IF('Raw Data'!$A$3:$A$927=$A61, 'Raw Data'!$Y$3:$Y$927))</f>
        <v>0</v>
      </c>
      <c r="X61">
        <f>IF( COUNTIF('Raw Data'!$A$3:$A$2927,$A61)=0,0,SUMIF('Raw Data'!$A$3:$A$2927, $A61,'Raw Data'!U$3:U$2927) / COUNTIF('Raw Data'!$A$3:$A$2927,$A61))</f>
        <v>0</v>
      </c>
      <c r="Y61">
        <f>IF( COUNTIF('Raw Data'!$A$3:$A$2927,$A61)=0,0,SUMIF('Raw Data'!$A$3:$A$2927, $A61,'Raw Data'!V$3:V$2927) / COUNTIF('Raw Data'!$A$3:$A$2927,$A61))</f>
        <v>0</v>
      </c>
      <c r="Z61">
        <f>IF( COUNTIF('Raw Data'!$A$3:$A$2927,$A61)=0,0,SUMIF('Raw Data'!$A$3:$A$2927, $A61,'Raw Data'!W$3:W$2927) / COUNTIF('Raw Data'!$A$3:$A$2927,$A61))</f>
        <v>0</v>
      </c>
      <c r="AA61">
        <f>IF( COUNTIF('Raw Data'!$A$3:$A$2927,$A61)=0,0,SUMIF('Raw Data'!$A$3:$A$2927, $A61,'Raw Data'!X$3:X$2927) / COUNTIF('Raw Data'!$A$3:$A$2927,$A61))</f>
        <v>0</v>
      </c>
      <c r="AB61">
        <f>IF( COUNTIF('Raw Data'!$A$3:$A$2927,$A61)=0,0,SUMIF('Raw Data'!$A$3:$A$2927, $A61,'Raw Data'!AA$3:AA$2927) / COUNTIF('Raw Data'!$A$3:$A$2927,$A61))</f>
        <v>40</v>
      </c>
      <c r="AC61">
        <f>IF( COUNTIF('Raw Data'!$A$3:$A$2927,$A61)=0,0,SUMIF('Raw Data'!$A$3:$A$2927, $A61,'Raw Data'!AB$3:AB$2927) / COUNTIF('Raw Data'!$A$3:$A$2927,$A61))</f>
        <v>0.14285714285714285</v>
      </c>
      <c r="AD61">
        <f>IF( COUNTIF('Raw Data'!$A$3:$A$2927,$A61)=0,0,SUMIF('Raw Data'!$A$3:$A$2927, $A61,'Raw Data'!AC$3:AC$2927) / COUNTIF('Raw Data'!$A$3:$A$2927,$A61))</f>
        <v>0.7142857142857143</v>
      </c>
      <c r="AE61" s="117">
        <f>IF( COUNTIF('Raw Data'!$A$3:$A$2927,$A61)=0,0,SUMIF('Raw Data'!$A$3:$A$2927, $A61,'Raw Data'!AD$3:AD$2927) / COUNTIF('Raw Data'!$A$3:$A$2927,$A61))</f>
        <v>0</v>
      </c>
      <c r="AF61">
        <f>IF( COUNTIF('Raw Data'!$A$3:$A$2927,$A61)=0,0,SUMIF('Raw Data'!$A$3:$A$2927, $A61,'Raw Data'!AE$3:AE$2927) / COUNTIF('Raw Data'!$A$3:$A$2927,$A61))</f>
        <v>0</v>
      </c>
      <c r="AG61">
        <f>IF( COUNTIF('Raw Data'!$A$3:$A$2927,$A61)=0,0,SUMIF('Raw Data'!$A$3:$A$2927, $A61,'Raw Data'!AF$3:AF$2927) / COUNTIF('Raw Data'!$A$3:$A$2927,$A61))</f>
        <v>0</v>
      </c>
      <c r="AH61">
        <f>IF( COUNTIF('Raw Data'!$A$3:$A$2927,$A61)=0,0,SUMIF('Raw Data'!$A$3:$A$2927, $A61,'Raw Data'!AG$3:AG$2927) / COUNTIF('Raw Data'!$A$3:$A$2927,$A61))</f>
        <v>1.2857142857142858</v>
      </c>
      <c r="AI61">
        <f>IF( COUNTIF('Raw Data'!$A$3:$A$2927,$A61)=0,0,SUMIF('Raw Data'!$A$3:$A$2927, $A61,'Raw Data'!AH$3:AH$2927) / COUNTIF('Raw Data'!$A$3:$A$2927,$A61))</f>
        <v>0</v>
      </c>
      <c r="AJ61" s="116">
        <f>COUNTIF('Raw Data'!A$3:A$2927, $A61)</f>
        <v>7</v>
      </c>
      <c r="AK61">
        <f t="shared" si="7"/>
        <v>0.4514285714285714</v>
      </c>
      <c r="AL61">
        <f t="shared" si="8"/>
        <v>-0.6428571428571429</v>
      </c>
      <c r="AM61">
        <f t="shared" si="9"/>
        <v>-0.24571428571428577</v>
      </c>
    </row>
    <row r="62" spans="1:39" ht="15.75" thickBot="1">
      <c r="A62">
        <v>7614</v>
      </c>
      <c r="B62" t="s">
        <v>232</v>
      </c>
      <c r="C62">
        <f t="shared" si="5"/>
        <v>11</v>
      </c>
      <c r="D62">
        <f t="shared" si="6"/>
        <v>5.75</v>
      </c>
      <c r="E62">
        <f>IF( COUNTIF('Raw Data'!$A$3:$A$2927,$A62)=0,0,SUMIF('Raw Data'!$A$3:$A$2927, $A62,'Raw Data'!D$3:D$2927) / COUNTIF('Raw Data'!$A$3:$A$2927,$A62))</f>
        <v>1</v>
      </c>
      <c r="F62">
        <f>MAX(IF('Raw Data'!$A$3:$A$927=$A62, 'Raw Data'!$O$3:$O$927))</f>
        <v>0</v>
      </c>
      <c r="G62">
        <f>MAX(IF('Raw Data'!$A$3:$A$927=$A62, 'Raw Data'!$I$3:$I$927))</f>
        <v>0</v>
      </c>
      <c r="H62">
        <f>IF( COUNTIF('Raw Data'!$A$3:$A$2927,$A62)=0,0,SUMIF('Raw Data'!$A$3:$A$2927, $A62,'Raw Data'!E$3:E$2927) / COUNTIF('Raw Data'!$A$3:$A$2927,$A62))</f>
        <v>0.125</v>
      </c>
      <c r="I62">
        <f>IF( COUNTIF('Raw Data'!$A$3:$A$2927,$A62)=0,0,SUMIF('Raw Data'!$A$3:$A$2927, $A62,'Raw Data'!F$3:F$2927) / COUNTIF('Raw Data'!$A$3:$A$2927,$A62))</f>
        <v>0</v>
      </c>
      <c r="J62">
        <f>IF( COUNTIF('Raw Data'!$A$3:$A$2927,$A62)=0,0,SUMIF('Raw Data'!$A$3:$A$2927, $A62,'Raw Data'!G$3:G$2927) / COUNTIF('Raw Data'!$A$3:$A$2927,$A62))</f>
        <v>0</v>
      </c>
      <c r="K62">
        <f>IF( COUNTIF('Raw Data'!$A$3:$A$2927,$A62)=0,0,SUMIF('Raw Data'!$A$3:$A$2927, $A62,'Raw Data'!H$3:H$2927) / COUNTIF('Raw Data'!$A$3:$A$2927,$A62))</f>
        <v>0</v>
      </c>
      <c r="L62">
        <f>MAX(IF('Raw Data'!$A$3:$A$927=$A62, 'Raw Data'!$N$3:$N$927))</f>
        <v>0</v>
      </c>
      <c r="M62">
        <f>IF( COUNTIF('Raw Data'!$A$3:$A$2927,$A62)=0,0,SUMIF('Raw Data'!$A$3:$A$2927, $A62,'Raw Data'!J$3:J$2927) / COUNTIF('Raw Data'!$A$3:$A$2927,$A62))</f>
        <v>0.25</v>
      </c>
      <c r="N62">
        <f>IF( COUNTIF('Raw Data'!$A$3:$A$2927,$A62)=0,0,SUMIF('Raw Data'!$A$3:$A$2927, $A62,'Raw Data'!K$3:K$2927) / COUNTIF('Raw Data'!$A$3:$A$2927,$A62))</f>
        <v>0</v>
      </c>
      <c r="O62">
        <f>IF( COUNTIF('Raw Data'!$A$3:$A$2927,$A62)=0,0,SUMIF('Raw Data'!$A$3:$A$2927, $A62,'Raw Data'!L$3:L$2927) / COUNTIF('Raw Data'!$A$3:$A$2927,$A62))</f>
        <v>0</v>
      </c>
      <c r="P62" s="58">
        <f>IF( COUNTIF('Raw Data'!$A$3:$A$2927,$A62)=0,0,SUMIF('Raw Data'!$A$3:$A$2927, $A62,'Raw Data'!M$3:M$2927) / COUNTIF('Raw Data'!$A$3:$A$2927,$A62))</f>
        <v>0</v>
      </c>
      <c r="Q62">
        <f>MAX(IF('Raw Data'!$A$3:$A$927=$A62, 'Raw Data'!$Z$3:$Z$927))</f>
        <v>0</v>
      </c>
      <c r="R62">
        <f>MAX(IF('Raw Data'!$A$3:$A$927=$A62, 'Raw Data'!$T$3:$T$927))</f>
        <v>0</v>
      </c>
      <c r="S62">
        <f>IF( COUNTIF('Raw Data'!$A$3:$A$2927,$A62)=0,0,SUMIF('Raw Data'!$A$3:$A$2927, $A62,'Raw Data'!P$3:P$2927) / COUNTIF('Raw Data'!$A$3:$A$2927,$A62))</f>
        <v>0.125</v>
      </c>
      <c r="T62">
        <f>IF( COUNTIF('Raw Data'!$A$3:$A$2927,$A62)=0,0,SUMIF('Raw Data'!$A$3:$A$2927, $A62,'Raw Data'!Q$3:Q$2927) / COUNTIF('Raw Data'!$A$3:$A$2927,$A62))</f>
        <v>0</v>
      </c>
      <c r="U62">
        <f>IF( COUNTIF('Raw Data'!$A$3:$A$2927,$A62)=0,0,SUMIF('Raw Data'!$A$3:$A$2927, $A62,'Raw Data'!R$3:R$2927) / COUNTIF('Raw Data'!$A$3:$A$2927,$A62))</f>
        <v>0</v>
      </c>
      <c r="V62">
        <f>IF( COUNTIF('Raw Data'!$A$3:$A$2927,$A62)=0,0,SUMIF('Raw Data'!$A$3:$A$2927, $A62,'Raw Data'!S$3:S$2927) / COUNTIF('Raw Data'!$A$3:$A$2927,$A62))</f>
        <v>0</v>
      </c>
      <c r="W62">
        <f>MAX(IF('Raw Data'!$A$3:$A$927=$A62, 'Raw Data'!$Y$3:$Y$927))</f>
        <v>0</v>
      </c>
      <c r="X62">
        <f>IF( COUNTIF('Raw Data'!$A$3:$A$2927,$A62)=0,0,SUMIF('Raw Data'!$A$3:$A$2927, $A62,'Raw Data'!U$3:U$2927) / COUNTIF('Raw Data'!$A$3:$A$2927,$A62))</f>
        <v>1.5</v>
      </c>
      <c r="Y62">
        <f>IF( COUNTIF('Raw Data'!$A$3:$A$2927,$A62)=0,0,SUMIF('Raw Data'!$A$3:$A$2927, $A62,'Raw Data'!V$3:V$2927) / COUNTIF('Raw Data'!$A$3:$A$2927,$A62))</f>
        <v>0</v>
      </c>
      <c r="Z62">
        <f>IF( COUNTIF('Raw Data'!$A$3:$A$2927,$A62)=0,0,SUMIF('Raw Data'!$A$3:$A$2927, $A62,'Raw Data'!W$3:W$2927) / COUNTIF('Raw Data'!$A$3:$A$2927,$A62))</f>
        <v>0</v>
      </c>
      <c r="AA62">
        <f>IF( COUNTIF('Raw Data'!$A$3:$A$2927,$A62)=0,0,SUMIF('Raw Data'!$A$3:$A$2927, $A62,'Raw Data'!X$3:X$2927) / COUNTIF('Raw Data'!$A$3:$A$2927,$A62))</f>
        <v>0</v>
      </c>
      <c r="AB62">
        <f>IF( COUNTIF('Raw Data'!$A$3:$A$2927,$A62)=0,0,SUMIF('Raw Data'!$A$3:$A$2927, $A62,'Raw Data'!AA$3:AA$2927) / COUNTIF('Raw Data'!$A$3:$A$2927,$A62))</f>
        <v>0</v>
      </c>
      <c r="AC62">
        <f>IF( COUNTIF('Raw Data'!$A$3:$A$2927,$A62)=0,0,SUMIF('Raw Data'!$A$3:$A$2927, $A62,'Raw Data'!AB$3:AB$2927) / COUNTIF('Raw Data'!$A$3:$A$2927,$A62))</f>
        <v>0</v>
      </c>
      <c r="AD62">
        <f>IF( COUNTIF('Raw Data'!$A$3:$A$2927,$A62)=0,0,SUMIF('Raw Data'!$A$3:$A$2927, $A62,'Raw Data'!AC$3:AC$2927) / COUNTIF('Raw Data'!$A$3:$A$2927,$A62))</f>
        <v>0.75</v>
      </c>
      <c r="AE62" s="117">
        <f>IF( COUNTIF('Raw Data'!$A$3:$A$2927,$A62)=0,0,SUMIF('Raw Data'!$A$3:$A$2927, $A62,'Raw Data'!AD$3:AD$2927) / COUNTIF('Raw Data'!$A$3:$A$2927,$A62))</f>
        <v>0</v>
      </c>
      <c r="AF62">
        <f>IF( COUNTIF('Raw Data'!$A$3:$A$2927,$A62)=0,0,SUMIF('Raw Data'!$A$3:$A$2927, $A62,'Raw Data'!AE$3:AE$2927) / COUNTIF('Raw Data'!$A$3:$A$2927,$A62))</f>
        <v>0.125</v>
      </c>
      <c r="AG62">
        <f>IF( COUNTIF('Raw Data'!$A$3:$A$2927,$A62)=0,0,SUMIF('Raw Data'!$A$3:$A$2927, $A62,'Raw Data'!AF$3:AF$2927) / COUNTIF('Raw Data'!$A$3:$A$2927,$A62))</f>
        <v>0</v>
      </c>
      <c r="AH62">
        <f>IF( COUNTIF('Raw Data'!$A$3:$A$2927,$A62)=0,0,SUMIF('Raw Data'!$A$3:$A$2927, $A62,'Raw Data'!AG$3:AG$2927) / COUNTIF('Raw Data'!$A$3:$A$2927,$A62))</f>
        <v>0</v>
      </c>
      <c r="AI62">
        <f>IF( COUNTIF('Raw Data'!$A$3:$A$2927,$A62)=0,0,SUMIF('Raw Data'!$A$3:$A$2927, $A62,'Raw Data'!AH$3:AH$2927) / COUNTIF('Raw Data'!$A$3:$A$2927,$A62))</f>
        <v>0.25</v>
      </c>
      <c r="AJ62" s="116">
        <f>COUNTIF('Raw Data'!A$3:A$2927, $A62)</f>
        <v>8</v>
      </c>
      <c r="AK62">
        <f t="shared" si="7"/>
        <v>0.65500000000000003</v>
      </c>
      <c r="AL62">
        <f t="shared" si="8"/>
        <v>-0.9375</v>
      </c>
      <c r="AM62">
        <f t="shared" si="9"/>
        <v>1.5625</v>
      </c>
    </row>
    <row r="63" spans="1:39" ht="15.75" thickBot="1">
      <c r="A63">
        <v>7690</v>
      </c>
      <c r="B63" t="s">
        <v>233</v>
      </c>
      <c r="C63">
        <f t="shared" si="5"/>
        <v>7</v>
      </c>
      <c r="D63">
        <f t="shared" si="6"/>
        <v>1.2727272727272727</v>
      </c>
      <c r="E63">
        <f>IF( COUNTIF('Raw Data'!$A$3:$A$2927,$A63)=0,0,SUMIF('Raw Data'!$A$3:$A$2927, $A63,'Raw Data'!D$3:D$2927) / COUNTIF('Raw Data'!$A$3:$A$2927,$A63))</f>
        <v>1.1818181818181819</v>
      </c>
      <c r="F63">
        <f>MAX(IF('Raw Data'!$A$3:$A$927=$A63, 'Raw Data'!$O$3:$O$927))</f>
        <v>0</v>
      </c>
      <c r="G63">
        <f>MAX(IF('Raw Data'!$A$3:$A$927=$A63, 'Raw Data'!$I$3:$I$927))</f>
        <v>0</v>
      </c>
      <c r="H63">
        <f>IF( COUNTIF('Raw Data'!$A$3:$A$2927,$A63)=0,0,SUMIF('Raw Data'!$A$3:$A$2927, $A63,'Raw Data'!E$3:E$2927) / COUNTIF('Raw Data'!$A$3:$A$2927,$A63))</f>
        <v>0</v>
      </c>
      <c r="I63">
        <f>IF( COUNTIF('Raw Data'!$A$3:$A$2927,$A63)=0,0,SUMIF('Raw Data'!$A$3:$A$2927, $A63,'Raw Data'!F$3:F$2927) / COUNTIF('Raw Data'!$A$3:$A$2927,$A63))</f>
        <v>9.0909090909090912E-2</v>
      </c>
      <c r="J63">
        <f>IF( COUNTIF('Raw Data'!$A$3:$A$2927,$A63)=0,0,SUMIF('Raw Data'!$A$3:$A$2927, $A63,'Raw Data'!G$3:G$2927) / COUNTIF('Raw Data'!$A$3:$A$2927,$A63))</f>
        <v>0</v>
      </c>
      <c r="K63">
        <f>IF( COUNTIF('Raw Data'!$A$3:$A$2927,$A63)=0,0,SUMIF('Raw Data'!$A$3:$A$2927, $A63,'Raw Data'!H$3:H$2927) / COUNTIF('Raw Data'!$A$3:$A$2927,$A63))</f>
        <v>0</v>
      </c>
      <c r="L63">
        <f>MAX(IF('Raw Data'!$A$3:$A$927=$A63, 'Raw Data'!$N$3:$N$927))</f>
        <v>0</v>
      </c>
      <c r="M63">
        <f>IF( COUNTIF('Raw Data'!$A$3:$A$2927,$A63)=0,0,SUMIF('Raw Data'!$A$3:$A$2927, $A63,'Raw Data'!J$3:J$2927) / COUNTIF('Raw Data'!$A$3:$A$2927,$A63))</f>
        <v>0</v>
      </c>
      <c r="N63">
        <f>IF( COUNTIF('Raw Data'!$A$3:$A$2927,$A63)=0,0,SUMIF('Raw Data'!$A$3:$A$2927, $A63,'Raw Data'!K$3:K$2927) / COUNTIF('Raw Data'!$A$3:$A$2927,$A63))</f>
        <v>0</v>
      </c>
      <c r="O63">
        <f>IF( COUNTIF('Raw Data'!$A$3:$A$2927,$A63)=0,0,SUMIF('Raw Data'!$A$3:$A$2927, $A63,'Raw Data'!L$3:L$2927) / COUNTIF('Raw Data'!$A$3:$A$2927,$A63))</f>
        <v>0</v>
      </c>
      <c r="P63" s="58">
        <f>IF( COUNTIF('Raw Data'!$A$3:$A$2927,$A63)=0,0,SUMIF('Raw Data'!$A$3:$A$2927, $A63,'Raw Data'!M$3:M$2927) / COUNTIF('Raw Data'!$A$3:$A$2927,$A63))</f>
        <v>0</v>
      </c>
      <c r="Q63">
        <f>MAX(IF('Raw Data'!$A$3:$A$927=$A63, 'Raw Data'!$Z$3:$Z$927))</f>
        <v>0</v>
      </c>
      <c r="R63">
        <f>MAX(IF('Raw Data'!$A$3:$A$927=$A63, 'Raw Data'!$T$3:$T$927))</f>
        <v>0</v>
      </c>
      <c r="S63">
        <f>IF( COUNTIF('Raw Data'!$A$3:$A$2927,$A63)=0,0,SUMIF('Raw Data'!$A$3:$A$2927, $A63,'Raw Data'!P$3:P$2927) / COUNTIF('Raw Data'!$A$3:$A$2927,$A63))</f>
        <v>0.45454545454545453</v>
      </c>
      <c r="T63">
        <f>IF( COUNTIF('Raw Data'!$A$3:$A$2927,$A63)=0,0,SUMIF('Raw Data'!$A$3:$A$2927, $A63,'Raw Data'!Q$3:Q$2927) / COUNTIF('Raw Data'!$A$3:$A$2927,$A63))</f>
        <v>9.0909090909090912E-2</v>
      </c>
      <c r="U63">
        <f>IF( COUNTIF('Raw Data'!$A$3:$A$2927,$A63)=0,0,SUMIF('Raw Data'!$A$3:$A$2927, $A63,'Raw Data'!R$3:R$2927) / COUNTIF('Raw Data'!$A$3:$A$2927,$A63))</f>
        <v>0</v>
      </c>
      <c r="V63">
        <f>IF( COUNTIF('Raw Data'!$A$3:$A$2927,$A63)=0,0,SUMIF('Raw Data'!$A$3:$A$2927, $A63,'Raw Data'!S$3:S$2927) / COUNTIF('Raw Data'!$A$3:$A$2927,$A63))</f>
        <v>0</v>
      </c>
      <c r="W63">
        <f>MAX(IF('Raw Data'!$A$3:$A$927=$A63, 'Raw Data'!$Y$3:$Y$927))</f>
        <v>0</v>
      </c>
      <c r="X63">
        <f>IF( COUNTIF('Raw Data'!$A$3:$A$2927,$A63)=0,0,SUMIF('Raw Data'!$A$3:$A$2927, $A63,'Raw Data'!U$3:U$2927) / COUNTIF('Raw Data'!$A$3:$A$2927,$A63))</f>
        <v>0</v>
      </c>
      <c r="Y63">
        <f>IF( COUNTIF('Raw Data'!$A$3:$A$2927,$A63)=0,0,SUMIF('Raw Data'!$A$3:$A$2927, $A63,'Raw Data'!V$3:V$2927) / COUNTIF('Raw Data'!$A$3:$A$2927,$A63))</f>
        <v>0</v>
      </c>
      <c r="Z63">
        <f>IF( COUNTIF('Raw Data'!$A$3:$A$2927,$A63)=0,0,SUMIF('Raw Data'!$A$3:$A$2927, $A63,'Raw Data'!W$3:W$2927) / COUNTIF('Raw Data'!$A$3:$A$2927,$A63))</f>
        <v>0</v>
      </c>
      <c r="AA63">
        <f>IF( COUNTIF('Raw Data'!$A$3:$A$2927,$A63)=0,0,SUMIF('Raw Data'!$A$3:$A$2927, $A63,'Raw Data'!X$3:X$2927) / COUNTIF('Raw Data'!$A$3:$A$2927,$A63))</f>
        <v>0</v>
      </c>
      <c r="AB63">
        <f>IF( COUNTIF('Raw Data'!$A$3:$A$2927,$A63)=0,0,SUMIF('Raw Data'!$A$3:$A$2927, $A63,'Raw Data'!AA$3:AA$2927) / COUNTIF('Raw Data'!$A$3:$A$2927,$A63))</f>
        <v>1.8181818181818181</v>
      </c>
      <c r="AC63">
        <f>IF( COUNTIF('Raw Data'!$A$3:$A$2927,$A63)=0,0,SUMIF('Raw Data'!$A$3:$A$2927, $A63,'Raw Data'!AB$3:AB$2927) / COUNTIF('Raw Data'!$A$3:$A$2927,$A63))</f>
        <v>0</v>
      </c>
      <c r="AD63">
        <f>IF( COUNTIF('Raw Data'!$A$3:$A$2927,$A63)=0,0,SUMIF('Raw Data'!$A$3:$A$2927, $A63,'Raw Data'!AC$3:AC$2927) / COUNTIF('Raw Data'!$A$3:$A$2927,$A63))</f>
        <v>0.72727272727272729</v>
      </c>
      <c r="AE63" s="117">
        <f>IF( COUNTIF('Raw Data'!$A$3:$A$2927,$A63)=0,0,SUMIF('Raw Data'!$A$3:$A$2927, $A63,'Raw Data'!AD$3:AD$2927) / COUNTIF('Raw Data'!$A$3:$A$2927,$A63))</f>
        <v>0</v>
      </c>
      <c r="AF63">
        <f>IF( COUNTIF('Raw Data'!$A$3:$A$2927,$A63)=0,0,SUMIF('Raw Data'!$A$3:$A$2927, $A63,'Raw Data'!AE$3:AE$2927) / COUNTIF('Raw Data'!$A$3:$A$2927,$A63))</f>
        <v>0.36363636363636365</v>
      </c>
      <c r="AG63">
        <f>IF( COUNTIF('Raw Data'!$A$3:$A$2927,$A63)=0,0,SUMIF('Raw Data'!$A$3:$A$2927, $A63,'Raw Data'!AF$3:AF$2927) / COUNTIF('Raw Data'!$A$3:$A$2927,$A63))</f>
        <v>0</v>
      </c>
      <c r="AH63">
        <f>IF( COUNTIF('Raw Data'!$A$3:$A$2927,$A63)=0,0,SUMIF('Raw Data'!$A$3:$A$2927, $A63,'Raw Data'!AG$3:AG$2927) / COUNTIF('Raw Data'!$A$3:$A$2927,$A63))</f>
        <v>0</v>
      </c>
      <c r="AI63">
        <f>IF( COUNTIF('Raw Data'!$A$3:$A$2927,$A63)=0,0,SUMIF('Raw Data'!$A$3:$A$2927, $A63,'Raw Data'!AH$3:AH$2927) / COUNTIF('Raw Data'!$A$3:$A$2927,$A63))</f>
        <v>1.2727272727272727</v>
      </c>
      <c r="AJ63" s="116">
        <f>COUNTIF('Raw Data'!A$3:A$2927, $A63)</f>
        <v>11</v>
      </c>
      <c r="AK63">
        <f t="shared" si="7"/>
        <v>-2.6363636363636367</v>
      </c>
      <c r="AL63">
        <f t="shared" si="8"/>
        <v>-5.1363636363636367</v>
      </c>
      <c r="AM63">
        <f t="shared" si="9"/>
        <v>-0.72727272727272729</v>
      </c>
    </row>
    <row r="64" spans="1:39" ht="15.75" thickBot="1">
      <c r="A64">
        <v>7710</v>
      </c>
      <c r="B64" t="s">
        <v>234</v>
      </c>
      <c r="C64">
        <f t="shared" si="5"/>
        <v>10.571428571428571</v>
      </c>
      <c r="D64">
        <f t="shared" si="6"/>
        <v>2</v>
      </c>
      <c r="E64">
        <f>IF( COUNTIF('Raw Data'!$A$3:$A$2927,$A64)=0,0,SUMIF('Raw Data'!$A$3:$A$2927, $A64,'Raw Data'!D$3:D$2927) / COUNTIF('Raw Data'!$A$3:$A$2927,$A64))</f>
        <v>2</v>
      </c>
      <c r="F64">
        <f>MAX(IF('Raw Data'!$A$3:$A$927=$A64, 'Raw Data'!$O$3:$O$927))</f>
        <v>0</v>
      </c>
      <c r="G64">
        <f>MAX(IF('Raw Data'!$A$3:$A$927=$A64, 'Raw Data'!$I$3:$I$927))</f>
        <v>0</v>
      </c>
      <c r="H64">
        <f>IF( COUNTIF('Raw Data'!$A$3:$A$2927,$A64)=0,0,SUMIF('Raw Data'!$A$3:$A$2927, $A64,'Raw Data'!E$3:E$2927) / COUNTIF('Raw Data'!$A$3:$A$2927,$A64))</f>
        <v>0.14285714285714285</v>
      </c>
      <c r="I64">
        <f>IF( COUNTIF('Raw Data'!$A$3:$A$2927,$A64)=0,0,SUMIF('Raw Data'!$A$3:$A$2927, $A64,'Raw Data'!F$3:F$2927) / COUNTIF('Raw Data'!$A$3:$A$2927,$A64))</f>
        <v>0</v>
      </c>
      <c r="J64">
        <f>IF( COUNTIF('Raw Data'!$A$3:$A$2927,$A64)=0,0,SUMIF('Raw Data'!$A$3:$A$2927, $A64,'Raw Data'!G$3:G$2927) / COUNTIF('Raw Data'!$A$3:$A$2927,$A64))</f>
        <v>0</v>
      </c>
      <c r="K64">
        <f>IF( COUNTIF('Raw Data'!$A$3:$A$2927,$A64)=0,0,SUMIF('Raw Data'!$A$3:$A$2927, $A64,'Raw Data'!H$3:H$2927) / COUNTIF('Raw Data'!$A$3:$A$2927,$A64))</f>
        <v>0</v>
      </c>
      <c r="L64">
        <f>MAX(IF('Raw Data'!$A$3:$A$927=$A64, 'Raw Data'!$N$3:$N$927))</f>
        <v>0</v>
      </c>
      <c r="M64">
        <f>IF( COUNTIF('Raw Data'!$A$3:$A$2927,$A64)=0,0,SUMIF('Raw Data'!$A$3:$A$2927, $A64,'Raw Data'!J$3:J$2927) / COUNTIF('Raw Data'!$A$3:$A$2927,$A64))</f>
        <v>0</v>
      </c>
      <c r="N64">
        <f>IF( COUNTIF('Raw Data'!$A$3:$A$2927,$A64)=0,0,SUMIF('Raw Data'!$A$3:$A$2927, $A64,'Raw Data'!K$3:K$2927) / COUNTIF('Raw Data'!$A$3:$A$2927,$A64))</f>
        <v>0</v>
      </c>
      <c r="O64">
        <f>IF( COUNTIF('Raw Data'!$A$3:$A$2927,$A64)=0,0,SUMIF('Raw Data'!$A$3:$A$2927, $A64,'Raw Data'!L$3:L$2927) / COUNTIF('Raw Data'!$A$3:$A$2927,$A64))</f>
        <v>0</v>
      </c>
      <c r="P64" s="58">
        <f>IF( COUNTIF('Raw Data'!$A$3:$A$2927,$A64)=0,0,SUMIF('Raw Data'!$A$3:$A$2927, $A64,'Raw Data'!M$3:M$2927) / COUNTIF('Raw Data'!$A$3:$A$2927,$A64))</f>
        <v>0</v>
      </c>
      <c r="Q64">
        <f>MAX(IF('Raw Data'!$A$3:$A$927=$A64, 'Raw Data'!$Z$3:$Z$927))</f>
        <v>0</v>
      </c>
      <c r="R64">
        <f>MAX(IF('Raw Data'!$A$3:$A$927=$A64, 'Raw Data'!$T$3:$T$927))</f>
        <v>0</v>
      </c>
      <c r="S64">
        <f>IF( COUNTIF('Raw Data'!$A$3:$A$2927,$A64)=0,0,SUMIF('Raw Data'!$A$3:$A$2927, $A64,'Raw Data'!P$3:P$2927) / COUNTIF('Raw Data'!$A$3:$A$2927,$A64))</f>
        <v>0.14285714285714285</v>
      </c>
      <c r="T64">
        <f>IF( COUNTIF('Raw Data'!$A$3:$A$2927,$A64)=0,0,SUMIF('Raw Data'!$A$3:$A$2927, $A64,'Raw Data'!Q$3:Q$2927) / COUNTIF('Raw Data'!$A$3:$A$2927,$A64))</f>
        <v>0.7142857142857143</v>
      </c>
      <c r="U64">
        <f>IF( COUNTIF('Raw Data'!$A$3:$A$2927,$A64)=0,0,SUMIF('Raw Data'!$A$3:$A$2927, $A64,'Raw Data'!R$3:R$2927) / COUNTIF('Raw Data'!$A$3:$A$2927,$A64))</f>
        <v>0</v>
      </c>
      <c r="V64">
        <f>IF( COUNTIF('Raw Data'!$A$3:$A$2927,$A64)=0,0,SUMIF('Raw Data'!$A$3:$A$2927, $A64,'Raw Data'!S$3:S$2927) / COUNTIF('Raw Data'!$A$3:$A$2927,$A64))</f>
        <v>0</v>
      </c>
      <c r="W64">
        <f>MAX(IF('Raw Data'!$A$3:$A$927=$A64, 'Raw Data'!$Y$3:$Y$927))</f>
        <v>0</v>
      </c>
      <c r="X64">
        <f>IF( COUNTIF('Raw Data'!$A$3:$A$2927,$A64)=0,0,SUMIF('Raw Data'!$A$3:$A$2927, $A64,'Raw Data'!U$3:U$2927) / COUNTIF('Raw Data'!$A$3:$A$2927,$A64))</f>
        <v>0</v>
      </c>
      <c r="Y64">
        <f>IF( COUNTIF('Raw Data'!$A$3:$A$2927,$A64)=0,0,SUMIF('Raw Data'!$A$3:$A$2927, $A64,'Raw Data'!V$3:V$2927) / COUNTIF('Raw Data'!$A$3:$A$2927,$A64))</f>
        <v>0</v>
      </c>
      <c r="Z64">
        <f>IF( COUNTIF('Raw Data'!$A$3:$A$2927,$A64)=0,0,SUMIF('Raw Data'!$A$3:$A$2927, $A64,'Raw Data'!W$3:W$2927) / COUNTIF('Raw Data'!$A$3:$A$2927,$A64))</f>
        <v>0</v>
      </c>
      <c r="AA64">
        <f>IF( COUNTIF('Raw Data'!$A$3:$A$2927,$A64)=0,0,SUMIF('Raw Data'!$A$3:$A$2927, $A64,'Raw Data'!X$3:X$2927) / COUNTIF('Raw Data'!$A$3:$A$2927,$A64))</f>
        <v>0</v>
      </c>
      <c r="AB64">
        <f>IF( COUNTIF('Raw Data'!$A$3:$A$2927,$A64)=0,0,SUMIF('Raw Data'!$A$3:$A$2927, $A64,'Raw Data'!AA$3:AA$2927) / COUNTIF('Raw Data'!$A$3:$A$2927,$A64))</f>
        <v>9.8571428571428577</v>
      </c>
      <c r="AC64">
        <f>IF( COUNTIF('Raw Data'!$A$3:$A$2927,$A64)=0,0,SUMIF('Raw Data'!$A$3:$A$2927, $A64,'Raw Data'!AB$3:AB$2927) / COUNTIF('Raw Data'!$A$3:$A$2927,$A64))</f>
        <v>0.14285714285714285</v>
      </c>
      <c r="AD64">
        <f>IF( COUNTIF('Raw Data'!$A$3:$A$2927,$A64)=0,0,SUMIF('Raw Data'!$A$3:$A$2927, $A64,'Raw Data'!AC$3:AC$2927) / COUNTIF('Raw Data'!$A$3:$A$2927,$A64))</f>
        <v>0.7142857142857143</v>
      </c>
      <c r="AE64" s="117">
        <f>IF( COUNTIF('Raw Data'!$A$3:$A$2927,$A64)=0,0,SUMIF('Raw Data'!$A$3:$A$2927, $A64,'Raw Data'!AD$3:AD$2927) / COUNTIF('Raw Data'!$A$3:$A$2927,$A64))</f>
        <v>0</v>
      </c>
      <c r="AF64">
        <f>IF( COUNTIF('Raw Data'!$A$3:$A$2927,$A64)=0,0,SUMIF('Raw Data'!$A$3:$A$2927, $A64,'Raw Data'!AE$3:AE$2927) / COUNTIF('Raw Data'!$A$3:$A$2927,$A64))</f>
        <v>0</v>
      </c>
      <c r="AG64">
        <f>IF( COUNTIF('Raw Data'!$A$3:$A$2927,$A64)=0,0,SUMIF('Raw Data'!$A$3:$A$2927, $A64,'Raw Data'!AF$3:AF$2927) / COUNTIF('Raw Data'!$A$3:$A$2927,$A64))</f>
        <v>0</v>
      </c>
      <c r="AH64">
        <f>IF( COUNTIF('Raw Data'!$A$3:$A$2927,$A64)=0,0,SUMIF('Raw Data'!$A$3:$A$2927, $A64,'Raw Data'!AG$3:AG$2927) / COUNTIF('Raw Data'!$A$3:$A$2927,$A64))</f>
        <v>0</v>
      </c>
      <c r="AI64">
        <f>IF( COUNTIF('Raw Data'!$A$3:$A$2927,$A64)=0,0,SUMIF('Raw Data'!$A$3:$A$2927, $A64,'Raw Data'!AH$3:AH$2927) / COUNTIF('Raw Data'!$A$3:$A$2927,$A64))</f>
        <v>1</v>
      </c>
      <c r="AJ64" s="116">
        <f>COUNTIF('Raw Data'!A$3:A$2927, $A64)</f>
        <v>7</v>
      </c>
      <c r="AK64">
        <f t="shared" si="7"/>
        <v>0</v>
      </c>
      <c r="AL64">
        <f t="shared" si="8"/>
        <v>-2.9285714285714288</v>
      </c>
      <c r="AM64">
        <f t="shared" si="9"/>
        <v>0</v>
      </c>
    </row>
    <row r="65" spans="1:39" ht="15.75" thickBot="1">
      <c r="A65">
        <v>7712</v>
      </c>
      <c r="B65" t="s">
        <v>235</v>
      </c>
      <c r="C65">
        <f t="shared" si="5"/>
        <v>4.75</v>
      </c>
      <c r="D65">
        <f t="shared" si="6"/>
        <v>1</v>
      </c>
      <c r="E65">
        <f>IF( COUNTIF('Raw Data'!$A$3:$A$2927,$A65)=0,0,SUMIF('Raw Data'!$A$3:$A$2927, $A65,'Raw Data'!D$3:D$2927) / COUNTIF('Raw Data'!$A$3:$A$2927,$A65))</f>
        <v>0.875</v>
      </c>
      <c r="F65">
        <f>MAX(IF('Raw Data'!$A$3:$A$927=$A65, 'Raw Data'!$O$3:$O$927))</f>
        <v>0</v>
      </c>
      <c r="G65">
        <f>MAX(IF('Raw Data'!$A$3:$A$927=$A65, 'Raw Data'!$I$3:$I$927))</f>
        <v>0</v>
      </c>
      <c r="H65">
        <f>IF( COUNTIF('Raw Data'!$A$3:$A$2927,$A65)=0,0,SUMIF('Raw Data'!$A$3:$A$2927, $A65,'Raw Data'!E$3:E$2927) / COUNTIF('Raw Data'!$A$3:$A$2927,$A65))</f>
        <v>0</v>
      </c>
      <c r="I65">
        <f>IF( COUNTIF('Raw Data'!$A$3:$A$2927,$A65)=0,0,SUMIF('Raw Data'!$A$3:$A$2927, $A65,'Raw Data'!F$3:F$2927) / COUNTIF('Raw Data'!$A$3:$A$2927,$A65))</f>
        <v>0</v>
      </c>
      <c r="J65">
        <f>IF( COUNTIF('Raw Data'!$A$3:$A$2927,$A65)=0,0,SUMIF('Raw Data'!$A$3:$A$2927, $A65,'Raw Data'!G$3:G$2927) / COUNTIF('Raw Data'!$A$3:$A$2927,$A65))</f>
        <v>0</v>
      </c>
      <c r="K65">
        <f>IF( COUNTIF('Raw Data'!$A$3:$A$2927,$A65)=0,0,SUMIF('Raw Data'!$A$3:$A$2927, $A65,'Raw Data'!H$3:H$2927) / COUNTIF('Raw Data'!$A$3:$A$2927,$A65))</f>
        <v>0</v>
      </c>
      <c r="L65">
        <f>MAX(IF('Raw Data'!$A$3:$A$927=$A65, 'Raw Data'!$N$3:$N$927))</f>
        <v>0</v>
      </c>
      <c r="M65">
        <f>IF( COUNTIF('Raw Data'!$A$3:$A$2927,$A65)=0,0,SUMIF('Raw Data'!$A$3:$A$2927, $A65,'Raw Data'!J$3:J$2927) / COUNTIF('Raw Data'!$A$3:$A$2927,$A65))</f>
        <v>0</v>
      </c>
      <c r="N65">
        <f>IF( COUNTIF('Raw Data'!$A$3:$A$2927,$A65)=0,0,SUMIF('Raw Data'!$A$3:$A$2927, $A65,'Raw Data'!K$3:K$2927) / COUNTIF('Raw Data'!$A$3:$A$2927,$A65))</f>
        <v>0</v>
      </c>
      <c r="O65">
        <f>IF( COUNTIF('Raw Data'!$A$3:$A$2927,$A65)=0,0,SUMIF('Raw Data'!$A$3:$A$2927, $A65,'Raw Data'!L$3:L$2927) / COUNTIF('Raw Data'!$A$3:$A$2927,$A65))</f>
        <v>0</v>
      </c>
      <c r="P65" s="58">
        <f>IF( COUNTIF('Raw Data'!$A$3:$A$2927,$A65)=0,0,SUMIF('Raw Data'!$A$3:$A$2927, $A65,'Raw Data'!M$3:M$2927) / COUNTIF('Raw Data'!$A$3:$A$2927,$A65))</f>
        <v>0</v>
      </c>
      <c r="Q65">
        <f>MAX(IF('Raw Data'!$A$3:$A$927=$A65, 'Raw Data'!$Z$3:$Z$927))</f>
        <v>0</v>
      </c>
      <c r="R65">
        <f>MAX(IF('Raw Data'!$A$3:$A$927=$A65, 'Raw Data'!$T$3:$T$927))</f>
        <v>0</v>
      </c>
      <c r="S65">
        <f>IF( COUNTIF('Raw Data'!$A$3:$A$2927,$A65)=0,0,SUMIF('Raw Data'!$A$3:$A$2927, $A65,'Raw Data'!P$3:P$2927) / COUNTIF('Raw Data'!$A$3:$A$2927,$A65))</f>
        <v>0</v>
      </c>
      <c r="T65">
        <f>IF( COUNTIF('Raw Data'!$A$3:$A$2927,$A65)=0,0,SUMIF('Raw Data'!$A$3:$A$2927, $A65,'Raw Data'!Q$3:Q$2927) / COUNTIF('Raw Data'!$A$3:$A$2927,$A65))</f>
        <v>0.125</v>
      </c>
      <c r="U65">
        <f>IF( COUNTIF('Raw Data'!$A$3:$A$2927,$A65)=0,0,SUMIF('Raw Data'!$A$3:$A$2927, $A65,'Raw Data'!R$3:R$2927) / COUNTIF('Raw Data'!$A$3:$A$2927,$A65))</f>
        <v>0</v>
      </c>
      <c r="V65">
        <f>IF( COUNTIF('Raw Data'!$A$3:$A$2927,$A65)=0,0,SUMIF('Raw Data'!$A$3:$A$2927, $A65,'Raw Data'!S$3:S$2927) / COUNTIF('Raw Data'!$A$3:$A$2927,$A65))</f>
        <v>0</v>
      </c>
      <c r="W65">
        <f>MAX(IF('Raw Data'!$A$3:$A$927=$A65, 'Raw Data'!$Y$3:$Y$927))</f>
        <v>0</v>
      </c>
      <c r="X65">
        <f>IF( COUNTIF('Raw Data'!$A$3:$A$2927,$A65)=0,0,SUMIF('Raw Data'!$A$3:$A$2927, $A65,'Raw Data'!U$3:U$2927) / COUNTIF('Raw Data'!$A$3:$A$2927,$A65))</f>
        <v>0.25</v>
      </c>
      <c r="Y65">
        <f>IF( COUNTIF('Raw Data'!$A$3:$A$2927,$A65)=0,0,SUMIF('Raw Data'!$A$3:$A$2927, $A65,'Raw Data'!V$3:V$2927) / COUNTIF('Raw Data'!$A$3:$A$2927,$A65))</f>
        <v>0</v>
      </c>
      <c r="Z65">
        <f>IF( COUNTIF('Raw Data'!$A$3:$A$2927,$A65)=0,0,SUMIF('Raw Data'!$A$3:$A$2927, $A65,'Raw Data'!W$3:W$2927) / COUNTIF('Raw Data'!$A$3:$A$2927,$A65))</f>
        <v>0</v>
      </c>
      <c r="AA65">
        <f>IF( COUNTIF('Raw Data'!$A$3:$A$2927,$A65)=0,0,SUMIF('Raw Data'!$A$3:$A$2927, $A65,'Raw Data'!X$3:X$2927) / COUNTIF('Raw Data'!$A$3:$A$2927,$A65))</f>
        <v>0</v>
      </c>
      <c r="AB65">
        <f>IF( COUNTIF('Raw Data'!$A$3:$A$2927,$A65)=0,0,SUMIF('Raw Data'!$A$3:$A$2927, $A65,'Raw Data'!AA$3:AA$2927) / COUNTIF('Raw Data'!$A$3:$A$2927,$A65))</f>
        <v>6.875</v>
      </c>
      <c r="AC65">
        <f>IF( COUNTIF('Raw Data'!$A$3:$A$2927,$A65)=0,0,SUMIF('Raw Data'!$A$3:$A$2927, $A65,'Raw Data'!AB$3:AB$2927) / COUNTIF('Raw Data'!$A$3:$A$2927,$A65))</f>
        <v>0</v>
      </c>
      <c r="AD65">
        <f>IF( COUNTIF('Raw Data'!$A$3:$A$2927,$A65)=0,0,SUMIF('Raw Data'!$A$3:$A$2927, $A65,'Raw Data'!AC$3:AC$2927) / COUNTIF('Raw Data'!$A$3:$A$2927,$A65))</f>
        <v>0.625</v>
      </c>
      <c r="AE65" s="117">
        <f>IF( COUNTIF('Raw Data'!$A$3:$A$2927,$A65)=0,0,SUMIF('Raw Data'!$A$3:$A$2927, $A65,'Raw Data'!AD$3:AD$2927) / COUNTIF('Raw Data'!$A$3:$A$2927,$A65))</f>
        <v>0</v>
      </c>
      <c r="AF65">
        <f>IF( COUNTIF('Raw Data'!$A$3:$A$2927,$A65)=0,0,SUMIF('Raw Data'!$A$3:$A$2927, $A65,'Raw Data'!AE$3:AE$2927) / COUNTIF('Raw Data'!$A$3:$A$2927,$A65))</f>
        <v>0.5</v>
      </c>
      <c r="AG65">
        <f>IF( COUNTIF('Raw Data'!$A$3:$A$2927,$A65)=0,0,SUMIF('Raw Data'!$A$3:$A$2927, $A65,'Raw Data'!AF$3:AF$2927) / COUNTIF('Raw Data'!$A$3:$A$2927,$A65))</f>
        <v>0</v>
      </c>
      <c r="AH65">
        <f>IF( COUNTIF('Raw Data'!$A$3:$A$2927,$A65)=0,0,SUMIF('Raw Data'!$A$3:$A$2927, $A65,'Raw Data'!AG$3:AG$2927) / COUNTIF('Raw Data'!$A$3:$A$2927,$A65))</f>
        <v>0.75</v>
      </c>
      <c r="AI65">
        <f>IF( COUNTIF('Raw Data'!$A$3:$A$2927,$A65)=0,0,SUMIF('Raw Data'!$A$3:$A$2927, $A65,'Raw Data'!AH$3:AH$2927) / COUNTIF('Raw Data'!$A$3:$A$2927,$A65))</f>
        <v>0.25</v>
      </c>
      <c r="AJ65" s="116">
        <f>COUNTIF('Raw Data'!A$3:A$2927, $A65)</f>
        <v>8</v>
      </c>
      <c r="AK65">
        <f t="shared" si="7"/>
        <v>-22.585000000000001</v>
      </c>
      <c r="AL65">
        <f t="shared" si="8"/>
        <v>-3.75</v>
      </c>
      <c r="AM65">
        <f t="shared" si="9"/>
        <v>-1.9975000000000001</v>
      </c>
    </row>
    <row r="66" spans="1:39" ht="15.75" thickBot="1">
      <c r="A66">
        <v>7735</v>
      </c>
      <c r="B66" t="s">
        <v>236</v>
      </c>
      <c r="C66">
        <f t="shared" si="5"/>
        <v>12.700000000000001</v>
      </c>
      <c r="D66">
        <f t="shared" si="6"/>
        <v>6.4</v>
      </c>
      <c r="E66">
        <f>IF( COUNTIF('Raw Data'!$A$3:$A$2927,$A66)=0,0,SUMIF('Raw Data'!$A$3:$A$2927, $A66,'Raw Data'!D$3:D$2927) / COUNTIF('Raw Data'!$A$3:$A$2927,$A66))</f>
        <v>1.6</v>
      </c>
      <c r="F66">
        <f>MAX(IF('Raw Data'!$A$3:$A$927=$A66, 'Raw Data'!$O$3:$O$927))</f>
        <v>0</v>
      </c>
      <c r="G66">
        <f>MAX(IF('Raw Data'!$A$3:$A$927=$A66, 'Raw Data'!$I$3:$I$927))</f>
        <v>0</v>
      </c>
      <c r="H66">
        <f>IF( COUNTIF('Raw Data'!$A$3:$A$2927,$A66)=0,0,SUMIF('Raw Data'!$A$3:$A$2927, $A66,'Raw Data'!E$3:E$2927) / COUNTIF('Raw Data'!$A$3:$A$2927,$A66))</f>
        <v>0</v>
      </c>
      <c r="I66">
        <f>IF( COUNTIF('Raw Data'!$A$3:$A$2927,$A66)=0,0,SUMIF('Raw Data'!$A$3:$A$2927, $A66,'Raw Data'!F$3:F$2927) / COUNTIF('Raw Data'!$A$3:$A$2927,$A66))</f>
        <v>0.1</v>
      </c>
      <c r="J66">
        <f>IF( COUNTIF('Raw Data'!$A$3:$A$2927,$A66)=0,0,SUMIF('Raw Data'!$A$3:$A$2927, $A66,'Raw Data'!G$3:G$2927) / COUNTIF('Raw Data'!$A$3:$A$2927,$A66))</f>
        <v>0</v>
      </c>
      <c r="K66">
        <f>IF( COUNTIF('Raw Data'!$A$3:$A$2927,$A66)=0,0,SUMIF('Raw Data'!$A$3:$A$2927, $A66,'Raw Data'!H$3:H$2927) / COUNTIF('Raw Data'!$A$3:$A$2927,$A66))</f>
        <v>0</v>
      </c>
      <c r="L66">
        <f>MAX(IF('Raw Data'!$A$3:$A$927=$A66, 'Raw Data'!$N$3:$N$927))</f>
        <v>0</v>
      </c>
      <c r="M66">
        <f>IF( COUNTIF('Raw Data'!$A$3:$A$2927,$A66)=0,0,SUMIF('Raw Data'!$A$3:$A$2927, $A66,'Raw Data'!J$3:J$2927) / COUNTIF('Raw Data'!$A$3:$A$2927,$A66))</f>
        <v>0</v>
      </c>
      <c r="N66">
        <f>IF( COUNTIF('Raw Data'!$A$3:$A$2927,$A66)=0,0,SUMIF('Raw Data'!$A$3:$A$2927, $A66,'Raw Data'!K$3:K$2927) / COUNTIF('Raw Data'!$A$3:$A$2927,$A66))</f>
        <v>0</v>
      </c>
      <c r="O66">
        <f>IF( COUNTIF('Raw Data'!$A$3:$A$2927,$A66)=0,0,SUMIF('Raw Data'!$A$3:$A$2927, $A66,'Raw Data'!L$3:L$2927) / COUNTIF('Raw Data'!$A$3:$A$2927,$A66))</f>
        <v>0</v>
      </c>
      <c r="P66" s="58">
        <f>IF( COUNTIF('Raw Data'!$A$3:$A$2927,$A66)=0,0,SUMIF('Raw Data'!$A$3:$A$2927, $A66,'Raw Data'!M$3:M$2927) / COUNTIF('Raw Data'!$A$3:$A$2927,$A66))</f>
        <v>0</v>
      </c>
      <c r="Q66">
        <f>MAX(IF('Raw Data'!$A$3:$A$927=$A66, 'Raw Data'!$Z$3:$Z$927))</f>
        <v>0</v>
      </c>
      <c r="R66">
        <f>MAX(IF('Raw Data'!$A$3:$A$927=$A66, 'Raw Data'!$T$3:$T$927))</f>
        <v>0</v>
      </c>
      <c r="S66">
        <f>IF( COUNTIF('Raw Data'!$A$3:$A$2927,$A66)=0,0,SUMIF('Raw Data'!$A$3:$A$2927, $A66,'Raw Data'!P$3:P$2927) / COUNTIF('Raw Data'!$A$3:$A$2927,$A66))</f>
        <v>0.3</v>
      </c>
      <c r="T66">
        <f>IF( COUNTIF('Raw Data'!$A$3:$A$2927,$A66)=0,0,SUMIF('Raw Data'!$A$3:$A$2927, $A66,'Raw Data'!Q$3:Q$2927) / COUNTIF('Raw Data'!$A$3:$A$2927,$A66))</f>
        <v>0.1</v>
      </c>
      <c r="U66">
        <f>IF( COUNTIF('Raw Data'!$A$3:$A$2927,$A66)=0,0,SUMIF('Raw Data'!$A$3:$A$2927, $A66,'Raw Data'!R$3:R$2927) / COUNTIF('Raw Data'!$A$3:$A$2927,$A66))</f>
        <v>0</v>
      </c>
      <c r="V66">
        <f>IF( COUNTIF('Raw Data'!$A$3:$A$2927,$A66)=0,0,SUMIF('Raw Data'!$A$3:$A$2927, $A66,'Raw Data'!S$3:S$2927) / COUNTIF('Raw Data'!$A$3:$A$2927,$A66))</f>
        <v>0</v>
      </c>
      <c r="W66">
        <f>MAX(IF('Raw Data'!$A$3:$A$927=$A66, 'Raw Data'!$Y$3:$Y$927))</f>
        <v>0</v>
      </c>
      <c r="X66">
        <f>IF( COUNTIF('Raw Data'!$A$3:$A$2927,$A66)=0,0,SUMIF('Raw Data'!$A$3:$A$2927, $A66,'Raw Data'!U$3:U$2927) / COUNTIF('Raw Data'!$A$3:$A$2927,$A66))</f>
        <v>1.8</v>
      </c>
      <c r="Y66">
        <f>IF( COUNTIF('Raw Data'!$A$3:$A$2927,$A66)=0,0,SUMIF('Raw Data'!$A$3:$A$2927, $A66,'Raw Data'!V$3:V$2927) / COUNTIF('Raw Data'!$A$3:$A$2927,$A66))</f>
        <v>0</v>
      </c>
      <c r="Z66">
        <f>IF( COUNTIF('Raw Data'!$A$3:$A$2927,$A66)=0,0,SUMIF('Raw Data'!$A$3:$A$2927, $A66,'Raw Data'!W$3:W$2927) / COUNTIF('Raw Data'!$A$3:$A$2927,$A66))</f>
        <v>0</v>
      </c>
      <c r="AA66">
        <f>IF( COUNTIF('Raw Data'!$A$3:$A$2927,$A66)=0,0,SUMIF('Raw Data'!$A$3:$A$2927, $A66,'Raw Data'!X$3:X$2927) / COUNTIF('Raw Data'!$A$3:$A$2927,$A66))</f>
        <v>0</v>
      </c>
      <c r="AB66">
        <f>IF( COUNTIF('Raw Data'!$A$3:$A$2927,$A66)=0,0,SUMIF('Raw Data'!$A$3:$A$2927, $A66,'Raw Data'!AA$3:AA$2927) / COUNTIF('Raw Data'!$A$3:$A$2927,$A66))</f>
        <v>9</v>
      </c>
      <c r="AC66">
        <f>IF( COUNTIF('Raw Data'!$A$3:$A$2927,$A66)=0,0,SUMIF('Raw Data'!$A$3:$A$2927, $A66,'Raw Data'!AB$3:AB$2927) / COUNTIF('Raw Data'!$A$3:$A$2927,$A66))</f>
        <v>0</v>
      </c>
      <c r="AD66">
        <f>IF( COUNTIF('Raw Data'!$A$3:$A$2927,$A66)=0,0,SUMIF('Raw Data'!$A$3:$A$2927, $A66,'Raw Data'!AC$3:AC$2927) / COUNTIF('Raw Data'!$A$3:$A$2927,$A66))</f>
        <v>0.8</v>
      </c>
      <c r="AE66" s="117">
        <f>IF( COUNTIF('Raw Data'!$A$3:$A$2927,$A66)=0,0,SUMIF('Raw Data'!$A$3:$A$2927, $A66,'Raw Data'!AD$3:AD$2927) / COUNTIF('Raw Data'!$A$3:$A$2927,$A66))</f>
        <v>0</v>
      </c>
      <c r="AF66">
        <f>IF( COUNTIF('Raw Data'!$A$3:$A$2927,$A66)=0,0,SUMIF('Raw Data'!$A$3:$A$2927, $A66,'Raw Data'!AE$3:AE$2927) / COUNTIF('Raw Data'!$A$3:$A$2927,$A66))</f>
        <v>0</v>
      </c>
      <c r="AG66">
        <f>IF( COUNTIF('Raw Data'!$A$3:$A$2927,$A66)=0,0,SUMIF('Raw Data'!$A$3:$A$2927, $A66,'Raw Data'!AF$3:AF$2927) / COUNTIF('Raw Data'!$A$3:$A$2927,$A66))</f>
        <v>0</v>
      </c>
      <c r="AH66">
        <f>IF( COUNTIF('Raw Data'!$A$3:$A$2927,$A66)=0,0,SUMIF('Raw Data'!$A$3:$A$2927, $A66,'Raw Data'!AG$3:AG$2927) / COUNTIF('Raw Data'!$A$3:$A$2927,$A66))</f>
        <v>0.9</v>
      </c>
      <c r="AI66">
        <f>IF( COUNTIF('Raw Data'!$A$3:$A$2927,$A66)=0,0,SUMIF('Raw Data'!$A$3:$A$2927, $A66,'Raw Data'!AH$3:AH$2927) / COUNTIF('Raw Data'!$A$3:$A$2927,$A66))</f>
        <v>0.1</v>
      </c>
      <c r="AJ66" s="116">
        <f>COUNTIF('Raw Data'!A$3:A$2927, $A66)</f>
        <v>10</v>
      </c>
      <c r="AK66">
        <f t="shared" si="7"/>
        <v>2.0379999999999998</v>
      </c>
      <c r="AL66">
        <f t="shared" si="8"/>
        <v>-0.3</v>
      </c>
      <c r="AM66">
        <f t="shared" si="9"/>
        <v>1.5030000000000001</v>
      </c>
    </row>
    <row r="67" spans="1:39" ht="15.75" thickBot="1">
      <c r="AE67" s="117"/>
      <c r="AJ67" s="116"/>
    </row>
    <row r="68" spans="1:39" ht="15.75" thickBot="1">
      <c r="AE68" s="117"/>
      <c r="AJ68" s="116"/>
    </row>
    <row r="69" spans="1:39" ht="15.75" thickBot="1">
      <c r="AE69" s="117"/>
      <c r="AJ69" s="116"/>
    </row>
    <row r="70" spans="1:39" ht="15.75" thickBot="1">
      <c r="AE70" s="117"/>
      <c r="AJ70" s="116"/>
    </row>
    <row r="71" spans="1:39" ht="15.75" thickBot="1">
      <c r="AE71" s="117"/>
      <c r="AJ71" s="116"/>
    </row>
    <row r="72" spans="1:39" ht="15.75" thickBot="1">
      <c r="AE72" s="117"/>
      <c r="AJ72" s="116"/>
    </row>
    <row r="73" spans="1:39" ht="15.75" thickBot="1">
      <c r="AE73" s="117"/>
      <c r="AJ73" s="116"/>
    </row>
    <row r="74" spans="1:39" ht="15.75" thickBot="1">
      <c r="AE74" s="117"/>
      <c r="AJ74" s="116"/>
    </row>
    <row r="75" spans="1:39" ht="15.75" thickBot="1">
      <c r="AE75" s="117"/>
      <c r="AJ75" s="116"/>
    </row>
    <row r="76" spans="1:39" ht="15.75" thickBot="1">
      <c r="AE76" s="117"/>
      <c r="AJ76" s="116"/>
    </row>
    <row r="77" spans="1:39" ht="15.75" thickBot="1">
      <c r="AE77" s="117"/>
      <c r="AJ77" s="116"/>
    </row>
    <row r="78" spans="1:39" ht="15.75" thickBot="1">
      <c r="AE78" s="117"/>
      <c r="AJ78" s="116"/>
    </row>
    <row r="79" spans="1:39" ht="15.75" thickBot="1">
      <c r="AE79" s="117"/>
      <c r="AJ79" s="116"/>
    </row>
    <row r="80" spans="1:39" ht="15.75" thickBot="1">
      <c r="AE80" s="117"/>
      <c r="AJ80" s="116"/>
    </row>
    <row r="81" spans="31:36" ht="15.75" thickBot="1">
      <c r="AE81" s="117"/>
      <c r="AJ81" s="116"/>
    </row>
    <row r="82" spans="31:36" ht="15.75" thickBot="1">
      <c r="AE82" s="117"/>
      <c r="AJ82" s="116"/>
    </row>
    <row r="83" spans="31:36" ht="15.75" thickBot="1">
      <c r="AE83" s="117"/>
      <c r="AJ83" s="116"/>
    </row>
    <row r="84" spans="31:36" ht="15.75" thickBot="1">
      <c r="AE84" s="117"/>
      <c r="AJ84" s="116"/>
    </row>
    <row r="85" spans="31:36" ht="15.75" thickBot="1">
      <c r="AE85" s="117"/>
      <c r="AJ85" s="116"/>
    </row>
    <row r="86" spans="31:36" ht="15.75" thickBot="1">
      <c r="AE86" s="117"/>
      <c r="AJ86" s="116"/>
    </row>
    <row r="87" spans="31:36" ht="15.75" thickBot="1">
      <c r="AE87" s="117"/>
      <c r="AJ87" s="116"/>
    </row>
    <row r="88" spans="31:36" ht="15.75" thickBot="1">
      <c r="AE88" s="117"/>
      <c r="AJ88" s="116"/>
    </row>
    <row r="89" spans="31:36" ht="15.75" thickBot="1">
      <c r="AE89" s="117"/>
      <c r="AJ89" s="116"/>
    </row>
    <row r="90" spans="31:36" ht="15.75" thickBot="1">
      <c r="AE90" s="117"/>
      <c r="AJ90" s="116"/>
    </row>
    <row r="91" spans="31:36" ht="15.75" thickBot="1">
      <c r="AE91" s="117"/>
      <c r="AJ91" s="116"/>
    </row>
    <row r="92" spans="31:36" ht="15.75" thickBot="1">
      <c r="AE92" s="117"/>
      <c r="AJ92" s="116"/>
    </row>
    <row r="93" spans="31:36" ht="15.75" thickBot="1">
      <c r="AE93" s="117"/>
      <c r="AJ93" s="116"/>
    </row>
    <row r="94" spans="31:36" ht="15.75" thickBot="1">
      <c r="AE94" s="117"/>
      <c r="AJ94" s="116"/>
    </row>
    <row r="95" spans="31:36" ht="15.75" thickBot="1">
      <c r="AE95" s="117"/>
      <c r="AJ95" s="116"/>
    </row>
    <row r="96" spans="31:36" ht="15.75" thickBot="1">
      <c r="AE96" s="117"/>
      <c r="AJ96" s="116"/>
    </row>
    <row r="97" spans="31:36" ht="15.75" thickBot="1">
      <c r="AE97" s="117"/>
      <c r="AJ97" s="116"/>
    </row>
    <row r="98" spans="31:36" ht="15.75" thickBot="1">
      <c r="AE98" s="117"/>
      <c r="AJ98" s="116"/>
    </row>
    <row r="99" spans="31:36" ht="15.75" thickBot="1">
      <c r="AE99" s="117"/>
      <c r="AJ99" s="116"/>
    </row>
    <row r="100" spans="31:36">
      <c r="AE100" s="117"/>
      <c r="AJ100" s="116"/>
    </row>
  </sheetData>
  <mergeCells count="4">
    <mergeCell ref="A1:B1"/>
    <mergeCell ref="G1:P1"/>
    <mergeCell ref="Q1:AD1"/>
    <mergeCell ref="AE1:AI1"/>
  </mergeCells>
  <conditionalFormatting sqref="A3:AM3">
    <cfRule type="expression" dxfId="59" priority="9">
      <formula>IF($AJ3=0,TRUE,FALSE)</formula>
    </cfRule>
  </conditionalFormatting>
  <conditionalFormatting sqref="F1:F3 F101:F1048576">
    <cfRule type="cellIs" dxfId="58" priority="4" operator="greaterThan">
      <formula>$AQ$20</formula>
    </cfRule>
    <cfRule type="cellIs" dxfId="57" priority="5" operator="greaterThan">
      <formula>$AQ$20</formula>
    </cfRule>
  </conditionalFormatting>
  <conditionalFormatting sqref="A4:AM100">
    <cfRule type="expression" dxfId="56" priority="3">
      <formula>IF($AJ4=0,TRUE,FALSE)</formula>
    </cfRule>
  </conditionalFormatting>
  <conditionalFormatting sqref="F4:F100">
    <cfRule type="cellIs" dxfId="55" priority="1" operator="greaterThan">
      <formula>$AQ$20</formula>
    </cfRule>
    <cfRule type="cellIs" dxfId="54" priority="2" operator="greaterThan">
      <formula>$AQ$20</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9D6AE-D1F1-4111-903E-864D3FFF0742}">
  <sheetPr codeName="Sheet13"/>
  <dimension ref="A1:Z41"/>
  <sheetViews>
    <sheetView zoomScale="58" workbookViewId="0">
      <selection activeCell="M50" sqref="M50"/>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13" max="13" width="8.85546875" customWidth="1"/>
    <col min="16" max="16" width="8.85546875" customWidth="1"/>
  </cols>
  <sheetData>
    <row r="1" spans="1:26">
      <c r="A1" t="s">
        <v>306</v>
      </c>
      <c r="C1" t="s">
        <v>307</v>
      </c>
      <c r="D1" t="str">
        <f>'Scouting Output'!AL2</f>
        <v>Hatch Desirability</v>
      </c>
      <c r="E1" t="str">
        <f>'Scouting Output'!AM2</f>
        <v>Cargo Desirability</v>
      </c>
      <c r="F1" t="s">
        <v>312</v>
      </c>
      <c r="G1" t="s">
        <v>325</v>
      </c>
      <c r="K1" t="s">
        <v>116</v>
      </c>
      <c r="L1" t="s">
        <v>306</v>
      </c>
      <c r="N1" t="s">
        <v>307</v>
      </c>
      <c r="O1" t="s">
        <v>238</v>
      </c>
      <c r="P1" t="s">
        <v>322</v>
      </c>
      <c r="Q1" t="s">
        <v>353</v>
      </c>
      <c r="R1" t="s">
        <v>325</v>
      </c>
      <c r="S1" t="s">
        <v>117</v>
      </c>
      <c r="T1" t="s">
        <v>306</v>
      </c>
      <c r="V1" t="s">
        <v>307</v>
      </c>
      <c r="W1" t="s">
        <v>238</v>
      </c>
      <c r="X1" t="s">
        <v>322</v>
      </c>
      <c r="Y1" t="s">
        <v>353</v>
      </c>
      <c r="Z1" t="s">
        <v>325</v>
      </c>
    </row>
    <row r="2" spans="1:26">
      <c r="A2">
        <f>'Scouting Output'!A13</f>
        <v>2708</v>
      </c>
      <c r="B2" t="str">
        <f>'Scouting Output'!B13</f>
        <v>Lake Effect Robotics</v>
      </c>
      <c r="C2">
        <f>VLOOKUP($A2,'Scouting Output'!$A$3:$AM$42,37,FALSE)</f>
        <v>-22.4</v>
      </c>
      <c r="D2">
        <f>VLOOKUP($A2,'Scouting Output'!$A$3:$AM$42,38,FALSE)</f>
        <v>-3.8125</v>
      </c>
      <c r="E2">
        <f>VLOOKUP($A2,'Scouting Output'!$A$3:$AM$42,39,FALSE)</f>
        <v>-0.78</v>
      </c>
      <c r="F2">
        <f>VLOOKUP($A2, 'Scouting Output'!$A$3:$AM54, 30, FALSE)</f>
        <v>0.75</v>
      </c>
      <c r="G2">
        <f>VLOOKUP($A2, 'Scouting Output'!$A$3:$AM$42, 3, FALSE)</f>
        <v>4.625</v>
      </c>
      <c r="H2" t="s">
        <v>294</v>
      </c>
      <c r="I2">
        <v>4907</v>
      </c>
      <c r="L2">
        <f>'Scouting Output'!$A3</f>
        <v>188</v>
      </c>
      <c r="M2" t="str">
        <f>'Scouting Output'!$B3</f>
        <v>Blizzard</v>
      </c>
      <c r="N2">
        <f>VLOOKUP(L2,'Scouting Output'!$A$3:$AM$42,37,FALSE)</f>
        <v>4.1111111111111116</v>
      </c>
      <c r="O2">
        <f>VLOOKUP(L2,'Scouting Output'!$A$3:$AM$42,38,FALSE)</f>
        <v>-0.38888888888888884</v>
      </c>
      <c r="P2">
        <f>VLOOKUP(L2,'Scouting Output'!$A$3:$AM$42,39,FALSE)</f>
        <v>3.5555555555555554</v>
      </c>
      <c r="Q2">
        <f>VLOOKUP(L2,'Scouting Output'!$A$3:$AM$42,30,FALSE)</f>
        <v>0.66666666666666663</v>
      </c>
      <c r="R2">
        <f>VLOOKUP(L2, 'Scouting Output'!$A$3:$AM$42, 3, FALSE)</f>
        <v>18.777777777777779</v>
      </c>
      <c r="T2">
        <f>'Scouting Output'!$A3</f>
        <v>188</v>
      </c>
      <c r="U2" t="str">
        <f>'Scouting Output'!$B3</f>
        <v>Blizzard</v>
      </c>
      <c r="V2">
        <f>VLOOKUP(T2,'Scouting Output'!$A$3:$AM$42,37,FALSE)</f>
        <v>4.1111111111111116</v>
      </c>
      <c r="W2">
        <f>VLOOKUP(T2,'Scouting Output'!$A$3:$AM$42,38,FALSE)</f>
        <v>-0.38888888888888884</v>
      </c>
      <c r="X2">
        <f>VLOOKUP(T2,'Scouting Output'!$A$3:$AM$42,39,FALSE)</f>
        <v>3.5555555555555554</v>
      </c>
      <c r="Y2">
        <f>VLOOKUP(T2,'Scouting Output'!$A$3:$AM$42,30,FALSE)</f>
        <v>0.66666666666666663</v>
      </c>
      <c r="Z2">
        <f>VLOOKUP(T2, 'Scouting Output'!$A$3:$AM$42, 3, FALSE)</f>
        <v>18.777777777777779</v>
      </c>
    </row>
    <row r="3" spans="1:26">
      <c r="A3">
        <f>'Scouting Output'!A12</f>
        <v>2706</v>
      </c>
      <c r="B3" t="str">
        <f>'Scouting Output'!B12</f>
        <v>Merge Robotics</v>
      </c>
      <c r="C3">
        <f>VLOOKUP($A3,'Scouting Output'!$A$3:$AM$42,37,FALSE)</f>
        <v>-21</v>
      </c>
      <c r="D3">
        <f>VLOOKUP($A3,'Scouting Output'!$A$3:$AM$42,38,FALSE)</f>
        <v>-1.5</v>
      </c>
      <c r="E3">
        <f>VLOOKUP($A3,'Scouting Output'!$A$3:$AM$42,39,FALSE)</f>
        <v>-1</v>
      </c>
      <c r="F3">
        <f>VLOOKUP($A3, 'Scouting Output'!$A$3:$AM47, 30, FALSE)</f>
        <v>0</v>
      </c>
      <c r="G3">
        <f>VLOOKUP($A3, 'Scouting Output'!$A$3:$AM$42, 3, FALSE)</f>
        <v>0</v>
      </c>
      <c r="L3">
        <f>'Scouting Output'!A21</f>
        <v>4476</v>
      </c>
      <c r="M3" t="str">
        <f>'Scouting Output'!$B4</f>
        <v>Crescent Coyotes</v>
      </c>
      <c r="N3">
        <f>VLOOKUP(L3,'Scouting Output'!$A$3:$AM$42,37,FALSE)</f>
        <v>3.7345454545454548</v>
      </c>
      <c r="O3">
        <f>VLOOKUP(L3,'Scouting Output'!$A$3:$AM$42,38,FALSE)</f>
        <v>0.5454545454545453</v>
      </c>
      <c r="P3">
        <f>VLOOKUP(L3,'Scouting Output'!$A$3:$AM$42,39,FALSE)</f>
        <v>2.8927272727272726</v>
      </c>
      <c r="Q3">
        <f>VLOOKUP(L3,'Scouting Output'!$A$3:$AM$42,30,FALSE)</f>
        <v>0.54545454545454541</v>
      </c>
      <c r="R3">
        <f>VLOOKUP(L3, 'Scouting Output'!$A$3:$AM$42, 3, FALSE)</f>
        <v>18.36363636363636</v>
      </c>
      <c r="T3">
        <f>'Scouting Output'!$A4</f>
        <v>610</v>
      </c>
      <c r="U3" t="str">
        <f>'Scouting Output'!$B4</f>
        <v>Crescent Coyotes</v>
      </c>
      <c r="V3">
        <f>VLOOKUP(T3,'Scouting Output'!$A$3:$AM$42,37,FALSE)</f>
        <v>6.522222222222223</v>
      </c>
      <c r="W3">
        <f>VLOOKUP(T3,'Scouting Output'!$A$3:$AM$42,38,FALSE)</f>
        <v>2.4444444444444446</v>
      </c>
      <c r="X3">
        <f>VLOOKUP(T3,'Scouting Output'!$A$3:$AM$42,39,FALSE)</f>
        <v>2.3633333333333333</v>
      </c>
      <c r="Y3">
        <f>VLOOKUP(T3,'Scouting Output'!$A$3:$AM$42,30,FALSE)</f>
        <v>2</v>
      </c>
      <c r="Z3">
        <f>VLOOKUP(T3, 'Scouting Output'!$A$3:$AM$42, 3, FALSE)</f>
        <v>21.555555555555554</v>
      </c>
    </row>
    <row r="4" spans="1:26">
      <c r="A4">
        <f>'Scouting Output'!A20</f>
        <v>4308</v>
      </c>
      <c r="B4" t="str">
        <f>'Scouting Output'!B20</f>
        <v>ABSOLUTE ROBOTICS</v>
      </c>
      <c r="C4">
        <f>VLOOKUP($A4,'Scouting Output'!$A$3:$AM$42,37,FALSE)</f>
        <v>-21</v>
      </c>
      <c r="D4">
        <f>VLOOKUP($A4,'Scouting Output'!$A$3:$AM$42,38,FALSE)</f>
        <v>-1.5</v>
      </c>
      <c r="E4">
        <f>VLOOKUP($A4,'Scouting Output'!$A$3:$AM$42,39,FALSE)</f>
        <v>-1</v>
      </c>
      <c r="F4">
        <f>VLOOKUP($A4, 'Scouting Output'!$A$3:$AM50, 30, FALSE)</f>
        <v>0</v>
      </c>
      <c r="G4">
        <f>VLOOKUP($A4, 'Scouting Output'!$A$3:$AM$42, 3, FALSE)</f>
        <v>0</v>
      </c>
      <c r="L4">
        <f>'Scouting Output'!A22</f>
        <v>4519</v>
      </c>
      <c r="M4" t="str">
        <f>'Scouting Output'!$B5</f>
        <v>Gearheads</v>
      </c>
      <c r="N4">
        <f>VLOOKUP(L4,'Scouting Output'!$A$3:$AM$42,37,FALSE)</f>
        <v>1.5466666666666669</v>
      </c>
      <c r="O4">
        <f>VLOOKUP(L4,'Scouting Output'!$A$3:$AM$42,38,FALSE)</f>
        <v>-0.44444444444444442</v>
      </c>
      <c r="P4">
        <f>VLOOKUP(L4,'Scouting Output'!$A$3:$AM$42,39,FALSE)</f>
        <v>0.77444444444444449</v>
      </c>
      <c r="Q4">
        <f>VLOOKUP(L4,'Scouting Output'!$A$3:$AM$42,30,FALSE)</f>
        <v>1.2222222222222223</v>
      </c>
      <c r="R4">
        <f>VLOOKUP(L4, 'Scouting Output'!$A$3:$AM$42, 3, FALSE)</f>
        <v>12.444444444444446</v>
      </c>
      <c r="T4">
        <f>'Scouting Output'!$A5</f>
        <v>746</v>
      </c>
      <c r="U4" t="str">
        <f>'Scouting Output'!$B5</f>
        <v>Gearheads</v>
      </c>
      <c r="V4">
        <f>VLOOKUP(T4,'Scouting Output'!$A$3:$AM$42,37,FALSE)</f>
        <v>-21</v>
      </c>
      <c r="W4">
        <f>VLOOKUP(T4,'Scouting Output'!$A$3:$AM$42,38,FALSE)</f>
        <v>-1.5</v>
      </c>
      <c r="X4">
        <f>VLOOKUP(T4,'Scouting Output'!$A$3:$AM$42,39,FALSE)</f>
        <v>-1</v>
      </c>
      <c r="Y4">
        <f>VLOOKUP(T4,'Scouting Output'!$A$3:$AM$42,30,FALSE)</f>
        <v>0</v>
      </c>
      <c r="Z4">
        <f>VLOOKUP(T4, 'Scouting Output'!$A$3:$AM$42, 3, FALSE)</f>
        <v>0</v>
      </c>
    </row>
    <row r="5" spans="1:26">
      <c r="A5">
        <f>'Scouting Output'!A5</f>
        <v>746</v>
      </c>
      <c r="B5" t="str">
        <f>'Scouting Output'!B5</f>
        <v>Gearheads</v>
      </c>
      <c r="C5">
        <f>VLOOKUP($A5,'Scouting Output'!$A$3:$AM$42,37,FALSE)</f>
        <v>-21</v>
      </c>
      <c r="D5">
        <f>VLOOKUP($A5,'Scouting Output'!$A$3:$AM$42,38,FALSE)</f>
        <v>-1.5</v>
      </c>
      <c r="E5">
        <f>VLOOKUP($A5,'Scouting Output'!$A$3:$AM$42,39,FALSE)</f>
        <v>-1</v>
      </c>
      <c r="F5">
        <f>VLOOKUP($A5, 'Scouting Output'!$A$3:$AM42, 30, FALSE)</f>
        <v>0</v>
      </c>
      <c r="G5">
        <f>VLOOKUP($A5, 'Scouting Output'!$A$3:$AM$42, 3, FALSE)</f>
        <v>0</v>
      </c>
      <c r="L5">
        <f>'Scouting Output'!A6</f>
        <v>919</v>
      </c>
      <c r="M5" t="str">
        <f>'Scouting Output'!$B6</f>
        <v>Tiger Techs</v>
      </c>
      <c r="N5">
        <f>VLOOKUP(L5,'Scouting Output'!$A$3:$AM$42,37,FALSE)</f>
        <v>-21</v>
      </c>
      <c r="O5">
        <f>VLOOKUP(L5,'Scouting Output'!$A$3:$AM$42,38,FALSE)</f>
        <v>-1.5</v>
      </c>
      <c r="P5">
        <f>VLOOKUP(L5,'Scouting Output'!$A$3:$AM$42,39,FALSE)</f>
        <v>-1</v>
      </c>
      <c r="Q5">
        <f>VLOOKUP(L5,'Scouting Output'!$A$3:$AM$42,30,FALSE)</f>
        <v>0</v>
      </c>
      <c r="R5">
        <f>VLOOKUP(L5, 'Scouting Output'!$A$3:$AM$42, 3, FALSE)</f>
        <v>0</v>
      </c>
      <c r="T5">
        <f>'Scouting Output'!$A6</f>
        <v>919</v>
      </c>
      <c r="U5" t="str">
        <f>'Scouting Output'!$B6</f>
        <v>Tiger Techs</v>
      </c>
      <c r="V5">
        <f>VLOOKUP(T5,'Scouting Output'!$A$3:$AM$42,37,FALSE)</f>
        <v>-21</v>
      </c>
      <c r="W5">
        <f>VLOOKUP(T5,'Scouting Output'!$A$3:$AM$42,38,FALSE)</f>
        <v>-1.5</v>
      </c>
      <c r="X5">
        <f>VLOOKUP(T5,'Scouting Output'!$A$3:$AM$42,39,FALSE)</f>
        <v>-1</v>
      </c>
      <c r="Y5">
        <f>VLOOKUP(T5,'Scouting Output'!$A$3:$AM$42,30,FALSE)</f>
        <v>0</v>
      </c>
      <c r="Z5">
        <f>VLOOKUP(T5, 'Scouting Output'!$A$3:$AM$42, 3, FALSE)</f>
        <v>0</v>
      </c>
    </row>
    <row r="6" spans="1:26">
      <c r="A6">
        <f>'Scouting Output'!A28</f>
        <v>4939</v>
      </c>
      <c r="B6" t="str">
        <f>'Scouting Output'!B28</f>
        <v>Allspark9</v>
      </c>
      <c r="C6">
        <f>VLOOKUP($A6,'Scouting Output'!$A$3:$AM$42,37,FALSE)</f>
        <v>-21</v>
      </c>
      <c r="D6">
        <f>VLOOKUP($A6,'Scouting Output'!$A$3:$AM$42,38,FALSE)</f>
        <v>-1.5</v>
      </c>
      <c r="E6">
        <f>VLOOKUP($A6,'Scouting Output'!$A$3:$AM$42,39,FALSE)</f>
        <v>-1</v>
      </c>
      <c r="F6">
        <f>VLOOKUP($A6, 'Scouting Output'!$A$3:$AM51, 30, FALSE)</f>
        <v>0</v>
      </c>
      <c r="G6">
        <f>VLOOKUP($A6, 'Scouting Output'!$A$3:$AM$42, 3, FALSE)</f>
        <v>0</v>
      </c>
      <c r="I6" t="s">
        <v>323</v>
      </c>
      <c r="L6">
        <f>'Scouting Output'!A36</f>
        <v>5406</v>
      </c>
      <c r="M6" t="str">
        <f>'Scouting Output'!$B7</f>
        <v>Agincourt Skunkworks</v>
      </c>
      <c r="N6">
        <f>VLOOKUP(L6,'Scouting Output'!$A$3:$AM$42,37,FALSE)</f>
        <v>-21</v>
      </c>
      <c r="O6">
        <f>VLOOKUP(L6,'Scouting Output'!$A$3:$AM$42,38,FALSE)</f>
        <v>-1.5</v>
      </c>
      <c r="P6">
        <f>VLOOKUP(L6,'Scouting Output'!$A$3:$AM$42,39,FALSE)</f>
        <v>-1</v>
      </c>
      <c r="Q6">
        <f>VLOOKUP(L6,'Scouting Output'!$A$3:$AM$42,30,FALSE)</f>
        <v>0</v>
      </c>
      <c r="R6">
        <f>VLOOKUP(L6, 'Scouting Output'!$A$3:$AM$42, 3, FALSE)</f>
        <v>0</v>
      </c>
      <c r="T6">
        <f>'Scouting Output'!$A7</f>
        <v>1246</v>
      </c>
      <c r="U6" t="str">
        <f>'Scouting Output'!$B7</f>
        <v>Agincourt Skunkworks</v>
      </c>
      <c r="V6">
        <f>VLOOKUP(T6,'Scouting Output'!$A$3:$AM$42,37,FALSE)</f>
        <v>-21</v>
      </c>
      <c r="W6">
        <f>VLOOKUP(T6,'Scouting Output'!$A$3:$AM$42,38,FALSE)</f>
        <v>-1.5</v>
      </c>
      <c r="X6">
        <f>VLOOKUP(T6,'Scouting Output'!$A$3:$AM$42,39,FALSE)</f>
        <v>-1</v>
      </c>
      <c r="Y6">
        <f>VLOOKUP(T6,'Scouting Output'!$A$3:$AM$42,30,FALSE)</f>
        <v>0</v>
      </c>
      <c r="Z6">
        <f>VLOOKUP(T6, 'Scouting Output'!$A$3:$AM$42, 3, FALSE)</f>
        <v>0</v>
      </c>
    </row>
    <row r="7" spans="1:26">
      <c r="A7">
        <f>'Scouting Output'!A19</f>
        <v>4252</v>
      </c>
      <c r="B7" t="str">
        <f>'Scouting Output'!B19</f>
        <v>Cardinal Robotics</v>
      </c>
      <c r="C7">
        <f>VLOOKUP($A7,'Scouting Output'!$A$3:$AM$42,37,FALSE)</f>
        <v>-21</v>
      </c>
      <c r="D7">
        <f>VLOOKUP($A7,'Scouting Output'!$A$3:$AM$42,38,FALSE)</f>
        <v>-1.5</v>
      </c>
      <c r="E7">
        <f>VLOOKUP($A7,'Scouting Output'!$A$3:$AM$42,39,FALSE)</f>
        <v>-1</v>
      </c>
      <c r="F7">
        <f>VLOOKUP($A7, 'Scouting Output'!$A$3:$AM57, 30, FALSE)</f>
        <v>0</v>
      </c>
      <c r="G7">
        <f>VLOOKUP($A7, 'Scouting Output'!$A$3:$AM$42, 3, FALSE)</f>
        <v>0</v>
      </c>
      <c r="I7">
        <v>2386</v>
      </c>
      <c r="L7">
        <f>'Scouting Output'!A13</f>
        <v>2708</v>
      </c>
      <c r="M7" t="str">
        <f>'Scouting Output'!$B8</f>
        <v>The Big Bang</v>
      </c>
      <c r="N7">
        <f>VLOOKUP(L7,'Scouting Output'!$A$3:$AM$42,37,FALSE)</f>
        <v>-22.4</v>
      </c>
      <c r="O7">
        <f>VLOOKUP(L7,'Scouting Output'!$A$3:$AM$42,38,FALSE)</f>
        <v>-3.8125</v>
      </c>
      <c r="P7">
        <f>VLOOKUP(L7,'Scouting Output'!$A$3:$AM$42,39,FALSE)</f>
        <v>-0.78</v>
      </c>
      <c r="Q7">
        <f>VLOOKUP(L7,'Scouting Output'!$A$3:$AM$42,30,FALSE)</f>
        <v>0.75</v>
      </c>
      <c r="R7">
        <f>VLOOKUP(L7, 'Scouting Output'!$A$3:$AM$42, 3, FALSE)</f>
        <v>4.625</v>
      </c>
      <c r="T7">
        <f>'Scouting Output'!$A8</f>
        <v>1285</v>
      </c>
      <c r="U7" t="str">
        <f>'Scouting Output'!$B8</f>
        <v>The Big Bang</v>
      </c>
      <c r="V7">
        <f>VLOOKUP(T7,'Scouting Output'!$A$3:$AM$42,37,FALSE)</f>
        <v>-21</v>
      </c>
      <c r="W7">
        <f>VLOOKUP(T7,'Scouting Output'!$A$3:$AM$42,38,FALSE)</f>
        <v>-1.5</v>
      </c>
      <c r="X7">
        <f>VLOOKUP(T7,'Scouting Output'!$A$3:$AM$42,39,FALSE)</f>
        <v>-1</v>
      </c>
      <c r="Y7">
        <f>VLOOKUP(T7,'Scouting Output'!$A$3:$AM$42,30,FALSE)</f>
        <v>0</v>
      </c>
      <c r="Z7">
        <f>VLOOKUP(T7, 'Scouting Output'!$A$3:$AM$42, 3, FALSE)</f>
        <v>0</v>
      </c>
    </row>
    <row r="8" spans="1:26">
      <c r="A8">
        <f>'Scouting Output'!A6</f>
        <v>919</v>
      </c>
      <c r="B8" t="str">
        <f>'Scouting Output'!B6</f>
        <v>Tiger Techs</v>
      </c>
      <c r="C8">
        <f>VLOOKUP($A8,'Scouting Output'!$A$3:$AM$42,37,FALSE)</f>
        <v>-21</v>
      </c>
      <c r="D8">
        <f>VLOOKUP($A8,'Scouting Output'!$A$3:$AM$42,38,FALSE)</f>
        <v>-1.5</v>
      </c>
      <c r="E8">
        <f>VLOOKUP($A8,'Scouting Output'!$A$3:$AM$42,39,FALSE)</f>
        <v>-1</v>
      </c>
      <c r="F8">
        <f>VLOOKUP($A8, 'Scouting Output'!$A$3:$AM43, 30, FALSE)</f>
        <v>0</v>
      </c>
      <c r="G8">
        <f>VLOOKUP($A8, 'Scouting Output'!$A$3:$AM$42, 3, FALSE)</f>
        <v>0</v>
      </c>
      <c r="I8">
        <v>4946</v>
      </c>
      <c r="L8">
        <f>'Scouting Output'!A5</f>
        <v>746</v>
      </c>
      <c r="M8" t="str">
        <f>'Scouting Output'!$B9</f>
        <v>Red Devils</v>
      </c>
      <c r="N8">
        <f>VLOOKUP(L8,'Scouting Output'!$A$3:$AM$42,37,FALSE)</f>
        <v>-21</v>
      </c>
      <c r="O8">
        <f>VLOOKUP(L8,'Scouting Output'!$A$3:$AM$42,38,FALSE)</f>
        <v>-1.5</v>
      </c>
      <c r="P8">
        <f>VLOOKUP(L8,'Scouting Output'!$A$3:$AM$42,39,FALSE)</f>
        <v>-1</v>
      </c>
      <c r="Q8">
        <f>VLOOKUP(L8,'Scouting Output'!$A$3:$AM$42,30,FALSE)</f>
        <v>0</v>
      </c>
      <c r="R8">
        <f>VLOOKUP(L8, 'Scouting Output'!$A$3:$AM$42, 3, FALSE)</f>
        <v>0</v>
      </c>
      <c r="T8">
        <f>'Scouting Output'!$A9</f>
        <v>1334</v>
      </c>
      <c r="U8" t="str">
        <f>'Scouting Output'!$B9</f>
        <v>Red Devils</v>
      </c>
      <c r="V8">
        <f>VLOOKUP(T8,'Scouting Output'!$A$3:$AM$42,37,FALSE)</f>
        <v>-21</v>
      </c>
      <c r="W8">
        <f>VLOOKUP(T8,'Scouting Output'!$A$3:$AM$42,38,FALSE)</f>
        <v>-1.5</v>
      </c>
      <c r="X8">
        <f>VLOOKUP(T8,'Scouting Output'!$A$3:$AM$42,39,FALSE)</f>
        <v>-1</v>
      </c>
      <c r="Y8">
        <f>VLOOKUP(T8,'Scouting Output'!$A$3:$AM$42,30,FALSE)</f>
        <v>0</v>
      </c>
      <c r="Z8">
        <f>VLOOKUP(T8, 'Scouting Output'!$A$3:$AM$42, 3, FALSE)</f>
        <v>0</v>
      </c>
    </row>
    <row r="9" spans="1:26">
      <c r="A9">
        <f>'Scouting Output'!A35</f>
        <v>5076</v>
      </c>
      <c r="B9" t="str">
        <f>'Scouting Output'!B35</f>
        <v>Richardson Stormbots</v>
      </c>
      <c r="C9">
        <f>VLOOKUP($A9,'Scouting Output'!$A$3:$AM$42,37,FALSE)</f>
        <v>-21</v>
      </c>
      <c r="D9">
        <f>VLOOKUP($A9,'Scouting Output'!$A$3:$AM$42,38,FALSE)</f>
        <v>-1.5</v>
      </c>
      <c r="E9">
        <f>VLOOKUP($A9,'Scouting Output'!$A$3:$AM$42,39,FALSE)</f>
        <v>-1</v>
      </c>
      <c r="F9">
        <f>VLOOKUP($A9, 'Scouting Output'!$A$3:$AM72, 30, FALSE)</f>
        <v>0</v>
      </c>
      <c r="G9">
        <f>VLOOKUP($A9, 'Scouting Output'!$A$3:$AM$42, 3, FALSE)</f>
        <v>0</v>
      </c>
      <c r="I9" s="125">
        <v>2994</v>
      </c>
      <c r="J9" t="s">
        <v>324</v>
      </c>
      <c r="L9">
        <f>'Scouting Output'!A4</f>
        <v>610</v>
      </c>
      <c r="M9" t="str">
        <f>'Scouting Output'!$B10</f>
        <v>MMRambotics</v>
      </c>
      <c r="N9">
        <f>VLOOKUP(L9,'Scouting Output'!$A$3:$AM$42,37,FALSE)</f>
        <v>6.522222222222223</v>
      </c>
      <c r="O9">
        <f>VLOOKUP(L9,'Scouting Output'!$A$3:$AM$42,38,FALSE)</f>
        <v>2.4444444444444446</v>
      </c>
      <c r="P9">
        <f>VLOOKUP(L9,'Scouting Output'!$A$3:$AM$42,39,FALSE)</f>
        <v>2.3633333333333333</v>
      </c>
      <c r="Q9">
        <f>VLOOKUP(L9,'Scouting Output'!$A$3:$AM$42,30,FALSE)</f>
        <v>2</v>
      </c>
      <c r="R9">
        <f>VLOOKUP(L9, 'Scouting Output'!$A$3:$AM$42, 3, FALSE)</f>
        <v>21.555555555555554</v>
      </c>
      <c r="T9">
        <f>'Scouting Output'!$A10</f>
        <v>2200</v>
      </c>
      <c r="U9" t="str">
        <f>'Scouting Output'!$B10</f>
        <v>MMRambotics</v>
      </c>
      <c r="V9">
        <f>VLOOKUP(T9,'Scouting Output'!$A$3:$AM$42,37,FALSE)</f>
        <v>10.9975</v>
      </c>
      <c r="W9">
        <f>VLOOKUP(T9,'Scouting Output'!$A$3:$AM$42,38,FALSE)</f>
        <v>1.1875</v>
      </c>
      <c r="X9">
        <f>VLOOKUP(T9,'Scouting Output'!$A$3:$AM$42,39,FALSE)</f>
        <v>2.3774999999999999</v>
      </c>
      <c r="Y9">
        <f>VLOOKUP(T9,'Scouting Output'!$A$3:$AM$42,30,FALSE)</f>
        <v>2.625</v>
      </c>
      <c r="Z9">
        <f>VLOOKUP(T9, 'Scouting Output'!$A$3:$AM$42, 3, FALSE)</f>
        <v>28.125</v>
      </c>
    </row>
    <row r="10" spans="1:26">
      <c r="A10">
        <f>'Scouting Output'!A36</f>
        <v>5406</v>
      </c>
      <c r="B10" t="str">
        <f>'Scouting Output'!B36</f>
        <v>Celt-X</v>
      </c>
      <c r="C10">
        <f>VLOOKUP($A10,'Scouting Output'!$A$3:$AM$42,37,FALSE)</f>
        <v>-21</v>
      </c>
      <c r="D10">
        <f>VLOOKUP($A10,'Scouting Output'!$A$3:$AM$42,38,FALSE)</f>
        <v>-1.5</v>
      </c>
      <c r="E10">
        <f>VLOOKUP($A10,'Scouting Output'!$A$3:$AM$42,39,FALSE)</f>
        <v>-1</v>
      </c>
      <c r="F10">
        <f>VLOOKUP($A10, 'Scouting Output'!$A$3:$AM53, 30, FALSE)</f>
        <v>0</v>
      </c>
      <c r="G10">
        <f>VLOOKUP($A10, 'Scouting Output'!$A$3:$AM$42, 3, FALSE)</f>
        <v>0</v>
      </c>
      <c r="L10">
        <f>'Scouting Output'!A28</f>
        <v>4939</v>
      </c>
      <c r="M10" t="str">
        <f>'Scouting Output'!$B11</f>
        <v>Trojans</v>
      </c>
      <c r="N10">
        <f>VLOOKUP(L10,'Scouting Output'!$A$3:$AM$42,37,FALSE)</f>
        <v>-21</v>
      </c>
      <c r="O10">
        <f>VLOOKUP(L10,'Scouting Output'!$A$3:$AM$42,38,FALSE)</f>
        <v>-1.5</v>
      </c>
      <c r="P10">
        <f>VLOOKUP(L10,'Scouting Output'!$A$3:$AM$42,39,FALSE)</f>
        <v>-1</v>
      </c>
      <c r="Q10">
        <f>VLOOKUP(L10,'Scouting Output'!$A$3:$AM$42,30,FALSE)</f>
        <v>0</v>
      </c>
      <c r="R10">
        <f>VLOOKUP(L10, 'Scouting Output'!$A$3:$AM$42, 3, FALSE)</f>
        <v>0</v>
      </c>
      <c r="T10">
        <f>'Scouting Output'!$A11</f>
        <v>2386</v>
      </c>
      <c r="U10" t="str">
        <f>'Scouting Output'!$B11</f>
        <v>Trojans</v>
      </c>
      <c r="V10">
        <f>VLOOKUP(T10,'Scouting Output'!$A$3:$AM$42,37,FALSE)</f>
        <v>10.222222222222221</v>
      </c>
      <c r="W10">
        <f>VLOOKUP(T10,'Scouting Output'!$A$3:$AM$42,38,FALSE)</f>
        <v>-0.55555555555555536</v>
      </c>
      <c r="X10">
        <f>VLOOKUP(T10,'Scouting Output'!$A$3:$AM$42,39,FALSE)</f>
        <v>2.9722222222222219</v>
      </c>
      <c r="Y10">
        <f>VLOOKUP(T10,'Scouting Output'!$A$3:$AM$42,30,FALSE)</f>
        <v>3</v>
      </c>
      <c r="Z10">
        <f>VLOOKUP(T10, 'Scouting Output'!$A$3:$AM$42, 3, FALSE)</f>
        <v>28</v>
      </c>
    </row>
    <row r="11" spans="1:26">
      <c r="A11">
        <f>'Scouting Output'!A32</f>
        <v>5031</v>
      </c>
      <c r="B11" t="str">
        <f>'Scouting Output'!B32</f>
        <v xml:space="preserve"> Full Metal Mustangs</v>
      </c>
      <c r="C11">
        <f>VLOOKUP($A11,'Scouting Output'!$A$3:$AM$42,37,FALSE)</f>
        <v>-21</v>
      </c>
      <c r="D11">
        <f>VLOOKUP($A11,'Scouting Output'!$A$3:$AM$42,38,FALSE)</f>
        <v>-1.5</v>
      </c>
      <c r="E11">
        <f>VLOOKUP($A11,'Scouting Output'!$A$3:$AM$42,39,FALSE)</f>
        <v>-1</v>
      </c>
      <c r="F11">
        <f>VLOOKUP($A11, 'Scouting Output'!$A$3:$AM62, 30, FALSE)</f>
        <v>0</v>
      </c>
      <c r="G11">
        <f>VLOOKUP($A11, 'Scouting Output'!$A$3:$AM$42, 3, FALSE)</f>
        <v>0</v>
      </c>
      <c r="L11">
        <f>'Scouting Output'!A23</f>
        <v>4525</v>
      </c>
      <c r="M11" t="str">
        <f>'Scouting Output'!$B12</f>
        <v>Merge Robotics</v>
      </c>
      <c r="N11">
        <f>VLOOKUP(L11,'Scouting Output'!$A$3:$AM$42,37,FALSE)</f>
        <v>-1.23</v>
      </c>
      <c r="O11">
        <f>VLOOKUP(L11,'Scouting Output'!$A$3:$AM$42,38,FALSE)</f>
        <v>-3.3125</v>
      </c>
      <c r="P11">
        <f>VLOOKUP(L11,'Scouting Output'!$A$3:$AM$42,39,FALSE)</f>
        <v>-0.49375000000000002</v>
      </c>
      <c r="Q11">
        <f>VLOOKUP(L11,'Scouting Output'!$A$3:$AM$42,30,FALSE)</f>
        <v>0.75</v>
      </c>
      <c r="R11">
        <f>VLOOKUP(L11, 'Scouting Output'!$A$3:$AM$42, 3, FALSE)</f>
        <v>7</v>
      </c>
      <c r="T11">
        <f>'Scouting Output'!$A12</f>
        <v>2706</v>
      </c>
      <c r="U11" t="str">
        <f>'Scouting Output'!$B12</f>
        <v>Merge Robotics</v>
      </c>
      <c r="V11">
        <f>VLOOKUP(T11,'Scouting Output'!$A$3:$AM$42,37,FALSE)</f>
        <v>-21</v>
      </c>
      <c r="W11">
        <f>VLOOKUP(T11,'Scouting Output'!$A$3:$AM$42,38,FALSE)</f>
        <v>-1.5</v>
      </c>
      <c r="X11">
        <f>VLOOKUP(T11,'Scouting Output'!$A$3:$AM$42,39,FALSE)</f>
        <v>-1</v>
      </c>
      <c r="Y11">
        <f>VLOOKUP(T11,'Scouting Output'!$A$3:$AM$42,30,FALSE)</f>
        <v>0</v>
      </c>
      <c r="Z11">
        <f>VLOOKUP(T11, 'Scouting Output'!$A$3:$AM$42, 3, FALSE)</f>
        <v>0</v>
      </c>
    </row>
    <row r="12" spans="1:26">
      <c r="A12">
        <f>'Scouting Output'!A8</f>
        <v>1285</v>
      </c>
      <c r="B12" t="str">
        <f>'Scouting Output'!B8</f>
        <v>The Big Bang</v>
      </c>
      <c r="C12">
        <f>VLOOKUP($A12,'Scouting Output'!$A$3:$AM$42,37,FALSE)</f>
        <v>-21</v>
      </c>
      <c r="D12">
        <f>VLOOKUP($A12,'Scouting Output'!$A$3:$AM$42,38,FALSE)</f>
        <v>-1.5</v>
      </c>
      <c r="E12">
        <f>VLOOKUP($A12,'Scouting Output'!$A$3:$AM$42,39,FALSE)</f>
        <v>-1</v>
      </c>
      <c r="F12">
        <f>VLOOKUP($A12, 'Scouting Output'!$A$3:$AM73, 30, FALSE)</f>
        <v>0</v>
      </c>
      <c r="G12">
        <f>VLOOKUP($A12, 'Scouting Output'!$A$3:$AM$42, 3, FALSE)</f>
        <v>0</v>
      </c>
      <c r="L12">
        <f>'Scouting Output'!A32</f>
        <v>5031</v>
      </c>
      <c r="M12" t="str">
        <f>'Scouting Output'!$B13</f>
        <v>Lake Effect Robotics</v>
      </c>
      <c r="N12">
        <f>VLOOKUP(L12,'Scouting Output'!$A$3:$AM$42,37,FALSE)</f>
        <v>-21</v>
      </c>
      <c r="O12">
        <f>VLOOKUP(L12,'Scouting Output'!$A$3:$AM$42,38,FALSE)</f>
        <v>-1.5</v>
      </c>
      <c r="P12">
        <f>VLOOKUP(L12,'Scouting Output'!$A$3:$AM$42,39,FALSE)</f>
        <v>-1</v>
      </c>
      <c r="Q12">
        <f>VLOOKUP(L12,'Scouting Output'!$A$3:$AM$42,30,FALSE)</f>
        <v>0</v>
      </c>
      <c r="R12">
        <f>VLOOKUP(L12, 'Scouting Output'!$A$3:$AM$42, 3, FALSE)</f>
        <v>0</v>
      </c>
      <c r="T12">
        <f>'Scouting Output'!$A13</f>
        <v>2708</v>
      </c>
      <c r="U12" t="str">
        <f>'Scouting Output'!$B13</f>
        <v>Lake Effect Robotics</v>
      </c>
      <c r="V12">
        <f>VLOOKUP(T12,'Scouting Output'!$A$3:$AM$42,37,FALSE)</f>
        <v>-22.4</v>
      </c>
      <c r="W12">
        <f>VLOOKUP(T12,'Scouting Output'!$A$3:$AM$42,38,FALSE)</f>
        <v>-3.8125</v>
      </c>
      <c r="X12">
        <f>VLOOKUP(T12,'Scouting Output'!$A$3:$AM$42,39,FALSE)</f>
        <v>-0.78</v>
      </c>
      <c r="Y12">
        <f>VLOOKUP(T12,'Scouting Output'!$A$3:$AM$42,30,FALSE)</f>
        <v>0.75</v>
      </c>
      <c r="Z12">
        <f>VLOOKUP(T12, 'Scouting Output'!$A$3:$AM$42, 3, FALSE)</f>
        <v>4.625</v>
      </c>
    </row>
    <row r="13" spans="1:26">
      <c r="A13">
        <f>'Scouting Output'!A31</f>
        <v>5024</v>
      </c>
      <c r="B13" t="str">
        <f>'Scouting Output'!B31</f>
        <v>Raider Robotics</v>
      </c>
      <c r="C13">
        <f>VLOOKUP($A13,'Scouting Output'!$A$3:$AM$42,37,FALSE)</f>
        <v>-21</v>
      </c>
      <c r="D13">
        <f>VLOOKUP($A13,'Scouting Output'!$A$3:$AM$42,38,FALSE)</f>
        <v>-1.5</v>
      </c>
      <c r="E13">
        <f>VLOOKUP($A13,'Scouting Output'!$A$3:$AM$42,39,FALSE)</f>
        <v>-1</v>
      </c>
      <c r="F13">
        <f>VLOOKUP($A13, 'Scouting Output'!$A$3:$AM69, 30, FALSE)</f>
        <v>0</v>
      </c>
      <c r="G13">
        <f>VLOOKUP($A13, 'Scouting Output'!$A$3:$AM$42, 3, FALSE)</f>
        <v>0</v>
      </c>
      <c r="L13">
        <f>'Scouting Output'!A38</f>
        <v>5426</v>
      </c>
      <c r="M13" t="str">
        <f>'Scouting Output'!$B14</f>
        <v>DM High Voltage</v>
      </c>
      <c r="N13">
        <f>VLOOKUP(L13,'Scouting Output'!$A$3:$AM$42,37,FALSE)</f>
        <v>1.2819999999999998</v>
      </c>
      <c r="O13">
        <f>VLOOKUP(L13,'Scouting Output'!$A$3:$AM$42,38,FALSE)</f>
        <v>-0.45</v>
      </c>
      <c r="P13">
        <f>VLOOKUP(L13,'Scouting Output'!$A$3:$AM$42,39,FALSE)</f>
        <v>-0.29700000000000004</v>
      </c>
      <c r="Q13">
        <f>VLOOKUP(L13,'Scouting Output'!$A$3:$AM$42,30,FALSE)</f>
        <v>0.7</v>
      </c>
      <c r="R13">
        <f>VLOOKUP(L13, 'Scouting Output'!$A$3:$AM$42, 3, FALSE)</f>
        <v>9.9999999999999982</v>
      </c>
      <c r="T13">
        <f>'Scouting Output'!$A14</f>
        <v>2852</v>
      </c>
      <c r="U13" t="str">
        <f>'Scouting Output'!$B14</f>
        <v>DM High Voltage</v>
      </c>
      <c r="V13">
        <f>VLOOKUP(T13,'Scouting Output'!$A$3:$AM$42,37,FALSE)</f>
        <v>0.95142857142857151</v>
      </c>
      <c r="W13">
        <f>VLOOKUP(T13,'Scouting Output'!$A$3:$AM$42,38,FALSE)</f>
        <v>-1.214285714285714</v>
      </c>
      <c r="X13">
        <f>VLOOKUP(T13,'Scouting Output'!$A$3:$AM$42,39,FALSE)</f>
        <v>-1.1771428571428573</v>
      </c>
      <c r="Y13">
        <f>VLOOKUP(T13,'Scouting Output'!$A$3:$AM$42,30,FALSE)</f>
        <v>0.7142857142857143</v>
      </c>
      <c r="Z13">
        <f>VLOOKUP(T13, 'Scouting Output'!$A$3:$AM$42, 3, FALSE)</f>
        <v>9.2857142857142847</v>
      </c>
    </row>
    <row r="14" spans="1:26">
      <c r="A14">
        <f>'Scouting Output'!A34</f>
        <v>5039</v>
      </c>
      <c r="B14" t="str">
        <f>'Scouting Output'!B34</f>
        <v>Irish Iron</v>
      </c>
      <c r="C14">
        <f>VLOOKUP($A14,'Scouting Output'!$A$3:$AM$42,37,FALSE)</f>
        <v>-21</v>
      </c>
      <c r="D14">
        <f>VLOOKUP($A14,'Scouting Output'!$A$3:$AM$42,38,FALSE)</f>
        <v>-1.5</v>
      </c>
      <c r="E14">
        <f>VLOOKUP($A14,'Scouting Output'!$A$3:$AM$42,39,FALSE)</f>
        <v>-1</v>
      </c>
      <c r="F14">
        <f>VLOOKUP($A14, 'Scouting Output'!$A$3:$AM76, 30, FALSE)</f>
        <v>0</v>
      </c>
      <c r="G14">
        <f>VLOOKUP($A14, 'Scouting Output'!$A$3:$AM$42, 3, FALSE)</f>
        <v>0</v>
      </c>
      <c r="L14">
        <f>'Scouting Output'!A42</f>
        <v>6070</v>
      </c>
      <c r="M14" t="str">
        <f>'Scouting Output'!$B15</f>
        <v>ASTECHZ</v>
      </c>
      <c r="N14">
        <f>VLOOKUP(L14,'Scouting Output'!$A$3:$AM$42,37,FALSE)</f>
        <v>-0.68181818181818243</v>
      </c>
      <c r="O14">
        <f>VLOOKUP(L14,'Scouting Output'!$A$3:$AM$42,38,FALSE)</f>
        <v>-2.3636363636363646</v>
      </c>
      <c r="P14">
        <f>VLOOKUP(L14,'Scouting Output'!$A$3:$AM$42,39,FALSE)</f>
        <v>-1.1136363636363638</v>
      </c>
      <c r="Q14">
        <f>VLOOKUP(L14,'Scouting Output'!$A$3:$AM$42,30,FALSE)</f>
        <v>0.72727272727272729</v>
      </c>
      <c r="R14">
        <f>VLOOKUP(L14, 'Scouting Output'!$A$3:$AM$42, 3, FALSE)</f>
        <v>8.7272727272727266</v>
      </c>
      <c r="T14">
        <f>'Scouting Output'!$A15</f>
        <v>2994</v>
      </c>
      <c r="U14" t="str">
        <f>'Scouting Output'!$B15</f>
        <v>ASTECHZ</v>
      </c>
      <c r="V14">
        <f>VLOOKUP(T14,'Scouting Output'!$A$3:$AM$42,37,FALSE)</f>
        <v>1.9420000000000002</v>
      </c>
      <c r="W14">
        <f>VLOOKUP(T14,'Scouting Output'!$A$3:$AM$42,38,FALSE)</f>
        <v>-3.45</v>
      </c>
      <c r="X14">
        <f>VLOOKUP(T14,'Scouting Output'!$A$3:$AM$42,39,FALSE)</f>
        <v>0.70099999999999996</v>
      </c>
      <c r="Y14">
        <f>VLOOKUP(T14,'Scouting Output'!$A$3:$AM$42,30,FALSE)</f>
        <v>1.6</v>
      </c>
      <c r="Z14">
        <f>VLOOKUP(T14, 'Scouting Output'!$A$3:$AM$42, 3, FALSE)</f>
        <v>13.799999999999999</v>
      </c>
    </row>
    <row r="15" spans="1:26">
      <c r="A15">
        <f>'Scouting Output'!A9</f>
        <v>1334</v>
      </c>
      <c r="B15" t="str">
        <f>'Scouting Output'!B9</f>
        <v>Red Devils</v>
      </c>
      <c r="C15">
        <f>VLOOKUP($A15,'Scouting Output'!$A$3:$AM$42,37,FALSE)</f>
        <v>-21</v>
      </c>
      <c r="D15">
        <f>VLOOKUP($A15,'Scouting Output'!$A$3:$AM$42,38,FALSE)</f>
        <v>-1.5</v>
      </c>
      <c r="E15">
        <f>VLOOKUP($A15,'Scouting Output'!$A$3:$AM$42,39,FALSE)</f>
        <v>-1</v>
      </c>
      <c r="F15">
        <f>VLOOKUP($A15, 'Scouting Output'!$A$3:$AM64, 30, FALSE)</f>
        <v>0</v>
      </c>
      <c r="G15">
        <f>VLOOKUP($A15, 'Scouting Output'!$A$3:$AM$42, 3, FALSE)</f>
        <v>0</v>
      </c>
      <c r="L15">
        <f>'Scouting Output'!A20</f>
        <v>4308</v>
      </c>
      <c r="M15" t="str">
        <f>'Scouting Output'!$B16</f>
        <v>Mustang Robotics</v>
      </c>
      <c r="N15">
        <f>VLOOKUP(L15,'Scouting Output'!$A$3:$AM$42,37,FALSE)</f>
        <v>-21</v>
      </c>
      <c r="O15">
        <f>VLOOKUP(L15,'Scouting Output'!$A$3:$AM$42,38,FALSE)</f>
        <v>-1.5</v>
      </c>
      <c r="P15">
        <f>VLOOKUP(L15,'Scouting Output'!$A$3:$AM$42,39,FALSE)</f>
        <v>-1</v>
      </c>
      <c r="Q15">
        <f>VLOOKUP(L15,'Scouting Output'!$A$3:$AM$42,30,FALSE)</f>
        <v>0</v>
      </c>
      <c r="R15">
        <f>VLOOKUP(L15, 'Scouting Output'!$A$3:$AM$42, 3, FALSE)</f>
        <v>0</v>
      </c>
      <c r="T15">
        <f>'Scouting Output'!$A16</f>
        <v>3571</v>
      </c>
      <c r="U15" t="str">
        <f>'Scouting Output'!$B16</f>
        <v>Mustang Robotics</v>
      </c>
      <c r="V15">
        <f>VLOOKUP(T15,'Scouting Output'!$A$3:$AM$42,37,FALSE)</f>
        <v>-1.1875</v>
      </c>
      <c r="W15">
        <f>VLOOKUP(T15,'Scouting Output'!$A$3:$AM$42,38,FALSE)</f>
        <v>-1.1875</v>
      </c>
      <c r="X15">
        <f>VLOOKUP(T15,'Scouting Output'!$A$3:$AM$42,39,FALSE)</f>
        <v>-1.12375</v>
      </c>
      <c r="Y15">
        <f>VLOOKUP(T15,'Scouting Output'!$A$3:$AM$42,30,FALSE)</f>
        <v>0.5</v>
      </c>
      <c r="Z15">
        <f>VLOOKUP(T15, 'Scouting Output'!$A$3:$AM$42, 3, FALSE)</f>
        <v>5.25</v>
      </c>
    </row>
    <row r="16" spans="1:26">
      <c r="A16">
        <f>'Scouting Output'!A41</f>
        <v>5911</v>
      </c>
      <c r="B16" t="str">
        <f>'Scouting Output'!B41</f>
        <v>PARAGON</v>
      </c>
      <c r="C16">
        <f>VLOOKUP($A16,'Scouting Output'!$A$3:$AM$42,37,FALSE)</f>
        <v>-21</v>
      </c>
      <c r="D16">
        <f>VLOOKUP($A16,'Scouting Output'!$A$3:$AM$42,38,FALSE)</f>
        <v>-1.5</v>
      </c>
      <c r="E16">
        <f>VLOOKUP($A16,'Scouting Output'!$A$3:$AM$42,39,FALSE)</f>
        <v>-1</v>
      </c>
      <c r="F16">
        <f>VLOOKUP($A16, 'Scouting Output'!$A$3:$AM79, 30, FALSE)</f>
        <v>0</v>
      </c>
      <c r="G16">
        <f>VLOOKUP($A16, 'Scouting Output'!$A$3:$AM$42, 3, FALSE)</f>
        <v>0</v>
      </c>
      <c r="L16">
        <f>'Scouting Output'!A12</f>
        <v>2706</v>
      </c>
      <c r="M16" t="str">
        <f>'Scouting Output'!$B17</f>
        <v>Jag</v>
      </c>
      <c r="N16">
        <f>VLOOKUP(L16,'Scouting Output'!$A$3:$AM$42,37,FALSE)</f>
        <v>-21</v>
      </c>
      <c r="O16">
        <f>VLOOKUP(L16,'Scouting Output'!$A$3:$AM$42,38,FALSE)</f>
        <v>-1.5</v>
      </c>
      <c r="P16">
        <f>VLOOKUP(L16,'Scouting Output'!$A$3:$AM$42,39,FALSE)</f>
        <v>-1</v>
      </c>
      <c r="Q16">
        <f>VLOOKUP(L16,'Scouting Output'!$A$3:$AM$42,30,FALSE)</f>
        <v>0</v>
      </c>
      <c r="R16">
        <f>VLOOKUP(L16, 'Scouting Output'!$A$3:$AM$42, 3, FALSE)</f>
        <v>0</v>
      </c>
      <c r="T16">
        <f>'Scouting Output'!$A17</f>
        <v>4015</v>
      </c>
      <c r="U16" t="str">
        <f>'Scouting Output'!$B17</f>
        <v>Jag</v>
      </c>
      <c r="V16">
        <f>VLOOKUP(T16,'Scouting Output'!$A$3:$AM$42,37,FALSE)</f>
        <v>-0.82799999999999985</v>
      </c>
      <c r="W16">
        <f>VLOOKUP(T16,'Scouting Output'!$A$3:$AM$42,38,FALSE)</f>
        <v>-2.85</v>
      </c>
      <c r="X16">
        <f>VLOOKUP(T16,'Scouting Output'!$A$3:$AM$42,39,FALSE)</f>
        <v>-7.2999999999999843E-2</v>
      </c>
      <c r="Y16">
        <f>VLOOKUP(T16,'Scouting Output'!$A$3:$AM$42,30,FALSE)</f>
        <v>0.5</v>
      </c>
      <c r="Z16">
        <f>VLOOKUP(T16, 'Scouting Output'!$A$3:$AM$42, 3, FALSE)</f>
        <v>9.3000000000000007</v>
      </c>
    </row>
    <row r="17" spans="1:26">
      <c r="A17">
        <f>'Scouting Output'!A7</f>
        <v>1246</v>
      </c>
      <c r="B17" t="str">
        <f>'Scouting Output'!B7</f>
        <v>Agincourt Skunkworks</v>
      </c>
      <c r="C17">
        <f>VLOOKUP($A17,'Scouting Output'!$A$3:$AM$42,37,FALSE)</f>
        <v>-21</v>
      </c>
      <c r="D17">
        <f>VLOOKUP($A17,'Scouting Output'!$A$3:$AM$42,38,FALSE)</f>
        <v>-1.5</v>
      </c>
      <c r="E17">
        <f>VLOOKUP($A17,'Scouting Output'!$A$3:$AM$42,39,FALSE)</f>
        <v>-1</v>
      </c>
      <c r="F17">
        <f>VLOOKUP($A17, 'Scouting Output'!$A$3:$AM81, 30, FALSE)</f>
        <v>0</v>
      </c>
      <c r="G17">
        <f>VLOOKUP($A17, 'Scouting Output'!$A$3:$AM$42, 3, FALSE)</f>
        <v>0</v>
      </c>
      <c r="L17">
        <f>'Scouting Output'!A19</f>
        <v>4252</v>
      </c>
      <c r="M17" t="str">
        <f>'Scouting Output'!$B18</f>
        <v>Hoya Robotics</v>
      </c>
      <c r="N17">
        <f>VLOOKUP(L17,'Scouting Output'!$A$3:$AM$42,37,FALSE)</f>
        <v>-21</v>
      </c>
      <c r="O17">
        <f>VLOOKUP(L17,'Scouting Output'!$A$3:$AM$42,38,FALSE)</f>
        <v>-1.5</v>
      </c>
      <c r="P17">
        <f>VLOOKUP(L17,'Scouting Output'!$A$3:$AM$42,39,FALSE)</f>
        <v>-1</v>
      </c>
      <c r="Q17">
        <f>VLOOKUP(L17,'Scouting Output'!$A$3:$AM$42,30,FALSE)</f>
        <v>0</v>
      </c>
      <c r="R17">
        <f>VLOOKUP(L17, 'Scouting Output'!$A$3:$AM$42, 3, FALSE)</f>
        <v>0</v>
      </c>
      <c r="T17">
        <f>'Scouting Output'!$A18</f>
        <v>4152</v>
      </c>
      <c r="U17" t="str">
        <f>'Scouting Output'!$B18</f>
        <v>Hoya Robotics</v>
      </c>
      <c r="V17">
        <f>VLOOKUP(T17,'Scouting Output'!$A$3:$AM$42,37,FALSE)</f>
        <v>7.0419999999999998</v>
      </c>
      <c r="W17">
        <f>VLOOKUP(T17,'Scouting Output'!$A$3:$AM$42,38,FALSE)</f>
        <v>3.3000000000000007</v>
      </c>
      <c r="X17">
        <f>VLOOKUP(T17,'Scouting Output'!$A$3:$AM$42,39,FALSE)</f>
        <v>1.1260000000000001</v>
      </c>
      <c r="Y17">
        <f>VLOOKUP(T17,'Scouting Output'!$A$3:$AM$42,30,FALSE)</f>
        <v>1.6</v>
      </c>
      <c r="Z17">
        <f>VLOOKUP(T17, 'Scouting Output'!$A$3:$AM$42, 3, FALSE)</f>
        <v>19.8</v>
      </c>
    </row>
    <row r="18" spans="1:26">
      <c r="A18">
        <f>'Scouting Output'!A39</f>
        <v>5719</v>
      </c>
      <c r="B18" t="str">
        <f>'Scouting Output'!B39</f>
        <v>Pink Titans</v>
      </c>
      <c r="C18">
        <f>VLOOKUP($A18,'Scouting Output'!$A$3:$AM$42,37,FALSE)</f>
        <v>-21</v>
      </c>
      <c r="D18">
        <f>VLOOKUP($A18,'Scouting Output'!$A$3:$AM$42,38,FALSE)</f>
        <v>-1.5</v>
      </c>
      <c r="E18">
        <f>VLOOKUP($A18,'Scouting Output'!$A$3:$AM$42,39,FALSE)</f>
        <v>-1</v>
      </c>
      <c r="F18">
        <f>VLOOKUP($A18, 'Scouting Output'!$A$3:$AM68, 30, FALSE)</f>
        <v>0</v>
      </c>
      <c r="G18">
        <f>VLOOKUP($A18, 'Scouting Output'!$A$3:$AM$42, 3, FALSE)</f>
        <v>0</v>
      </c>
      <c r="L18">
        <f>'Scouting Output'!A27</f>
        <v>4936</v>
      </c>
      <c r="M18" t="str">
        <f>'Scouting Output'!$B19</f>
        <v>Cardinal Robotics</v>
      </c>
      <c r="N18">
        <f>VLOOKUP(L18,'Scouting Output'!$A$3:$AM$42,37,FALSE)</f>
        <v>1.6800000000000002</v>
      </c>
      <c r="O18">
        <f>VLOOKUP(L18,'Scouting Output'!$A$3:$AM$42,38,FALSE)</f>
        <v>-0.3125</v>
      </c>
      <c r="P18">
        <f>VLOOKUP(L18,'Scouting Output'!$A$3:$AM$42,39,FALSE)</f>
        <v>1.00125</v>
      </c>
      <c r="Q18">
        <f>VLOOKUP(L18,'Scouting Output'!$A$3:$AM$42,30,FALSE)</f>
        <v>0.875</v>
      </c>
      <c r="R18">
        <f>VLOOKUP(L18, 'Scouting Output'!$A$3:$AM$42, 3, FALSE)</f>
        <v>14.875</v>
      </c>
      <c r="T18">
        <f>'Scouting Output'!$A19</f>
        <v>4252</v>
      </c>
      <c r="U18" t="str">
        <f>'Scouting Output'!$B19</f>
        <v>Cardinal Robotics</v>
      </c>
      <c r="V18">
        <f>VLOOKUP(T18,'Scouting Output'!$A$3:$AM$42,37,FALSE)</f>
        <v>-21</v>
      </c>
      <c r="W18">
        <f>VLOOKUP(T18,'Scouting Output'!$A$3:$AM$42,38,FALSE)</f>
        <v>-1.5</v>
      </c>
      <c r="X18">
        <f>VLOOKUP(T18,'Scouting Output'!$A$3:$AM$42,39,FALSE)</f>
        <v>-1</v>
      </c>
      <c r="Y18">
        <f>VLOOKUP(T18,'Scouting Output'!$A$3:$AM$42,30,FALSE)</f>
        <v>0</v>
      </c>
      <c r="Z18">
        <f>VLOOKUP(T18, 'Scouting Output'!$A$3:$AM$42, 3, FALSE)</f>
        <v>0</v>
      </c>
    </row>
    <row r="19" spans="1:26">
      <c r="A19">
        <f>'Scouting Output'!A24</f>
        <v>4704</v>
      </c>
      <c r="B19" t="str">
        <f>'Scouting Output'!B24</f>
        <v>Northern Lights Robotics</v>
      </c>
      <c r="C19">
        <f>VLOOKUP($A19,'Scouting Output'!$A$3:$AM$42,37,FALSE)</f>
        <v>-1.788</v>
      </c>
      <c r="D19">
        <f>VLOOKUP($A19,'Scouting Output'!$A$3:$AM$42,38,FALSE)</f>
        <v>-4.5</v>
      </c>
      <c r="E19">
        <f>VLOOKUP($A19,'Scouting Output'!$A$3:$AM$42,39,FALSE)</f>
        <v>-0.58000000000000007</v>
      </c>
      <c r="F19">
        <f>VLOOKUP($A19, 'Scouting Output'!$A$3:$AM52, 30, FALSE)</f>
        <v>0.9</v>
      </c>
      <c r="G19">
        <f>VLOOKUP($A19, 'Scouting Output'!$A$3:$AM$42, 3, FALSE)</f>
        <v>8.5</v>
      </c>
      <c r="L19">
        <f>'Scouting Output'!A14</f>
        <v>2852</v>
      </c>
      <c r="M19" t="str">
        <f>'Scouting Output'!$B20</f>
        <v>ABSOLUTE ROBOTICS</v>
      </c>
      <c r="N19">
        <f>VLOOKUP(L19,'Scouting Output'!$A$3:$AM$42,37,FALSE)</f>
        <v>0.95142857142857151</v>
      </c>
      <c r="O19">
        <f>VLOOKUP(L19,'Scouting Output'!$A$3:$AM$42,38,FALSE)</f>
        <v>-1.214285714285714</v>
      </c>
      <c r="P19">
        <f>VLOOKUP(L19,'Scouting Output'!$A$3:$AM$42,39,FALSE)</f>
        <v>-1.1771428571428573</v>
      </c>
      <c r="Q19">
        <f>VLOOKUP(L19,'Scouting Output'!$A$3:$AM$42,30,FALSE)</f>
        <v>0.7142857142857143</v>
      </c>
      <c r="R19">
        <f>VLOOKUP(L19, 'Scouting Output'!$A$3:$AM$42, 3, FALSE)</f>
        <v>9.2857142857142847</v>
      </c>
      <c r="T19">
        <f>'Scouting Output'!$A20</f>
        <v>4308</v>
      </c>
      <c r="U19" t="str">
        <f>'Scouting Output'!$B20</f>
        <v>ABSOLUTE ROBOTICS</v>
      </c>
      <c r="V19">
        <f>VLOOKUP(T19,'Scouting Output'!$A$3:$AM$42,37,FALSE)</f>
        <v>-21</v>
      </c>
      <c r="W19">
        <f>VLOOKUP(T19,'Scouting Output'!$A$3:$AM$42,38,FALSE)</f>
        <v>-1.5</v>
      </c>
      <c r="X19">
        <f>VLOOKUP(T19,'Scouting Output'!$A$3:$AM$42,39,FALSE)</f>
        <v>-1</v>
      </c>
      <c r="Y19">
        <f>VLOOKUP(T19,'Scouting Output'!$A$3:$AM$42,30,FALSE)</f>
        <v>0</v>
      </c>
      <c r="Z19">
        <f>VLOOKUP(T19, 'Scouting Output'!$A$3:$AM$42, 3, FALSE)</f>
        <v>0</v>
      </c>
    </row>
    <row r="20" spans="1:26">
      <c r="A20">
        <f>'Scouting Output'!A23</f>
        <v>4525</v>
      </c>
      <c r="B20" t="str">
        <f>'Scouting Output'!B23</f>
        <v>Renaissance Robotics</v>
      </c>
      <c r="C20">
        <f>VLOOKUP($A20,'Scouting Output'!$A$3:$AM$42,37,FALSE)</f>
        <v>-1.23</v>
      </c>
      <c r="D20">
        <f>VLOOKUP($A20,'Scouting Output'!$A$3:$AM$42,38,FALSE)</f>
        <v>-3.3125</v>
      </c>
      <c r="E20">
        <f>VLOOKUP($A20,'Scouting Output'!$A$3:$AM$42,39,FALSE)</f>
        <v>-0.49375000000000002</v>
      </c>
      <c r="F20">
        <f>VLOOKUP($A20, 'Scouting Output'!$A$3:$AM67, 30, FALSE)</f>
        <v>0.75</v>
      </c>
      <c r="G20">
        <f>VLOOKUP($A20, 'Scouting Output'!$A$3:$AM$42, 3, FALSE)</f>
        <v>7</v>
      </c>
      <c r="L20">
        <f>'Scouting Output'!A11</f>
        <v>2386</v>
      </c>
      <c r="M20" t="str">
        <f>'Scouting Output'!$B21</f>
        <v>W.A.F.F.L.E.S</v>
      </c>
      <c r="N20">
        <f>VLOOKUP(L20,'Scouting Output'!$A$3:$AM$42,37,FALSE)</f>
        <v>10.222222222222221</v>
      </c>
      <c r="O20">
        <f>VLOOKUP(L20,'Scouting Output'!$A$3:$AM$42,38,FALSE)</f>
        <v>-0.55555555555555536</v>
      </c>
      <c r="P20">
        <f>VLOOKUP(L20,'Scouting Output'!$A$3:$AM$42,39,FALSE)</f>
        <v>2.9722222222222219</v>
      </c>
      <c r="Q20">
        <f>VLOOKUP(L20,'Scouting Output'!$A$3:$AM$42,30,FALSE)</f>
        <v>3</v>
      </c>
      <c r="R20">
        <f>VLOOKUP(L20, 'Scouting Output'!$A$3:$AM$42, 3, FALSE)</f>
        <v>28</v>
      </c>
      <c r="T20">
        <f>'Scouting Output'!$A21</f>
        <v>4476</v>
      </c>
      <c r="U20" t="str">
        <f>'Scouting Output'!$B21</f>
        <v>W.A.F.F.L.E.S</v>
      </c>
      <c r="V20">
        <f>VLOOKUP(T20,'Scouting Output'!$A$3:$AM$42,37,FALSE)</f>
        <v>3.7345454545454548</v>
      </c>
      <c r="W20">
        <f>VLOOKUP(T20,'Scouting Output'!$A$3:$AM$42,38,FALSE)</f>
        <v>0.5454545454545453</v>
      </c>
      <c r="X20">
        <f>VLOOKUP(T20,'Scouting Output'!$A$3:$AM$42,39,FALSE)</f>
        <v>2.8927272727272726</v>
      </c>
      <c r="Y20">
        <f>VLOOKUP(T20,'Scouting Output'!$A$3:$AM$42,30,FALSE)</f>
        <v>0.54545454545454541</v>
      </c>
      <c r="Z20">
        <f>VLOOKUP(T20, 'Scouting Output'!$A$3:$AM$42, 3, FALSE)</f>
        <v>18.36363636363636</v>
      </c>
    </row>
    <row r="21" spans="1:26">
      <c r="A21">
        <f>'Scouting Output'!A16</f>
        <v>3571</v>
      </c>
      <c r="B21" t="str">
        <f>'Scouting Output'!B16</f>
        <v>Mustang Robotics</v>
      </c>
      <c r="C21">
        <f>VLOOKUP($A21,'Scouting Output'!$A$3:$AM$42,37,FALSE)</f>
        <v>-1.1875</v>
      </c>
      <c r="D21">
        <f>VLOOKUP($A21,'Scouting Output'!$A$3:$AM$42,38,FALSE)</f>
        <v>-1.1875</v>
      </c>
      <c r="E21">
        <f>VLOOKUP($A21,'Scouting Output'!$A$3:$AM$42,39,FALSE)</f>
        <v>-1.12375</v>
      </c>
      <c r="F21">
        <f>VLOOKUP($A21, 'Scouting Output'!$A$3:$AM77, 30, FALSE)</f>
        <v>0.5</v>
      </c>
      <c r="G21">
        <f>VLOOKUP($A21, 'Scouting Output'!$A$3:$AM$42, 3, FALSE)</f>
        <v>5.25</v>
      </c>
      <c r="L21">
        <f>'Scouting Output'!A9</f>
        <v>1334</v>
      </c>
      <c r="M21" t="str">
        <f>'Scouting Output'!$B22</f>
        <v>King's Robotics</v>
      </c>
      <c r="N21">
        <f>VLOOKUP(L21,'Scouting Output'!$A$3:$AM$42,37,FALSE)</f>
        <v>-21</v>
      </c>
      <c r="O21">
        <f>VLOOKUP(L21,'Scouting Output'!$A$3:$AM$42,38,FALSE)</f>
        <v>-1.5</v>
      </c>
      <c r="P21">
        <f>VLOOKUP(L21,'Scouting Output'!$A$3:$AM$42,39,FALSE)</f>
        <v>-1</v>
      </c>
      <c r="Q21">
        <f>VLOOKUP(L21,'Scouting Output'!$A$3:$AM$42,30,FALSE)</f>
        <v>0</v>
      </c>
      <c r="R21">
        <f>VLOOKUP(L21, 'Scouting Output'!$A$3:$AM$42, 3, FALSE)</f>
        <v>0</v>
      </c>
      <c r="T21">
        <f>'Scouting Output'!$A22</f>
        <v>4519</v>
      </c>
      <c r="U21" t="str">
        <f>'Scouting Output'!$B22</f>
        <v>King's Robotics</v>
      </c>
      <c r="V21">
        <f>VLOOKUP(T21,'Scouting Output'!$A$3:$AM$42,37,FALSE)</f>
        <v>1.5466666666666669</v>
      </c>
      <c r="W21">
        <f>VLOOKUP(T21,'Scouting Output'!$A$3:$AM$42,38,FALSE)</f>
        <v>-0.44444444444444442</v>
      </c>
      <c r="X21">
        <f>VLOOKUP(T21,'Scouting Output'!$A$3:$AM$42,39,FALSE)</f>
        <v>0.77444444444444449</v>
      </c>
      <c r="Y21">
        <f>VLOOKUP(T21,'Scouting Output'!$A$3:$AM$42,30,FALSE)</f>
        <v>1.2222222222222223</v>
      </c>
      <c r="Z21">
        <f>VLOOKUP(T21, 'Scouting Output'!$A$3:$AM$42, 3, FALSE)</f>
        <v>12.444444444444446</v>
      </c>
    </row>
    <row r="22" spans="1:26">
      <c r="A22">
        <f>'Scouting Output'!A17</f>
        <v>4015</v>
      </c>
      <c r="B22" t="str">
        <f>'Scouting Output'!B17</f>
        <v>Jag</v>
      </c>
      <c r="C22">
        <f>VLOOKUP($A22,'Scouting Output'!$A$3:$AM$42,37,FALSE)</f>
        <v>-0.82799999999999985</v>
      </c>
      <c r="D22">
        <f>VLOOKUP($A22,'Scouting Output'!$A$3:$AM$42,38,FALSE)</f>
        <v>-2.85</v>
      </c>
      <c r="E22">
        <f>VLOOKUP($A22,'Scouting Output'!$A$3:$AM$42,39,FALSE)</f>
        <v>-7.2999999999999843E-2</v>
      </c>
      <c r="F22">
        <f>VLOOKUP($A22, 'Scouting Output'!$A$3:$AM65, 30, FALSE)</f>
        <v>0.5</v>
      </c>
      <c r="G22">
        <f>VLOOKUP($A22, 'Scouting Output'!$A$3:$AM$42, 3, FALSE)</f>
        <v>9.3000000000000007</v>
      </c>
      <c r="L22">
        <f>'Scouting Output'!A31</f>
        <v>5024</v>
      </c>
      <c r="M22" t="str">
        <f>'Scouting Output'!$B23</f>
        <v>Renaissance Robotics</v>
      </c>
      <c r="N22">
        <f>VLOOKUP(L22,'Scouting Output'!$A$3:$AM$42,37,FALSE)</f>
        <v>-21</v>
      </c>
      <c r="O22">
        <f>VLOOKUP(L22,'Scouting Output'!$A$3:$AM$42,38,FALSE)</f>
        <v>-1.5</v>
      </c>
      <c r="P22">
        <f>VLOOKUP(L22,'Scouting Output'!$A$3:$AM$42,39,FALSE)</f>
        <v>-1</v>
      </c>
      <c r="Q22">
        <f>VLOOKUP(L22,'Scouting Output'!$A$3:$AM$42,30,FALSE)</f>
        <v>0</v>
      </c>
      <c r="R22">
        <f>VLOOKUP(L22, 'Scouting Output'!$A$3:$AM$42, 3, FALSE)</f>
        <v>0</v>
      </c>
      <c r="T22">
        <f>'Scouting Output'!$A23</f>
        <v>4525</v>
      </c>
      <c r="U22" t="str">
        <f>'Scouting Output'!$B23</f>
        <v>Renaissance Robotics</v>
      </c>
      <c r="V22">
        <f>VLOOKUP(T22,'Scouting Output'!$A$3:$AM$42,37,FALSE)</f>
        <v>-1.23</v>
      </c>
      <c r="W22">
        <f>VLOOKUP(T22,'Scouting Output'!$A$3:$AM$42,38,FALSE)</f>
        <v>-3.3125</v>
      </c>
      <c r="X22">
        <f>VLOOKUP(T22,'Scouting Output'!$A$3:$AM$42,39,FALSE)</f>
        <v>-0.49375000000000002</v>
      </c>
      <c r="Y22">
        <f>VLOOKUP(T22,'Scouting Output'!$A$3:$AM$42,30,FALSE)</f>
        <v>0.75</v>
      </c>
      <c r="Z22">
        <f>VLOOKUP(T22, 'Scouting Output'!$A$3:$AM$42, 3, FALSE)</f>
        <v>7</v>
      </c>
    </row>
    <row r="23" spans="1:26">
      <c r="A23">
        <f>'Scouting Output'!A42</f>
        <v>6070</v>
      </c>
      <c r="B23" t="str">
        <f>'Scouting Output'!B42</f>
        <v>Gryphon Machine</v>
      </c>
      <c r="C23">
        <f>VLOOKUP($A23,'Scouting Output'!$A$3:$AM$42,37,FALSE)</f>
        <v>-0.68181818181818243</v>
      </c>
      <c r="D23">
        <f>VLOOKUP($A23,'Scouting Output'!$A$3:$AM$42,38,FALSE)</f>
        <v>-2.3636363636363646</v>
      </c>
      <c r="E23">
        <f>VLOOKUP($A23,'Scouting Output'!$A$3:$AM$42,39,FALSE)</f>
        <v>-1.1136363636363638</v>
      </c>
      <c r="F23">
        <f>VLOOKUP($A23, 'Scouting Output'!$A$3:$AM58, 30, FALSE)</f>
        <v>0.72727272727272729</v>
      </c>
      <c r="G23">
        <f>VLOOKUP($A23, 'Scouting Output'!$A$3:$AM$42, 3, FALSE)</f>
        <v>8.7272727272727266</v>
      </c>
      <c r="L23">
        <f>'Scouting Output'!A40</f>
        <v>5885</v>
      </c>
      <c r="M23" t="str">
        <f>'Scouting Output'!$B24</f>
        <v>Northern Lights Robotics</v>
      </c>
      <c r="N23">
        <f>VLOOKUP(L23,'Scouting Output'!$A$3:$AM$42,37,FALSE)</f>
        <v>10.277777777777777</v>
      </c>
      <c r="O23">
        <f>VLOOKUP(L23,'Scouting Output'!$A$3:$AM$42,38,FALSE)</f>
        <v>1.6111111111111112</v>
      </c>
      <c r="P23">
        <f>VLOOKUP(L23,'Scouting Output'!$A$3:$AM$42,39,FALSE)</f>
        <v>-0.55000000000000004</v>
      </c>
      <c r="Q23">
        <f>VLOOKUP(L23,'Scouting Output'!$A$3:$AM$42,30,FALSE)</f>
        <v>3</v>
      </c>
      <c r="R23">
        <f>VLOOKUP(L23, 'Scouting Output'!$A$3:$AM$42, 3, FALSE)</f>
        <v>23.666666666666664</v>
      </c>
      <c r="T23">
        <f>'Scouting Output'!$A24</f>
        <v>4704</v>
      </c>
      <c r="U23" t="str">
        <f>'Scouting Output'!$B24</f>
        <v>Northern Lights Robotics</v>
      </c>
      <c r="V23">
        <f>VLOOKUP(T23,'Scouting Output'!$A$3:$AM$42,37,FALSE)</f>
        <v>-1.788</v>
      </c>
      <c r="W23">
        <f>VLOOKUP(T23,'Scouting Output'!$A$3:$AM$42,38,FALSE)</f>
        <v>-4.5</v>
      </c>
      <c r="X23">
        <f>VLOOKUP(T23,'Scouting Output'!$A$3:$AM$42,39,FALSE)</f>
        <v>-0.58000000000000007</v>
      </c>
      <c r="Y23">
        <f>VLOOKUP(T23,'Scouting Output'!$A$3:$AM$42,30,FALSE)</f>
        <v>0.9</v>
      </c>
      <c r="Z23">
        <f>VLOOKUP(T23, 'Scouting Output'!$A$3:$AM$42, 3, FALSE)</f>
        <v>8.5</v>
      </c>
    </row>
    <row r="24" spans="1:26">
      <c r="A24">
        <f>'Scouting Output'!A25</f>
        <v>4783</v>
      </c>
      <c r="B24" t="str">
        <f>'Scouting Output'!B25</f>
        <v>RoboRavens</v>
      </c>
      <c r="C24">
        <f>VLOOKUP($A24,'Scouting Output'!$A$3:$AM$42,37,FALSE)</f>
        <v>-0.61111111111111105</v>
      </c>
      <c r="D24">
        <f>VLOOKUP($A24,'Scouting Output'!$A$3:$AM$42,38,FALSE)</f>
        <v>-1.6111111111111112</v>
      </c>
      <c r="E24">
        <f>VLOOKUP($A24,'Scouting Output'!$A$3:$AM$42,39,FALSE)</f>
        <v>-0.55222222222222217</v>
      </c>
      <c r="F24">
        <f>VLOOKUP($A24, 'Scouting Output'!$A$3:$AM44, 30, FALSE)</f>
        <v>0.88888888888888884</v>
      </c>
      <c r="G24">
        <f>VLOOKUP($A24, 'Scouting Output'!$A$3:$AM$42, 3, FALSE)</f>
        <v>8.4444444444444446</v>
      </c>
      <c r="L24">
        <f>'Scouting Output'!A30</f>
        <v>4951</v>
      </c>
      <c r="M24" t="str">
        <f>'Scouting Output'!$B25</f>
        <v>RoboRavens</v>
      </c>
      <c r="N24">
        <f>VLOOKUP(L24,'Scouting Output'!$A$3:$AM$42,37,FALSE)</f>
        <v>2.2828571428571434</v>
      </c>
      <c r="O24">
        <f>VLOOKUP(L24,'Scouting Output'!$A$3:$AM$42,38,FALSE)</f>
        <v>-1.2857142857142858</v>
      </c>
      <c r="P24">
        <f>VLOOKUP(L24,'Scouting Output'!$A$3:$AM$42,39,FALSE)</f>
        <v>3.152857142857143</v>
      </c>
      <c r="Q24">
        <f>VLOOKUP(L24,'Scouting Output'!$A$3:$AM$42,30,FALSE)</f>
        <v>1</v>
      </c>
      <c r="R24">
        <f>VLOOKUP(L24, 'Scouting Output'!$A$3:$AM$42, 3, FALSE)</f>
        <v>17.428571428571431</v>
      </c>
      <c r="T24">
        <f>'Scouting Output'!$A25</f>
        <v>4783</v>
      </c>
      <c r="U24" t="str">
        <f>'Scouting Output'!$B25</f>
        <v>RoboRavens</v>
      </c>
      <c r="V24">
        <f>VLOOKUP(T24,'Scouting Output'!$A$3:$AM$42,37,FALSE)</f>
        <v>-0.61111111111111105</v>
      </c>
      <c r="W24">
        <f>VLOOKUP(T24,'Scouting Output'!$A$3:$AM$42,38,FALSE)</f>
        <v>-1.6111111111111112</v>
      </c>
      <c r="X24">
        <f>VLOOKUP(T24,'Scouting Output'!$A$3:$AM$42,39,FALSE)</f>
        <v>-0.55222222222222217</v>
      </c>
      <c r="Y24">
        <f>VLOOKUP(T24,'Scouting Output'!$A$3:$AM$42,30,FALSE)</f>
        <v>0.88888888888888884</v>
      </c>
      <c r="Z24">
        <f>VLOOKUP(T24, 'Scouting Output'!$A$3:$AM$42, 3, FALSE)</f>
        <v>8.4444444444444446</v>
      </c>
    </row>
    <row r="25" spans="1:26">
      <c r="A25">
        <f>'Scouting Output'!A14</f>
        <v>2852</v>
      </c>
      <c r="B25" t="str">
        <f>'Scouting Output'!B14</f>
        <v>DM High Voltage</v>
      </c>
      <c r="C25">
        <f>VLOOKUP($A25,'Scouting Output'!$A$3:$AM$42,37,FALSE)</f>
        <v>0.95142857142857151</v>
      </c>
      <c r="D25">
        <f>VLOOKUP($A25,'Scouting Output'!$A$3:$AM$42,38,FALSE)</f>
        <v>-1.214285714285714</v>
      </c>
      <c r="E25">
        <f>VLOOKUP($A25,'Scouting Output'!$A$3:$AM$42,39,FALSE)</f>
        <v>-1.1771428571428573</v>
      </c>
      <c r="F25">
        <f>VLOOKUP($A25, 'Scouting Output'!$A$3:$AM55, 30, FALSE)</f>
        <v>0.7142857142857143</v>
      </c>
      <c r="G25">
        <f>VLOOKUP($A25, 'Scouting Output'!$A$3:$AM$42, 3, FALSE)</f>
        <v>9.2857142857142847</v>
      </c>
      <c r="L25">
        <f>'Scouting Output'!A18</f>
        <v>4152</v>
      </c>
      <c r="M25" t="str">
        <f>'Scouting Output'!$B26</f>
        <v>Thunderstamps</v>
      </c>
      <c r="N25">
        <f>VLOOKUP(L25,'Scouting Output'!$A$3:$AM$42,37,FALSE)</f>
        <v>7.0419999999999998</v>
      </c>
      <c r="O25">
        <f>VLOOKUP(L25,'Scouting Output'!$A$3:$AM$42,38,FALSE)</f>
        <v>3.3000000000000007</v>
      </c>
      <c r="P25">
        <f>VLOOKUP(L25,'Scouting Output'!$A$3:$AM$42,39,FALSE)</f>
        <v>1.1260000000000001</v>
      </c>
      <c r="Q25">
        <f>VLOOKUP(L25,'Scouting Output'!$A$3:$AM$42,30,FALSE)</f>
        <v>1.6</v>
      </c>
      <c r="R25">
        <f>VLOOKUP(L25, 'Scouting Output'!$A$3:$AM$42, 3, FALSE)</f>
        <v>19.8</v>
      </c>
      <c r="T25">
        <f>'Scouting Output'!$A26</f>
        <v>4907</v>
      </c>
      <c r="U25" t="str">
        <f>'Scouting Output'!$B26</f>
        <v>Thunderstamps</v>
      </c>
      <c r="V25">
        <f>VLOOKUP(T25,'Scouting Output'!$A$3:$AM$42,37,FALSE)</f>
        <v>7.1</v>
      </c>
      <c r="W25">
        <f>VLOOKUP(T25,'Scouting Output'!$A$3:$AM$42,38,FALSE)</f>
        <v>-1.4000000000000001</v>
      </c>
      <c r="X25">
        <f>VLOOKUP(T25,'Scouting Output'!$A$3:$AM$42,39,FALSE)</f>
        <v>-9.9000000000000005E-2</v>
      </c>
      <c r="Y25">
        <f>VLOOKUP(T25,'Scouting Output'!$A$3:$AM$42,30,FALSE)</f>
        <v>2.5</v>
      </c>
      <c r="Z25">
        <f>VLOOKUP(T25, 'Scouting Output'!$A$3:$AM$42, 3, FALSE)</f>
        <v>15</v>
      </c>
    </row>
    <row r="26" spans="1:26">
      <c r="A26">
        <f>'Scouting Output'!A37</f>
        <v>5409</v>
      </c>
      <c r="B26" t="str">
        <f>'Scouting Output'!B37</f>
        <v>Chargers</v>
      </c>
      <c r="C26">
        <f>VLOOKUP($A26,'Scouting Output'!$A$3:$AM$42,37,FALSE)</f>
        <v>0.98222222222222266</v>
      </c>
      <c r="D26">
        <f>VLOOKUP($A26,'Scouting Output'!$A$3:$AM$42,38,FALSE)</f>
        <v>-0.94444444444444442</v>
      </c>
      <c r="E26">
        <f>VLOOKUP($A26,'Scouting Output'!$A$3:$AM$42,39,FALSE)</f>
        <v>2.1344444444444446</v>
      </c>
      <c r="F26">
        <f>VLOOKUP($A26, 'Scouting Output'!$A$3:$AM60, 30, FALSE)</f>
        <v>0.77777777777777779</v>
      </c>
      <c r="G26">
        <f>VLOOKUP($A26, 'Scouting Output'!$A$3:$AM$42, 3, FALSE)</f>
        <v>13.222222222222221</v>
      </c>
      <c r="L26">
        <f>'Scouting Output'!A37</f>
        <v>5409</v>
      </c>
      <c r="M26" t="str">
        <f>'Scouting Output'!$B27</f>
        <v>Viral Vortex</v>
      </c>
      <c r="N26">
        <f>VLOOKUP(L26,'Scouting Output'!$A$3:$AM$42,37,FALSE)</f>
        <v>0.98222222222222266</v>
      </c>
      <c r="O26">
        <f>VLOOKUP(L26,'Scouting Output'!$A$3:$AM$42,38,FALSE)</f>
        <v>-0.94444444444444442</v>
      </c>
      <c r="P26">
        <f>VLOOKUP(L26,'Scouting Output'!$A$3:$AM$42,39,FALSE)</f>
        <v>2.1344444444444446</v>
      </c>
      <c r="Q26">
        <f>VLOOKUP(L26,'Scouting Output'!$A$3:$AM$42,30,FALSE)</f>
        <v>0.77777777777777779</v>
      </c>
      <c r="R26">
        <f>VLOOKUP(L26, 'Scouting Output'!$A$3:$AM$42, 3, FALSE)</f>
        <v>13.222222222222221</v>
      </c>
      <c r="T26">
        <f>'Scouting Output'!$A27</f>
        <v>4936</v>
      </c>
      <c r="U26" t="str">
        <f>'Scouting Output'!$B27</f>
        <v>Viral Vortex</v>
      </c>
      <c r="V26">
        <f>VLOOKUP(T26,'Scouting Output'!$A$3:$AM$42,37,FALSE)</f>
        <v>1.6800000000000002</v>
      </c>
      <c r="W26">
        <f>VLOOKUP(T26,'Scouting Output'!$A$3:$AM$42,38,FALSE)</f>
        <v>-0.3125</v>
      </c>
      <c r="X26">
        <f>VLOOKUP(T26,'Scouting Output'!$A$3:$AM$42,39,FALSE)</f>
        <v>1.00125</v>
      </c>
      <c r="Y26">
        <f>VLOOKUP(T26,'Scouting Output'!$A$3:$AM$42,30,FALSE)</f>
        <v>0.875</v>
      </c>
      <c r="Z26">
        <f>VLOOKUP(T26, 'Scouting Output'!$A$3:$AM$42, 3, FALSE)</f>
        <v>14.875</v>
      </c>
    </row>
    <row r="27" spans="1:26">
      <c r="A27">
        <f>'Scouting Output'!A38</f>
        <v>5426</v>
      </c>
      <c r="B27" t="str">
        <f>'Scouting Output'!B38</f>
        <v>E.J. Lajeunesse</v>
      </c>
      <c r="C27">
        <f>VLOOKUP($A27,'Scouting Output'!$A$3:$AM$42,37,FALSE)</f>
        <v>1.2819999999999998</v>
      </c>
      <c r="D27">
        <f>VLOOKUP($A27,'Scouting Output'!$A$3:$AM$42,38,FALSE)</f>
        <v>-0.45</v>
      </c>
      <c r="E27">
        <f>VLOOKUP($A27,'Scouting Output'!$A$3:$AM$42,39,FALSE)</f>
        <v>-0.29700000000000004</v>
      </c>
      <c r="F27">
        <f>VLOOKUP($A27, 'Scouting Output'!$A$3:$AM63, 30, FALSE)</f>
        <v>0.7</v>
      </c>
      <c r="G27">
        <f>VLOOKUP($A27, 'Scouting Output'!$A$3:$AM$42, 3, FALSE)</f>
        <v>9.9999999999999982</v>
      </c>
      <c r="L27">
        <f>'Scouting Output'!A29</f>
        <v>4946</v>
      </c>
      <c r="M27" t="str">
        <f>'Scouting Output'!$B28</f>
        <v>Allspark9</v>
      </c>
      <c r="N27">
        <f>VLOOKUP(L27,'Scouting Output'!$A$3:$AM$42,37,FALSE)</f>
        <v>2.804444444444445</v>
      </c>
      <c r="O27">
        <f>VLOOKUP(L27,'Scouting Output'!$A$3:$AM$42,38,FALSE)</f>
        <v>1.2777777777777781</v>
      </c>
      <c r="P27">
        <f>VLOOKUP(L27,'Scouting Output'!$A$3:$AM$42,39,FALSE)</f>
        <v>0.91333333333333366</v>
      </c>
      <c r="Q27">
        <f>VLOOKUP(L27,'Scouting Output'!$A$3:$AM$42,30,FALSE)</f>
        <v>0.88888888888888884</v>
      </c>
      <c r="R27">
        <f>VLOOKUP(L27, 'Scouting Output'!$A$3:$AM$42, 3, FALSE)</f>
        <v>14.888888888888889</v>
      </c>
      <c r="T27">
        <f>'Scouting Output'!$A28</f>
        <v>4939</v>
      </c>
      <c r="U27" t="str">
        <f>'Scouting Output'!$B28</f>
        <v>Allspark9</v>
      </c>
      <c r="V27">
        <f>VLOOKUP(T27,'Scouting Output'!$A$3:$AM$42,37,FALSE)</f>
        <v>-21</v>
      </c>
      <c r="W27">
        <f>VLOOKUP(T27,'Scouting Output'!$A$3:$AM$42,38,FALSE)</f>
        <v>-1.5</v>
      </c>
      <c r="X27">
        <f>VLOOKUP(T27,'Scouting Output'!$A$3:$AM$42,39,FALSE)</f>
        <v>-1</v>
      </c>
      <c r="Y27">
        <f>VLOOKUP(T27,'Scouting Output'!$A$3:$AM$42,30,FALSE)</f>
        <v>0</v>
      </c>
      <c r="Z27">
        <f>VLOOKUP(T27, 'Scouting Output'!$A$3:$AM$42, 3, FALSE)</f>
        <v>0</v>
      </c>
    </row>
    <row r="28" spans="1:26">
      <c r="A28">
        <f>'Scouting Output'!A33</f>
        <v>5036</v>
      </c>
      <c r="B28" t="str">
        <f>'Scouting Output'!B33</f>
        <v>The Robo Devils</v>
      </c>
      <c r="C28">
        <f>VLOOKUP($A28,'Scouting Output'!$A$3:$AM$42,37,FALSE)</f>
        <v>1.4600000000000004</v>
      </c>
      <c r="D28">
        <f>VLOOKUP($A28,'Scouting Output'!$A$3:$AM$42,38,FALSE)</f>
        <v>-1.45</v>
      </c>
      <c r="E28">
        <f>VLOOKUP($A28,'Scouting Output'!$A$3:$AM$42,39,FALSE)</f>
        <v>3.0960000000000001</v>
      </c>
      <c r="F28">
        <f>VLOOKUP($A28, 'Scouting Output'!$A$3:$AM49, 30, FALSE)</f>
        <v>0.8</v>
      </c>
      <c r="G28">
        <f>VLOOKUP($A28, 'Scouting Output'!$A$3:$AM$42, 3, FALSE)</f>
        <v>15.399999999999999</v>
      </c>
      <c r="L28">
        <f>'Scouting Output'!A24</f>
        <v>4704</v>
      </c>
      <c r="M28" t="str">
        <f>'Scouting Output'!$B29</f>
        <v>The Alpha Dogs</v>
      </c>
      <c r="N28">
        <f>VLOOKUP(L28,'Scouting Output'!$A$3:$AM$42,37,FALSE)</f>
        <v>-1.788</v>
      </c>
      <c r="O28">
        <f>VLOOKUP(L28,'Scouting Output'!$A$3:$AM$42,38,FALSE)</f>
        <v>-4.5</v>
      </c>
      <c r="P28">
        <f>VLOOKUP(L28,'Scouting Output'!$A$3:$AM$42,39,FALSE)</f>
        <v>-0.58000000000000007</v>
      </c>
      <c r="Q28">
        <f>VLOOKUP(L28,'Scouting Output'!$A$3:$AM$42,30,FALSE)</f>
        <v>0.9</v>
      </c>
      <c r="R28">
        <f>VLOOKUP(L28, 'Scouting Output'!$A$3:$AM$42, 3, FALSE)</f>
        <v>8.5</v>
      </c>
      <c r="T28">
        <f>'Scouting Output'!$A29</f>
        <v>4946</v>
      </c>
      <c r="U28" t="str">
        <f>'Scouting Output'!$B29</f>
        <v>The Alpha Dogs</v>
      </c>
      <c r="V28">
        <f>VLOOKUP(T28,'Scouting Output'!$A$3:$AM$42,37,FALSE)</f>
        <v>2.804444444444445</v>
      </c>
      <c r="W28">
        <f>VLOOKUP(T28,'Scouting Output'!$A$3:$AM$42,38,FALSE)</f>
        <v>1.2777777777777781</v>
      </c>
      <c r="X28">
        <f>VLOOKUP(T28,'Scouting Output'!$A$3:$AM$42,39,FALSE)</f>
        <v>0.91333333333333366</v>
      </c>
      <c r="Y28">
        <f>VLOOKUP(T28,'Scouting Output'!$A$3:$AM$42,30,FALSE)</f>
        <v>0.88888888888888884</v>
      </c>
      <c r="Z28">
        <f>VLOOKUP(T28, 'Scouting Output'!$A$3:$AM$42, 3, FALSE)</f>
        <v>14.888888888888889</v>
      </c>
    </row>
    <row r="29" spans="1:26">
      <c r="A29">
        <f>'Scouting Output'!A22</f>
        <v>4519</v>
      </c>
      <c r="B29" t="str">
        <f>'Scouting Output'!B22</f>
        <v>King's Robotics</v>
      </c>
      <c r="C29">
        <f>VLOOKUP($A29,'Scouting Output'!$A$3:$AM$42,37,FALSE)</f>
        <v>1.5466666666666669</v>
      </c>
      <c r="D29">
        <f>VLOOKUP($A29,'Scouting Output'!$A$3:$AM$42,38,FALSE)</f>
        <v>-0.44444444444444442</v>
      </c>
      <c r="E29">
        <f>VLOOKUP($A29,'Scouting Output'!$A$3:$AM$42,39,FALSE)</f>
        <v>0.77444444444444449</v>
      </c>
      <c r="F29">
        <f>VLOOKUP($A29, 'Scouting Output'!$A$3:$AM59, 30, FALSE)</f>
        <v>1.2222222222222223</v>
      </c>
      <c r="G29">
        <f>VLOOKUP($A29, 'Scouting Output'!$A$3:$AM$42, 3, FALSE)</f>
        <v>12.444444444444446</v>
      </c>
      <c r="L29">
        <f>'Scouting Output'!A33</f>
        <v>5036</v>
      </c>
      <c r="M29" t="str">
        <f>'Scouting Output'!$B30</f>
        <v>CDS Cyclones</v>
      </c>
      <c r="N29">
        <f>VLOOKUP(L29,'Scouting Output'!$A$3:$AM$42,37,FALSE)</f>
        <v>1.4600000000000004</v>
      </c>
      <c r="O29">
        <f>VLOOKUP(L29,'Scouting Output'!$A$3:$AM$42,38,FALSE)</f>
        <v>-1.45</v>
      </c>
      <c r="P29">
        <f>VLOOKUP(L29,'Scouting Output'!$A$3:$AM$42,39,FALSE)</f>
        <v>3.0960000000000001</v>
      </c>
      <c r="Q29">
        <f>VLOOKUP(L29,'Scouting Output'!$A$3:$AM$42,30,FALSE)</f>
        <v>0.8</v>
      </c>
      <c r="R29">
        <f>VLOOKUP(L29, 'Scouting Output'!$A$3:$AM$42, 3, FALSE)</f>
        <v>15.399999999999999</v>
      </c>
      <c r="T29">
        <f>'Scouting Output'!$A30</f>
        <v>4951</v>
      </c>
      <c r="U29" t="str">
        <f>'Scouting Output'!$B30</f>
        <v>CDS Cyclones</v>
      </c>
      <c r="V29">
        <f>VLOOKUP(T29,'Scouting Output'!$A$3:$AM$42,37,FALSE)</f>
        <v>2.2828571428571434</v>
      </c>
      <c r="W29">
        <f>VLOOKUP(T29,'Scouting Output'!$A$3:$AM$42,38,FALSE)</f>
        <v>-1.2857142857142858</v>
      </c>
      <c r="X29">
        <f>VLOOKUP(T29,'Scouting Output'!$A$3:$AM$42,39,FALSE)</f>
        <v>3.152857142857143</v>
      </c>
      <c r="Y29">
        <f>VLOOKUP(T29,'Scouting Output'!$A$3:$AM$42,30,FALSE)</f>
        <v>1</v>
      </c>
      <c r="Z29">
        <f>VLOOKUP(T29, 'Scouting Output'!$A$3:$AM$42, 3, FALSE)</f>
        <v>17.428571428571431</v>
      </c>
    </row>
    <row r="30" spans="1:26">
      <c r="A30">
        <f>'Scouting Output'!A27</f>
        <v>4936</v>
      </c>
      <c r="B30" t="str">
        <f>'Scouting Output'!B27</f>
        <v>Viral Vortex</v>
      </c>
      <c r="C30">
        <f>VLOOKUP($A30,'Scouting Output'!$A$3:$AM$42,37,FALSE)</f>
        <v>1.6800000000000002</v>
      </c>
      <c r="D30">
        <f>VLOOKUP($A30,'Scouting Output'!$A$3:$AM$42,38,FALSE)</f>
        <v>-0.3125</v>
      </c>
      <c r="E30">
        <f>VLOOKUP($A30,'Scouting Output'!$A$3:$AM$42,39,FALSE)</f>
        <v>1.00125</v>
      </c>
      <c r="F30">
        <f>VLOOKUP($A30, 'Scouting Output'!$A$3:$AM66, 30, FALSE)</f>
        <v>0.875</v>
      </c>
      <c r="G30">
        <f>VLOOKUP($A30, 'Scouting Output'!$A$3:$AM$42, 3, FALSE)</f>
        <v>14.875</v>
      </c>
      <c r="L30">
        <f>'Scouting Output'!A17</f>
        <v>4015</v>
      </c>
      <c r="M30" t="str">
        <f>'Scouting Output'!$B31</f>
        <v>Raider Robotics</v>
      </c>
      <c r="N30">
        <f>VLOOKUP(L30,'Scouting Output'!$A$3:$AM$42,37,FALSE)</f>
        <v>-0.82799999999999985</v>
      </c>
      <c r="O30">
        <f>VLOOKUP(L30,'Scouting Output'!$A$3:$AM$42,38,FALSE)</f>
        <v>-2.85</v>
      </c>
      <c r="P30">
        <f>VLOOKUP(L30,'Scouting Output'!$A$3:$AM$42,39,FALSE)</f>
        <v>-7.2999999999999843E-2</v>
      </c>
      <c r="Q30">
        <f>VLOOKUP(L30,'Scouting Output'!$A$3:$AM$42,30,FALSE)</f>
        <v>0.5</v>
      </c>
      <c r="R30">
        <f>VLOOKUP(L30, 'Scouting Output'!$A$3:$AM$42, 3, FALSE)</f>
        <v>9.3000000000000007</v>
      </c>
      <c r="T30">
        <f>'Scouting Output'!$A31</f>
        <v>5024</v>
      </c>
      <c r="U30" t="str">
        <f>'Scouting Output'!$B31</f>
        <v>Raider Robotics</v>
      </c>
      <c r="V30">
        <f>VLOOKUP(T30,'Scouting Output'!$A$3:$AM$42,37,FALSE)</f>
        <v>-21</v>
      </c>
      <c r="W30">
        <f>VLOOKUP(T30,'Scouting Output'!$A$3:$AM$42,38,FALSE)</f>
        <v>-1.5</v>
      </c>
      <c r="X30">
        <f>VLOOKUP(T30,'Scouting Output'!$A$3:$AM$42,39,FALSE)</f>
        <v>-1</v>
      </c>
      <c r="Y30">
        <f>VLOOKUP(T30,'Scouting Output'!$A$3:$AM$42,30,FALSE)</f>
        <v>0</v>
      </c>
      <c r="Z30">
        <f>VLOOKUP(T30, 'Scouting Output'!$A$3:$AM$42, 3, FALSE)</f>
        <v>0</v>
      </c>
    </row>
    <row r="31" spans="1:26">
      <c r="A31">
        <f>'Scouting Output'!A15</f>
        <v>2994</v>
      </c>
      <c r="B31" t="str">
        <f>'Scouting Output'!B15</f>
        <v>ASTECHZ</v>
      </c>
      <c r="C31">
        <f>VLOOKUP($A31,'Scouting Output'!$A$3:$AM$42,37,FALSE)</f>
        <v>1.9420000000000002</v>
      </c>
      <c r="D31">
        <f>VLOOKUP($A31,'Scouting Output'!$A$3:$AM$42,38,FALSE)</f>
        <v>-3.45</v>
      </c>
      <c r="E31">
        <f>VLOOKUP($A31,'Scouting Output'!$A$3:$AM$42,39,FALSE)</f>
        <v>0.70099999999999996</v>
      </c>
      <c r="F31">
        <f>VLOOKUP($A31, 'Scouting Output'!$A$3:$AM78, 30, FALSE)</f>
        <v>1.6</v>
      </c>
      <c r="G31">
        <f>VLOOKUP($A31, 'Scouting Output'!$A$3:$AM$42, 3, FALSE)</f>
        <v>13.799999999999999</v>
      </c>
      <c r="L31">
        <f>'Scouting Output'!A15</f>
        <v>2994</v>
      </c>
      <c r="M31" t="str">
        <f>'Scouting Output'!$B32</f>
        <v xml:space="preserve"> Full Metal Mustangs</v>
      </c>
      <c r="N31">
        <f>VLOOKUP(L31,'Scouting Output'!$A$3:$AM$42,37,FALSE)</f>
        <v>1.9420000000000002</v>
      </c>
      <c r="O31">
        <f>VLOOKUP(L31,'Scouting Output'!$A$3:$AM$42,38,FALSE)</f>
        <v>-3.45</v>
      </c>
      <c r="P31">
        <f>VLOOKUP(L31,'Scouting Output'!$A$3:$AM$42,39,FALSE)</f>
        <v>0.70099999999999996</v>
      </c>
      <c r="Q31">
        <f>VLOOKUP(L31,'Scouting Output'!$A$3:$AM$42,30,FALSE)</f>
        <v>1.6</v>
      </c>
      <c r="R31">
        <f>VLOOKUP(L31, 'Scouting Output'!$A$3:$AM$42, 3, FALSE)</f>
        <v>13.799999999999999</v>
      </c>
      <c r="T31">
        <f>'Scouting Output'!$A32</f>
        <v>5031</v>
      </c>
      <c r="U31" t="str">
        <f>'Scouting Output'!$B32</f>
        <v xml:space="preserve"> Full Metal Mustangs</v>
      </c>
      <c r="V31">
        <f>VLOOKUP(T31,'Scouting Output'!$A$3:$AM$42,37,FALSE)</f>
        <v>-21</v>
      </c>
      <c r="W31">
        <f>VLOOKUP(T31,'Scouting Output'!$A$3:$AM$42,38,FALSE)</f>
        <v>-1.5</v>
      </c>
      <c r="X31">
        <f>VLOOKUP(T31,'Scouting Output'!$A$3:$AM$42,39,FALSE)</f>
        <v>-1</v>
      </c>
      <c r="Y31">
        <f>VLOOKUP(T31,'Scouting Output'!$A$3:$AM$42,30,FALSE)</f>
        <v>0</v>
      </c>
      <c r="Z31">
        <f>VLOOKUP(T31, 'Scouting Output'!$A$3:$AM$42, 3, FALSE)</f>
        <v>0</v>
      </c>
    </row>
    <row r="32" spans="1:26">
      <c r="A32">
        <f>'Scouting Output'!A30</f>
        <v>4951</v>
      </c>
      <c r="B32" t="str">
        <f>'Scouting Output'!B30</f>
        <v>CDS Cyclones</v>
      </c>
      <c r="C32">
        <f>VLOOKUP($A32,'Scouting Output'!$A$3:$AM$42,37,FALSE)</f>
        <v>2.2828571428571434</v>
      </c>
      <c r="D32">
        <f>VLOOKUP($A32,'Scouting Output'!$A$3:$AM$42,38,FALSE)</f>
        <v>-1.2857142857142858</v>
      </c>
      <c r="E32">
        <f>VLOOKUP($A32,'Scouting Output'!$A$3:$AM$42,39,FALSE)</f>
        <v>3.152857142857143</v>
      </c>
      <c r="F32">
        <f>VLOOKUP($A32, 'Scouting Output'!$A$3:$AM80, 30, FALSE)</f>
        <v>1</v>
      </c>
      <c r="G32">
        <f>VLOOKUP($A32, 'Scouting Output'!$A$3:$AM$42, 3, FALSE)</f>
        <v>17.428571428571431</v>
      </c>
      <c r="L32">
        <f>'Scouting Output'!A25</f>
        <v>4783</v>
      </c>
      <c r="M32" t="str">
        <f>'Scouting Output'!$B33</f>
        <v>The Robo Devils</v>
      </c>
      <c r="N32">
        <f>VLOOKUP(L32,'Scouting Output'!$A$3:$AM$42,37,FALSE)</f>
        <v>-0.61111111111111105</v>
      </c>
      <c r="O32">
        <f>VLOOKUP(L32,'Scouting Output'!$A$3:$AM$42,38,FALSE)</f>
        <v>-1.6111111111111112</v>
      </c>
      <c r="P32">
        <f>VLOOKUP(L32,'Scouting Output'!$A$3:$AM$42,39,FALSE)</f>
        <v>-0.55222222222222217</v>
      </c>
      <c r="Q32">
        <f>VLOOKUP(L32,'Scouting Output'!$A$3:$AM$42,30,FALSE)</f>
        <v>0.88888888888888884</v>
      </c>
      <c r="R32">
        <f>VLOOKUP(L32, 'Scouting Output'!$A$3:$AM$42, 3, FALSE)</f>
        <v>8.4444444444444446</v>
      </c>
      <c r="T32">
        <f>'Scouting Output'!$A33</f>
        <v>5036</v>
      </c>
      <c r="U32" t="str">
        <f>'Scouting Output'!$B33</f>
        <v>The Robo Devils</v>
      </c>
      <c r="V32">
        <f>VLOOKUP(T32,'Scouting Output'!$A$3:$AM$42,37,FALSE)</f>
        <v>1.4600000000000004</v>
      </c>
      <c r="W32">
        <f>VLOOKUP(T32,'Scouting Output'!$A$3:$AM$42,38,FALSE)</f>
        <v>-1.45</v>
      </c>
      <c r="X32">
        <f>VLOOKUP(T32,'Scouting Output'!$A$3:$AM$42,39,FALSE)</f>
        <v>3.0960000000000001</v>
      </c>
      <c r="Y32">
        <f>VLOOKUP(T32,'Scouting Output'!$A$3:$AM$42,30,FALSE)</f>
        <v>0.8</v>
      </c>
      <c r="Z32">
        <f>VLOOKUP(T32, 'Scouting Output'!$A$3:$AM$42, 3, FALSE)</f>
        <v>15.399999999999999</v>
      </c>
    </row>
    <row r="33" spans="1:26">
      <c r="A33">
        <f>'Scouting Output'!A29</f>
        <v>4946</v>
      </c>
      <c r="B33" t="str">
        <f>'Scouting Output'!B29</f>
        <v>The Alpha Dogs</v>
      </c>
      <c r="C33">
        <f>VLOOKUP($A33,'Scouting Output'!$A$3:$AM$42,37,FALSE)</f>
        <v>2.804444444444445</v>
      </c>
      <c r="D33">
        <f>VLOOKUP($A33,'Scouting Output'!$A$3:$AM$42,38,FALSE)</f>
        <v>1.2777777777777781</v>
      </c>
      <c r="E33">
        <f>VLOOKUP($A33,'Scouting Output'!$A$3:$AM$42,39,FALSE)</f>
        <v>0.91333333333333366</v>
      </c>
      <c r="F33">
        <f>VLOOKUP($A33, 'Scouting Output'!$A$3:$AM71, 30, FALSE)</f>
        <v>0.88888888888888884</v>
      </c>
      <c r="G33">
        <f>VLOOKUP($A33, 'Scouting Output'!$A$3:$AM$42, 3, FALSE)</f>
        <v>14.888888888888889</v>
      </c>
      <c r="L33">
        <f>'Scouting Output'!A35</f>
        <v>5076</v>
      </c>
      <c r="M33" t="str">
        <f>'Scouting Output'!$B34</f>
        <v>Irish Iron</v>
      </c>
      <c r="N33">
        <f>VLOOKUP(L33,'Scouting Output'!$A$3:$AM$42,37,FALSE)</f>
        <v>-21</v>
      </c>
      <c r="O33">
        <f>VLOOKUP(L33,'Scouting Output'!$A$3:$AM$42,38,FALSE)</f>
        <v>-1.5</v>
      </c>
      <c r="P33">
        <f>VLOOKUP(L33,'Scouting Output'!$A$3:$AM$42,39,FALSE)</f>
        <v>-1</v>
      </c>
      <c r="Q33">
        <f>VLOOKUP(L33,'Scouting Output'!$A$3:$AM$42,30,FALSE)</f>
        <v>0</v>
      </c>
      <c r="R33">
        <f>VLOOKUP(L33, 'Scouting Output'!$A$3:$AM$42, 3, FALSE)</f>
        <v>0</v>
      </c>
      <c r="T33">
        <f>'Scouting Output'!$A34</f>
        <v>5039</v>
      </c>
      <c r="U33" t="str">
        <f>'Scouting Output'!$B34</f>
        <v>Irish Iron</v>
      </c>
      <c r="V33">
        <f>VLOOKUP(T33,'Scouting Output'!$A$3:$AM$42,37,FALSE)</f>
        <v>-21</v>
      </c>
      <c r="W33">
        <f>VLOOKUP(T33,'Scouting Output'!$A$3:$AM$42,38,FALSE)</f>
        <v>-1.5</v>
      </c>
      <c r="X33">
        <f>VLOOKUP(T33,'Scouting Output'!$A$3:$AM$42,39,FALSE)</f>
        <v>-1</v>
      </c>
      <c r="Y33">
        <f>VLOOKUP(T33,'Scouting Output'!$A$3:$AM$42,30,FALSE)</f>
        <v>0</v>
      </c>
      <c r="Z33">
        <f>VLOOKUP(T33, 'Scouting Output'!$A$3:$AM$42, 3, FALSE)</f>
        <v>0</v>
      </c>
    </row>
    <row r="34" spans="1:26">
      <c r="A34">
        <f>'Scouting Output'!A21</f>
        <v>4476</v>
      </c>
      <c r="B34" t="str">
        <f>'Scouting Output'!B21</f>
        <v>W.A.F.F.L.E.S</v>
      </c>
      <c r="C34">
        <f>VLOOKUP($A34,'Scouting Output'!$A$3:$AM$42,37,FALSE)</f>
        <v>3.7345454545454548</v>
      </c>
      <c r="D34">
        <f>VLOOKUP($A34,'Scouting Output'!$A$3:$AM$42,38,FALSE)</f>
        <v>0.5454545454545453</v>
      </c>
      <c r="E34">
        <f>VLOOKUP($A34,'Scouting Output'!$A$3:$AM$42,39,FALSE)</f>
        <v>2.8927272727272726</v>
      </c>
      <c r="F34">
        <f>VLOOKUP($A34, 'Scouting Output'!$A$3:$AM56, 30, FALSE)</f>
        <v>0.54545454545454541</v>
      </c>
      <c r="G34">
        <f>VLOOKUP($A34, 'Scouting Output'!$A$3:$AM$42, 3, FALSE)</f>
        <v>18.36363636363636</v>
      </c>
      <c r="L34">
        <f>'Scouting Output'!A16</f>
        <v>3571</v>
      </c>
      <c r="M34" t="str">
        <f>'Scouting Output'!$B35</f>
        <v>Richardson Stormbots</v>
      </c>
      <c r="N34">
        <f>VLOOKUP(L34,'Scouting Output'!$A$3:$AM$42,37,FALSE)</f>
        <v>-1.1875</v>
      </c>
      <c r="O34">
        <f>VLOOKUP(L34,'Scouting Output'!$A$3:$AM$42,38,FALSE)</f>
        <v>-1.1875</v>
      </c>
      <c r="P34">
        <f>VLOOKUP(L34,'Scouting Output'!$A$3:$AM$42,39,FALSE)</f>
        <v>-1.12375</v>
      </c>
      <c r="Q34">
        <f>VLOOKUP(L34,'Scouting Output'!$A$3:$AM$42,30,FALSE)</f>
        <v>0.5</v>
      </c>
      <c r="R34">
        <f>VLOOKUP(L34, 'Scouting Output'!$A$3:$AM$42, 3, FALSE)</f>
        <v>5.25</v>
      </c>
      <c r="T34">
        <f>'Scouting Output'!$A35</f>
        <v>5076</v>
      </c>
      <c r="U34" t="str">
        <f>'Scouting Output'!$B35</f>
        <v>Richardson Stormbots</v>
      </c>
      <c r="V34">
        <f>VLOOKUP(T34,'Scouting Output'!$A$3:$AM$42,37,FALSE)</f>
        <v>-21</v>
      </c>
      <c r="W34">
        <f>VLOOKUP(T34,'Scouting Output'!$A$3:$AM$42,38,FALSE)</f>
        <v>-1.5</v>
      </c>
      <c r="X34">
        <f>VLOOKUP(T34,'Scouting Output'!$A$3:$AM$42,39,FALSE)</f>
        <v>-1</v>
      </c>
      <c r="Y34">
        <f>VLOOKUP(T34,'Scouting Output'!$A$3:$AM$42,30,FALSE)</f>
        <v>0</v>
      </c>
      <c r="Z34">
        <f>VLOOKUP(T34, 'Scouting Output'!$A$3:$AM$42, 3, FALSE)</f>
        <v>0</v>
      </c>
    </row>
    <row r="35" spans="1:26">
      <c r="A35">
        <f>'Scouting Output'!A3</f>
        <v>188</v>
      </c>
      <c r="B35" t="str">
        <f>'Scouting Output'!B3</f>
        <v>Blizzard</v>
      </c>
      <c r="C35">
        <f>VLOOKUP($A35,'Scouting Output'!$A$3:$AM$42,37,FALSE)</f>
        <v>4.1111111111111116</v>
      </c>
      <c r="D35">
        <f>VLOOKUP($A35,'Scouting Output'!$A$3:$AM$42,38,FALSE)</f>
        <v>-0.38888888888888884</v>
      </c>
      <c r="E35">
        <f>VLOOKUP($A35,'Scouting Output'!$A$3:$AM$42,39,FALSE)</f>
        <v>3.5555555555555554</v>
      </c>
      <c r="F35">
        <f>VLOOKUP($A35, 'Scouting Output'!$A$3:$AM46, 30, FALSE)</f>
        <v>0.66666666666666663</v>
      </c>
      <c r="G35">
        <f>VLOOKUP($A35, 'Scouting Output'!$A$3:$AM$42, 3, FALSE)</f>
        <v>18.777777777777779</v>
      </c>
      <c r="L35">
        <f>'Scouting Output'!A39</f>
        <v>5719</v>
      </c>
      <c r="M35" t="str">
        <f>'Scouting Output'!$B36</f>
        <v>Celt-X</v>
      </c>
      <c r="N35">
        <f>VLOOKUP(L35,'Scouting Output'!$A$3:$AM$42,37,FALSE)</f>
        <v>-21</v>
      </c>
      <c r="O35">
        <f>VLOOKUP(L35,'Scouting Output'!$A$3:$AM$42,38,FALSE)</f>
        <v>-1.5</v>
      </c>
      <c r="P35">
        <f>VLOOKUP(L35,'Scouting Output'!$A$3:$AM$42,39,FALSE)</f>
        <v>-1</v>
      </c>
      <c r="Q35">
        <f>VLOOKUP(L35,'Scouting Output'!$A$3:$AM$42,30,FALSE)</f>
        <v>0</v>
      </c>
      <c r="R35">
        <f>VLOOKUP(L35, 'Scouting Output'!$A$3:$AM$42, 3, FALSE)</f>
        <v>0</v>
      </c>
      <c r="T35">
        <f>'Scouting Output'!$A36</f>
        <v>5406</v>
      </c>
      <c r="U35" t="str">
        <f>'Scouting Output'!$B36</f>
        <v>Celt-X</v>
      </c>
      <c r="V35">
        <f>VLOOKUP(T35,'Scouting Output'!$A$3:$AM$42,37,FALSE)</f>
        <v>-21</v>
      </c>
      <c r="W35">
        <f>VLOOKUP(T35,'Scouting Output'!$A$3:$AM$42,38,FALSE)</f>
        <v>-1.5</v>
      </c>
      <c r="X35">
        <f>VLOOKUP(T35,'Scouting Output'!$A$3:$AM$42,39,FALSE)</f>
        <v>-1</v>
      </c>
      <c r="Y35">
        <f>VLOOKUP(T35,'Scouting Output'!$A$3:$AM$42,30,FALSE)</f>
        <v>0</v>
      </c>
      <c r="Z35">
        <f>VLOOKUP(T35, 'Scouting Output'!$A$3:$AM$42, 3, FALSE)</f>
        <v>0</v>
      </c>
    </row>
    <row r="36" spans="1:26">
      <c r="A36">
        <f>'Scouting Output'!A4</f>
        <v>610</v>
      </c>
      <c r="B36" t="str">
        <f>'Scouting Output'!B4</f>
        <v>Crescent Coyotes</v>
      </c>
      <c r="C36">
        <f>VLOOKUP($A36,'Scouting Output'!$A$3:$AM$42,37,FALSE)</f>
        <v>6.522222222222223</v>
      </c>
      <c r="D36">
        <f>VLOOKUP($A36,'Scouting Output'!$A$3:$AM$42,38,FALSE)</f>
        <v>2.4444444444444446</v>
      </c>
      <c r="E36">
        <f>VLOOKUP($A36,'Scouting Output'!$A$3:$AM$42,39,FALSE)</f>
        <v>2.3633333333333333</v>
      </c>
      <c r="F36">
        <f>VLOOKUP($A36, 'Scouting Output'!$A$3:$AM48, 30, FALSE)</f>
        <v>2</v>
      </c>
      <c r="G36">
        <f>VLOOKUP($A36, 'Scouting Output'!$A$3:$AM$42, 3, FALSE)</f>
        <v>21.555555555555554</v>
      </c>
      <c r="L36">
        <f>'Scouting Output'!A26</f>
        <v>4907</v>
      </c>
      <c r="M36" t="str">
        <f>'Scouting Output'!$B37</f>
        <v>Chargers</v>
      </c>
      <c r="N36">
        <f>VLOOKUP(L36,'Scouting Output'!$A$3:$AM$42,37,FALSE)</f>
        <v>7.1</v>
      </c>
      <c r="O36">
        <f>VLOOKUP(L36,'Scouting Output'!$A$3:$AM$42,38,FALSE)</f>
        <v>-1.4000000000000001</v>
      </c>
      <c r="P36">
        <f>VLOOKUP(L36,'Scouting Output'!$A$3:$AM$42,39,FALSE)</f>
        <v>-9.9000000000000005E-2</v>
      </c>
      <c r="Q36">
        <f>VLOOKUP(L36,'Scouting Output'!$A$3:$AM$42,30,FALSE)</f>
        <v>2.5</v>
      </c>
      <c r="R36">
        <f>VLOOKUP(L36, 'Scouting Output'!$A$3:$AM$42, 3, FALSE)</f>
        <v>15</v>
      </c>
      <c r="T36">
        <f>'Scouting Output'!$A37</f>
        <v>5409</v>
      </c>
      <c r="U36" t="str">
        <f>'Scouting Output'!$B37</f>
        <v>Chargers</v>
      </c>
      <c r="V36">
        <f>VLOOKUP(T36,'Scouting Output'!$A$3:$AM$42,37,FALSE)</f>
        <v>0.98222222222222266</v>
      </c>
      <c r="W36">
        <f>VLOOKUP(T36,'Scouting Output'!$A$3:$AM$42,38,FALSE)</f>
        <v>-0.94444444444444442</v>
      </c>
      <c r="X36">
        <f>VLOOKUP(T36,'Scouting Output'!$A$3:$AM$42,39,FALSE)</f>
        <v>2.1344444444444446</v>
      </c>
      <c r="Y36">
        <f>VLOOKUP(T36,'Scouting Output'!$A$3:$AM$42,30,FALSE)</f>
        <v>0.77777777777777779</v>
      </c>
      <c r="Z36">
        <f>VLOOKUP(T36, 'Scouting Output'!$A$3:$AM$42, 3, FALSE)</f>
        <v>13.222222222222221</v>
      </c>
    </row>
    <row r="37" spans="1:26">
      <c r="A37">
        <f>'Scouting Output'!A18</f>
        <v>4152</v>
      </c>
      <c r="B37" t="str">
        <f>'Scouting Output'!B18</f>
        <v>Hoya Robotics</v>
      </c>
      <c r="C37">
        <f>VLOOKUP($A37,'Scouting Output'!$A$3:$AM$42,37,FALSE)</f>
        <v>7.0419999999999998</v>
      </c>
      <c r="D37">
        <f>VLOOKUP($A37,'Scouting Output'!$A$3:$AM$42,38,FALSE)</f>
        <v>3.3000000000000007</v>
      </c>
      <c r="E37">
        <f>VLOOKUP($A37,'Scouting Output'!$A$3:$AM$42,39,FALSE)</f>
        <v>1.1260000000000001</v>
      </c>
      <c r="F37">
        <f>VLOOKUP($A37, 'Scouting Output'!$A$3:$AM45, 30, FALSE)</f>
        <v>1.6</v>
      </c>
      <c r="G37">
        <f>VLOOKUP($A37, 'Scouting Output'!$A$3:$AM$42, 3, FALSE)</f>
        <v>19.8</v>
      </c>
      <c r="L37">
        <f>'Scouting Output'!A10</f>
        <v>2200</v>
      </c>
      <c r="M37" t="str">
        <f>'Scouting Output'!$B38</f>
        <v>E.J. Lajeunesse</v>
      </c>
      <c r="N37">
        <f>VLOOKUP(L37,'Scouting Output'!$A$3:$AM$42,37,FALSE)</f>
        <v>10.9975</v>
      </c>
      <c r="O37">
        <f>VLOOKUP(L37,'Scouting Output'!$A$3:$AM$42,38,FALSE)</f>
        <v>1.1875</v>
      </c>
      <c r="P37">
        <f>VLOOKUP(L37,'Scouting Output'!$A$3:$AM$42,39,FALSE)</f>
        <v>2.3774999999999999</v>
      </c>
      <c r="Q37">
        <f>VLOOKUP(L37,'Scouting Output'!$A$3:$AM$42,30,FALSE)</f>
        <v>2.625</v>
      </c>
      <c r="R37">
        <f>VLOOKUP(L37, 'Scouting Output'!$A$3:$AM$42, 3, FALSE)</f>
        <v>28.125</v>
      </c>
      <c r="T37">
        <f>'Scouting Output'!$A38</f>
        <v>5426</v>
      </c>
      <c r="U37" t="str">
        <f>'Scouting Output'!$B38</f>
        <v>E.J. Lajeunesse</v>
      </c>
      <c r="V37">
        <f>VLOOKUP(T37,'Scouting Output'!$A$3:$AM$42,37,FALSE)</f>
        <v>1.2819999999999998</v>
      </c>
      <c r="W37">
        <f>VLOOKUP(T37,'Scouting Output'!$A$3:$AM$42,38,FALSE)</f>
        <v>-0.45</v>
      </c>
      <c r="X37">
        <f>VLOOKUP(T37,'Scouting Output'!$A$3:$AM$42,39,FALSE)</f>
        <v>-0.29700000000000004</v>
      </c>
      <c r="Y37">
        <f>VLOOKUP(T37,'Scouting Output'!$A$3:$AM$42,30,FALSE)</f>
        <v>0.7</v>
      </c>
      <c r="Z37">
        <f>VLOOKUP(T37, 'Scouting Output'!$A$3:$AM$42, 3, FALSE)</f>
        <v>9.9999999999999982</v>
      </c>
    </row>
    <row r="38" spans="1:26">
      <c r="A38">
        <f>'Scouting Output'!A26</f>
        <v>4907</v>
      </c>
      <c r="B38" t="str">
        <f>'Scouting Output'!B26</f>
        <v>Thunderstamps</v>
      </c>
      <c r="C38">
        <f>VLOOKUP($A38,'Scouting Output'!$A$3:$AM$42,37,FALSE)</f>
        <v>7.1</v>
      </c>
      <c r="D38">
        <f>VLOOKUP($A38,'Scouting Output'!$A$3:$AM$42,38,FALSE)</f>
        <v>-1.4000000000000001</v>
      </c>
      <c r="E38">
        <f>VLOOKUP($A38,'Scouting Output'!$A$3:$AM$42,39,FALSE)</f>
        <v>-9.9000000000000005E-2</v>
      </c>
      <c r="F38">
        <f>VLOOKUP($A38, 'Scouting Output'!$A$3:$AM75, 30, FALSE)</f>
        <v>2.5</v>
      </c>
      <c r="G38">
        <f>VLOOKUP($A38, 'Scouting Output'!$A$3:$AM$42, 3, FALSE)</f>
        <v>15</v>
      </c>
      <c r="L38">
        <f>'Scouting Output'!A7</f>
        <v>1246</v>
      </c>
      <c r="M38" t="str">
        <f>'Scouting Output'!$B39</f>
        <v>Pink Titans</v>
      </c>
      <c r="N38">
        <f>VLOOKUP(L38,'Scouting Output'!$A$3:$AM$42,37,FALSE)</f>
        <v>-21</v>
      </c>
      <c r="O38">
        <f>VLOOKUP(L38,'Scouting Output'!$A$3:$AM$42,38,FALSE)</f>
        <v>-1.5</v>
      </c>
      <c r="P38">
        <f>VLOOKUP(L38,'Scouting Output'!$A$3:$AM$42,39,FALSE)</f>
        <v>-1</v>
      </c>
      <c r="Q38">
        <f>VLOOKUP(L38,'Scouting Output'!$A$3:$AM$42,30,FALSE)</f>
        <v>0</v>
      </c>
      <c r="R38">
        <f>VLOOKUP(L38, 'Scouting Output'!$A$3:$AM$42, 3, FALSE)</f>
        <v>0</v>
      </c>
      <c r="T38">
        <f>'Scouting Output'!$A39</f>
        <v>5719</v>
      </c>
      <c r="U38" t="str">
        <f>'Scouting Output'!$B39</f>
        <v>Pink Titans</v>
      </c>
      <c r="V38">
        <f>VLOOKUP(T38,'Scouting Output'!$A$3:$AM$42,37,FALSE)</f>
        <v>-21</v>
      </c>
      <c r="W38">
        <f>VLOOKUP(T38,'Scouting Output'!$A$3:$AM$42,38,FALSE)</f>
        <v>-1.5</v>
      </c>
      <c r="X38">
        <f>VLOOKUP(T38,'Scouting Output'!$A$3:$AM$42,39,FALSE)</f>
        <v>-1</v>
      </c>
      <c r="Y38">
        <f>VLOOKUP(T38,'Scouting Output'!$A$3:$AM$42,30,FALSE)</f>
        <v>0</v>
      </c>
      <c r="Z38">
        <f>VLOOKUP(T38, 'Scouting Output'!$A$3:$AM$42, 3, FALSE)</f>
        <v>0</v>
      </c>
    </row>
    <row r="39" spans="1:26">
      <c r="A39">
        <f>'Scouting Output'!A11</f>
        <v>2386</v>
      </c>
      <c r="B39" t="str">
        <f>'Scouting Output'!B11</f>
        <v>Trojans</v>
      </c>
      <c r="C39">
        <f>VLOOKUP($A39,'Scouting Output'!$A$3:$AM$42,37,FALSE)</f>
        <v>10.222222222222221</v>
      </c>
      <c r="D39">
        <f>VLOOKUP($A39,'Scouting Output'!$A$3:$AM$42,38,FALSE)</f>
        <v>-0.55555555555555536</v>
      </c>
      <c r="E39">
        <f>VLOOKUP($A39,'Scouting Output'!$A$3:$AM$42,39,FALSE)</f>
        <v>2.9722222222222219</v>
      </c>
      <c r="F39">
        <f>VLOOKUP($A39, 'Scouting Output'!$A$3:$AM70, 30, FALSE)</f>
        <v>3</v>
      </c>
      <c r="G39">
        <f>VLOOKUP($A39, 'Scouting Output'!$A$3:$AM$42, 3, FALSE)</f>
        <v>28</v>
      </c>
      <c r="L39">
        <f>'Scouting Output'!A8</f>
        <v>1285</v>
      </c>
      <c r="M39" t="str">
        <f>'Scouting Output'!$B40</f>
        <v>Villanova WiredCats</v>
      </c>
      <c r="N39">
        <f>VLOOKUP(L39,'Scouting Output'!$A$3:$AM$42,37,FALSE)</f>
        <v>-21</v>
      </c>
      <c r="O39">
        <f>VLOOKUP(L39,'Scouting Output'!$A$3:$AM$42,38,FALSE)</f>
        <v>-1.5</v>
      </c>
      <c r="P39">
        <f>VLOOKUP(L39,'Scouting Output'!$A$3:$AM$42,39,FALSE)</f>
        <v>-1</v>
      </c>
      <c r="Q39">
        <f>VLOOKUP(L39,'Scouting Output'!$A$3:$AM$42,30,FALSE)</f>
        <v>0</v>
      </c>
      <c r="R39">
        <f>VLOOKUP(L39, 'Scouting Output'!$A$3:$AM$42, 3, FALSE)</f>
        <v>0</v>
      </c>
      <c r="T39">
        <f>'Scouting Output'!$A40</f>
        <v>5885</v>
      </c>
      <c r="U39" t="str">
        <f>'Scouting Output'!$B40</f>
        <v>Villanova WiredCats</v>
      </c>
      <c r="V39">
        <f>VLOOKUP(T39,'Scouting Output'!$A$3:$AM$42,37,FALSE)</f>
        <v>10.277777777777777</v>
      </c>
      <c r="W39">
        <f>VLOOKUP(T39,'Scouting Output'!$A$3:$AM$42,38,FALSE)</f>
        <v>1.6111111111111112</v>
      </c>
      <c r="X39">
        <f>VLOOKUP(T39,'Scouting Output'!$A$3:$AM$42,39,FALSE)</f>
        <v>-0.55000000000000004</v>
      </c>
      <c r="Y39">
        <f>VLOOKUP(T39,'Scouting Output'!$A$3:$AM$42,30,FALSE)</f>
        <v>3</v>
      </c>
      <c r="Z39">
        <f>VLOOKUP(T39, 'Scouting Output'!$A$3:$AM$42, 3, FALSE)</f>
        <v>23.666666666666664</v>
      </c>
    </row>
    <row r="40" spans="1:26">
      <c r="A40">
        <f>'Scouting Output'!A40</f>
        <v>5885</v>
      </c>
      <c r="B40" t="str">
        <f>'Scouting Output'!B40</f>
        <v>Villanova WiredCats</v>
      </c>
      <c r="C40">
        <f>VLOOKUP($A40,'Scouting Output'!$A$3:$AM$42,37,FALSE)</f>
        <v>10.277777777777777</v>
      </c>
      <c r="D40">
        <f>VLOOKUP($A40,'Scouting Output'!$A$3:$AM$42,38,FALSE)</f>
        <v>1.6111111111111112</v>
      </c>
      <c r="E40">
        <f>VLOOKUP($A40,'Scouting Output'!$A$3:$AM$42,39,FALSE)</f>
        <v>-0.55000000000000004</v>
      </c>
      <c r="F40">
        <f>VLOOKUP($A40, 'Scouting Output'!$A$3:$AM61, 30, FALSE)</f>
        <v>3</v>
      </c>
      <c r="G40">
        <f>VLOOKUP($A40, 'Scouting Output'!$A$3:$AM$42, 3, FALSE)</f>
        <v>23.666666666666664</v>
      </c>
      <c r="L40">
        <f>'Scouting Output'!A34</f>
        <v>5039</v>
      </c>
      <c r="M40" t="str">
        <f>'Scouting Output'!$B41</f>
        <v>PARAGON</v>
      </c>
      <c r="N40">
        <f>VLOOKUP(L40,'Scouting Output'!$A$3:$AM$42,37,FALSE)</f>
        <v>-21</v>
      </c>
      <c r="O40">
        <f>VLOOKUP(L40,'Scouting Output'!$A$3:$AM$42,38,FALSE)</f>
        <v>-1.5</v>
      </c>
      <c r="P40">
        <f>VLOOKUP(L40,'Scouting Output'!$A$3:$AM$42,39,FALSE)</f>
        <v>-1</v>
      </c>
      <c r="Q40">
        <f>VLOOKUP(L40,'Scouting Output'!$A$3:$AM$42,30,FALSE)</f>
        <v>0</v>
      </c>
      <c r="R40">
        <f>VLOOKUP(L40, 'Scouting Output'!$A$3:$AM$42, 3, FALSE)</f>
        <v>0</v>
      </c>
      <c r="T40">
        <f>'Scouting Output'!$A41</f>
        <v>5911</v>
      </c>
      <c r="U40" t="str">
        <f>'Scouting Output'!$B41</f>
        <v>PARAGON</v>
      </c>
      <c r="V40">
        <f>VLOOKUP(T40,'Scouting Output'!$A$3:$AM$42,37,FALSE)</f>
        <v>-21</v>
      </c>
      <c r="W40">
        <f>VLOOKUP(T40,'Scouting Output'!$A$3:$AM$42,38,FALSE)</f>
        <v>-1.5</v>
      </c>
      <c r="X40">
        <f>VLOOKUP(T40,'Scouting Output'!$A$3:$AM$42,39,FALSE)</f>
        <v>-1</v>
      </c>
      <c r="Y40">
        <f>VLOOKUP(T40,'Scouting Output'!$A$3:$AM$42,30,FALSE)</f>
        <v>0</v>
      </c>
      <c r="Z40">
        <f>VLOOKUP(T40, 'Scouting Output'!$A$3:$AM$42, 3, FALSE)</f>
        <v>0</v>
      </c>
    </row>
    <row r="41" spans="1:26">
      <c r="A41">
        <f>'Scouting Output'!A10</f>
        <v>2200</v>
      </c>
      <c r="B41" t="str">
        <f>'Scouting Output'!B10</f>
        <v>MMRambotics</v>
      </c>
      <c r="C41">
        <f>VLOOKUP($A41,'Scouting Output'!$A$3:$AM$42,37,FALSE)</f>
        <v>10.9975</v>
      </c>
      <c r="D41">
        <f>VLOOKUP($A41,'Scouting Output'!$A$3:$AM$42,38,FALSE)</f>
        <v>1.1875</v>
      </c>
      <c r="E41">
        <f>VLOOKUP($A41,'Scouting Output'!$A$3:$AM$42,39,FALSE)</f>
        <v>2.3774999999999999</v>
      </c>
      <c r="F41">
        <f>VLOOKUP($A41, 'Scouting Output'!$A$3:$AM74, 30, FALSE)</f>
        <v>2.625</v>
      </c>
      <c r="G41">
        <f>VLOOKUP($A41, 'Scouting Output'!$A$3:$AM$42, 3, FALSE)</f>
        <v>28.125</v>
      </c>
      <c r="L41">
        <f>'Scouting Output'!A41</f>
        <v>5911</v>
      </c>
      <c r="M41" t="str">
        <f>'Scouting Output'!$B42</f>
        <v>Gryphon Machine</v>
      </c>
      <c r="N41">
        <f>VLOOKUP(L41,'Scouting Output'!$A$3:$AM$42,37,FALSE)</f>
        <v>-21</v>
      </c>
      <c r="O41">
        <f>VLOOKUP(L41,'Scouting Output'!$A$3:$AM$42,38,FALSE)</f>
        <v>-1.5</v>
      </c>
      <c r="P41">
        <f>VLOOKUP(L41,'Scouting Output'!$A$3:$AM$42,39,FALSE)</f>
        <v>-1</v>
      </c>
      <c r="Q41">
        <f>VLOOKUP(L41,'Scouting Output'!$A$3:$AM$42,30,FALSE)</f>
        <v>0</v>
      </c>
      <c r="R41">
        <f>VLOOKUP(L41, 'Scouting Output'!$A$3:$AM$42, 3, FALSE)</f>
        <v>0</v>
      </c>
      <c r="T41">
        <f>'Scouting Output'!$A42</f>
        <v>6070</v>
      </c>
      <c r="U41" t="str">
        <f>'Scouting Output'!$B42</f>
        <v>Gryphon Machine</v>
      </c>
      <c r="V41">
        <f>VLOOKUP(T41,'Scouting Output'!$A$3:$AM$42,37,FALSE)</f>
        <v>-0.68181818181818243</v>
      </c>
      <c r="W41">
        <f>VLOOKUP(T41,'Scouting Output'!$A$3:$AM$42,38,FALSE)</f>
        <v>-2.3636363636363646</v>
      </c>
      <c r="X41">
        <f>VLOOKUP(T41,'Scouting Output'!$A$3:$AM$42,39,FALSE)</f>
        <v>-1.1136363636363638</v>
      </c>
      <c r="Y41">
        <f>VLOOKUP(T41,'Scouting Output'!$A$3:$AM$42,30,FALSE)</f>
        <v>0.72727272727272729</v>
      </c>
      <c r="Z41">
        <f>VLOOKUP(T41, 'Scouting Output'!$A$3:$AM$42, 3, FALSE)</f>
        <v>8.7272727272727266</v>
      </c>
    </row>
  </sheetData>
  <conditionalFormatting sqref="A1:G1048576">
    <cfRule type="expression" dxfId="53" priority="20">
      <formula>IF($A1=$I$2,TRUE,FALSE)</formula>
    </cfRule>
  </conditionalFormatting>
  <conditionalFormatting sqref="F2:G100">
    <cfRule type="cellIs" dxfId="52" priority="18" operator="between">
      <formula>1.45</formula>
      <formula>2.45</formula>
    </cfRule>
  </conditionalFormatting>
  <conditionalFormatting sqref="C1:E1048576">
    <cfRule type="cellIs" dxfId="51" priority="17" operator="lessThan">
      <formula>0</formula>
    </cfRule>
  </conditionalFormatting>
  <conditionalFormatting sqref="L1:Q41 R1:S1">
    <cfRule type="expression" dxfId="50" priority="12" stopIfTrue="1">
      <formula>IF($A1=$I$2,TRUE,FALSE)</formula>
    </cfRule>
    <cfRule type="expression" dxfId="49" priority="13">
      <formula>IF($A1=$I$2,TRUE,FALSE)</formula>
    </cfRule>
  </conditionalFormatting>
  <conditionalFormatting sqref="Q2:Q41">
    <cfRule type="cellIs" dxfId="48" priority="14" operator="between">
      <formula>1.45</formula>
      <formula>2.45</formula>
    </cfRule>
    <cfRule type="cellIs" dxfId="47" priority="15" operator="greaterThan">
      <formula>2.45</formula>
    </cfRule>
  </conditionalFormatting>
  <conditionalFormatting sqref="N1:P41">
    <cfRule type="cellIs" dxfId="46" priority="16" operator="lessThan">
      <formula>0</formula>
    </cfRule>
  </conditionalFormatting>
  <conditionalFormatting sqref="F2:F100">
    <cfRule type="cellIs" dxfId="45" priority="19" operator="greaterThan">
      <formula>2.45</formula>
    </cfRule>
  </conditionalFormatting>
  <conditionalFormatting sqref="Q1:Q1048576">
    <cfRule type="cellIs" dxfId="44" priority="11" operator="greaterThan">
      <formula>1.45</formula>
    </cfRule>
  </conditionalFormatting>
  <conditionalFormatting sqref="T1:Z1">
    <cfRule type="expression" dxfId="43" priority="8" stopIfTrue="1">
      <formula>IF($A1=$I$2,TRUE,FALSE)</formula>
    </cfRule>
    <cfRule type="expression" dxfId="42" priority="9">
      <formula>IF($A1=$I$2,TRUE,FALSE)</formula>
    </cfRule>
  </conditionalFormatting>
  <conditionalFormatting sqref="V1:X1">
    <cfRule type="cellIs" dxfId="41" priority="10" operator="lessThan">
      <formula>0</formula>
    </cfRule>
  </conditionalFormatting>
  <conditionalFormatting sqref="Y1">
    <cfRule type="cellIs" dxfId="40" priority="7" operator="greaterThan">
      <formula>1.45</formula>
    </cfRule>
  </conditionalFormatting>
  <conditionalFormatting sqref="T2:Y41">
    <cfRule type="expression" dxfId="39" priority="2" stopIfTrue="1">
      <formula>IF($A2=$I$2,TRUE,FALSE)</formula>
    </cfRule>
    <cfRule type="expression" dxfId="38" priority="3">
      <formula>IF($A2=$I$2,TRUE,FALSE)</formula>
    </cfRule>
  </conditionalFormatting>
  <conditionalFormatting sqref="Y2:Y41">
    <cfRule type="cellIs" dxfId="37" priority="4" operator="between">
      <formula>1.45</formula>
      <formula>2.45</formula>
    </cfRule>
    <cfRule type="cellIs" dxfId="36" priority="5" operator="greaterThan">
      <formula>2.45</formula>
    </cfRule>
  </conditionalFormatting>
  <conditionalFormatting sqref="V2:X41">
    <cfRule type="cellIs" dxfId="35" priority="6" operator="lessThan">
      <formula>0</formula>
    </cfRule>
  </conditionalFormatting>
  <conditionalFormatting sqref="Y2:Y41">
    <cfRule type="cellIs" dxfId="34" priority="1" operator="greaterThan">
      <formula>1.45</formula>
    </cfRule>
  </conditionalFormatting>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ACD3F-DD0A-407C-B94B-31AEB980E9C3}">
  <sheetPr codeName="Sheet12"/>
  <dimension ref="A1:Z65"/>
  <sheetViews>
    <sheetView tabSelected="1" zoomScale="58" workbookViewId="0">
      <selection activeCell="I40" sqref="I40"/>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13" max="13" width="8.85546875" customWidth="1"/>
    <col min="16" max="16" width="8.85546875" customWidth="1"/>
  </cols>
  <sheetData>
    <row r="1" spans="1:26">
      <c r="A1" t="s">
        <v>306</v>
      </c>
      <c r="C1" t="s">
        <v>307</v>
      </c>
      <c r="D1" t="str">
        <f>'Scouting Output'!AL2</f>
        <v>Hatch Desirability</v>
      </c>
      <c r="E1" t="str">
        <f>'Scouting Output'!AM2</f>
        <v>Cargo Desirability</v>
      </c>
      <c r="F1" t="s">
        <v>312</v>
      </c>
      <c r="G1" t="s">
        <v>325</v>
      </c>
      <c r="K1" t="s">
        <v>116</v>
      </c>
      <c r="L1" t="s">
        <v>306</v>
      </c>
      <c r="N1" t="s">
        <v>307</v>
      </c>
      <c r="O1" t="s">
        <v>238</v>
      </c>
      <c r="P1" t="s">
        <v>322</v>
      </c>
      <c r="Q1" t="s">
        <v>353</v>
      </c>
      <c r="R1" t="s">
        <v>325</v>
      </c>
      <c r="S1" t="s">
        <v>117</v>
      </c>
      <c r="T1" t="s">
        <v>306</v>
      </c>
      <c r="V1" t="s">
        <v>307</v>
      </c>
      <c r="W1" t="s">
        <v>238</v>
      </c>
      <c r="X1" t="s">
        <v>322</v>
      </c>
      <c r="Y1" t="s">
        <v>353</v>
      </c>
      <c r="Z1" t="s">
        <v>325</v>
      </c>
    </row>
    <row r="2" spans="1:26">
      <c r="A2">
        <v>2200</v>
      </c>
      <c r="B2" t="s">
        <v>199</v>
      </c>
      <c r="C2">
        <f>IFERROR(VLOOKUP($A2,'Scouting Output'!$A$3:$AM$100,37,FALSE), -999)</f>
        <v>10.9975</v>
      </c>
      <c r="D2">
        <f>IFERROR(VLOOKUP($A2,'Scouting Output'!$A$3:$AM$100,38,FALSE), -999)</f>
        <v>1.1875</v>
      </c>
      <c r="E2">
        <f>IFERROR(VLOOKUP($A2,'Scouting Output'!$A$3:$AM$100,39,FALSE), -999)</f>
        <v>2.3774999999999999</v>
      </c>
      <c r="F2">
        <f>IFERROR(VLOOKUP($A2, 'Scouting Output'!$A$3:$AM106, 30, FALSE), -999)</f>
        <v>2.625</v>
      </c>
      <c r="G2">
        <f>IFERROR(VLOOKUP($A2, 'Scouting Output'!$A$3:$AM$100, 3, FALSE), -999)</f>
        <v>28.125</v>
      </c>
      <c r="H2" t="s">
        <v>294</v>
      </c>
      <c r="I2">
        <v>4907</v>
      </c>
      <c r="L2">
        <f>'Scouting Output'!$A3</f>
        <v>188</v>
      </c>
      <c r="M2" t="str">
        <f>'Scouting Output'!$B3</f>
        <v>Blizzard</v>
      </c>
      <c r="N2">
        <f>VLOOKUP(L2,'Scouting Output'!$A$3:$AM$42,37,FALSE)</f>
        <v>4.1111111111111116</v>
      </c>
      <c r="O2">
        <f>VLOOKUP(L2,'Scouting Output'!$A$3:$AM$42,38,FALSE)</f>
        <v>-0.38888888888888884</v>
      </c>
      <c r="P2">
        <f>VLOOKUP(L2,'Scouting Output'!$A$3:$AM$42,39,FALSE)</f>
        <v>3.5555555555555554</v>
      </c>
      <c r="Q2">
        <f>VLOOKUP(L2,'Scouting Output'!$A$3:$AM$42,30,FALSE)</f>
        <v>0.66666666666666663</v>
      </c>
      <c r="R2">
        <f>VLOOKUP(L2, 'Scouting Output'!$A$3:$AM$42, 3, FALSE)</f>
        <v>18.777777777777779</v>
      </c>
      <c r="T2">
        <f>'Scouting Output'!$A3</f>
        <v>188</v>
      </c>
      <c r="U2" t="str">
        <f>'Scouting Output'!$B3</f>
        <v>Blizzard</v>
      </c>
      <c r="V2">
        <f>VLOOKUP(T2,'Scouting Output'!$A$3:$AM$42,37,FALSE)</f>
        <v>4.1111111111111116</v>
      </c>
      <c r="W2">
        <f>VLOOKUP(T2,'Scouting Output'!$A$3:$AM$42,38,FALSE)</f>
        <v>-0.38888888888888884</v>
      </c>
      <c r="X2">
        <f>VLOOKUP(T2,'Scouting Output'!$A$3:$AM$42,39,FALSE)</f>
        <v>3.5555555555555554</v>
      </c>
      <c r="Y2">
        <f>VLOOKUP(T2,'Scouting Output'!$A$3:$AM$42,30,FALSE)</f>
        <v>0.66666666666666663</v>
      </c>
      <c r="Z2">
        <f>VLOOKUP(T2, 'Scouting Output'!$A$3:$AM$42, 3, FALSE)</f>
        <v>18.777777777777779</v>
      </c>
    </row>
    <row r="3" spans="1:26">
      <c r="A3">
        <v>5885</v>
      </c>
      <c r="B3" t="s">
        <v>219</v>
      </c>
      <c r="C3">
        <f>IFERROR(VLOOKUP($A3,'Scouting Output'!$A$3:$AM$100,37,FALSE), -999)</f>
        <v>10.277777777777777</v>
      </c>
      <c r="D3">
        <f>IFERROR(VLOOKUP($A3,'Scouting Output'!$A$3:$AM$100,38,FALSE), -999)</f>
        <v>1.6111111111111112</v>
      </c>
      <c r="E3">
        <f>IFERROR(VLOOKUP($A3,'Scouting Output'!$A$3:$AM$100,39,FALSE), -999)</f>
        <v>-0.55000000000000004</v>
      </c>
      <c r="F3">
        <f>IFERROR(VLOOKUP($A3, 'Scouting Output'!$A$3:$AM136, 30, FALSE), -999)</f>
        <v>3</v>
      </c>
      <c r="G3">
        <f>IFERROR(VLOOKUP($A3, 'Scouting Output'!$A$3:$AM$100, 3, FALSE), -999)</f>
        <v>23.666666666666664</v>
      </c>
      <c r="L3">
        <f>'Scouting Output'!A21</f>
        <v>4476</v>
      </c>
      <c r="M3" t="str">
        <f>'Scouting Output'!$B4</f>
        <v>Crescent Coyotes</v>
      </c>
      <c r="N3">
        <f>VLOOKUP(L3,'Scouting Output'!$A$3:$AM$42,37,FALSE)</f>
        <v>3.7345454545454548</v>
      </c>
      <c r="O3">
        <f>VLOOKUP(L3,'Scouting Output'!$A$3:$AM$42,38,FALSE)</f>
        <v>0.5454545454545453</v>
      </c>
      <c r="P3">
        <f>VLOOKUP(L3,'Scouting Output'!$A$3:$AM$42,39,FALSE)</f>
        <v>2.8927272727272726</v>
      </c>
      <c r="Q3">
        <f>VLOOKUP(L3,'Scouting Output'!$A$3:$AM$42,30,FALSE)</f>
        <v>0.54545454545454541</v>
      </c>
      <c r="R3">
        <f>VLOOKUP(L3, 'Scouting Output'!$A$3:$AM$42, 3, FALSE)</f>
        <v>18.36363636363636</v>
      </c>
      <c r="T3">
        <f>'Scouting Output'!$A4</f>
        <v>610</v>
      </c>
      <c r="U3" t="str">
        <f>'Scouting Output'!$B4</f>
        <v>Crescent Coyotes</v>
      </c>
      <c r="V3">
        <f>VLOOKUP(T3,'Scouting Output'!$A$3:$AM$42,37,FALSE)</f>
        <v>6.522222222222223</v>
      </c>
      <c r="W3">
        <f>VLOOKUP(T3,'Scouting Output'!$A$3:$AM$42,38,FALSE)</f>
        <v>2.4444444444444446</v>
      </c>
      <c r="X3">
        <f>VLOOKUP(T3,'Scouting Output'!$A$3:$AM$42,39,FALSE)</f>
        <v>2.3633333333333333</v>
      </c>
      <c r="Y3">
        <f>VLOOKUP(T3,'Scouting Output'!$A$3:$AM$42,30,FALSE)</f>
        <v>2</v>
      </c>
      <c r="Z3">
        <f>VLOOKUP(T3, 'Scouting Output'!$A$3:$AM$42, 3, FALSE)</f>
        <v>21.555555555555554</v>
      </c>
    </row>
    <row r="4" spans="1:26">
      <c r="A4">
        <v>2386</v>
      </c>
      <c r="B4" t="s">
        <v>200</v>
      </c>
      <c r="C4">
        <f>IFERROR(VLOOKUP($A4,'Scouting Output'!$A$3:$AM$100,37,FALSE), -999)</f>
        <v>10.222222222222221</v>
      </c>
      <c r="D4">
        <f>IFERROR(VLOOKUP($A4,'Scouting Output'!$A$3:$AM$100,38,FALSE), -999)</f>
        <v>-0.55555555555555536</v>
      </c>
      <c r="E4">
        <f>IFERROR(VLOOKUP($A4,'Scouting Output'!$A$3:$AM$100,39,FALSE), -999)</f>
        <v>2.9722222222222219</v>
      </c>
      <c r="F4">
        <f>IFERROR(VLOOKUP($A4, 'Scouting Output'!$A$3:$AM107, 30, FALSE), -999)</f>
        <v>3</v>
      </c>
      <c r="G4">
        <f>IFERROR(VLOOKUP($A4, 'Scouting Output'!$A$3:$AM$100, 3, FALSE), -999)</f>
        <v>28</v>
      </c>
      <c r="L4">
        <f>'Scouting Output'!A22</f>
        <v>4519</v>
      </c>
      <c r="M4" t="str">
        <f>'Scouting Output'!$B5</f>
        <v>Gearheads</v>
      </c>
      <c r="N4">
        <f>VLOOKUP(L4,'Scouting Output'!$A$3:$AM$42,37,FALSE)</f>
        <v>1.5466666666666669</v>
      </c>
      <c r="O4">
        <f>VLOOKUP(L4,'Scouting Output'!$A$3:$AM$42,38,FALSE)</f>
        <v>-0.44444444444444442</v>
      </c>
      <c r="P4">
        <f>VLOOKUP(L4,'Scouting Output'!$A$3:$AM$42,39,FALSE)</f>
        <v>0.77444444444444449</v>
      </c>
      <c r="Q4">
        <f>VLOOKUP(L4,'Scouting Output'!$A$3:$AM$42,30,FALSE)</f>
        <v>1.2222222222222223</v>
      </c>
      <c r="R4">
        <f>VLOOKUP(L4, 'Scouting Output'!$A$3:$AM$42, 3, FALSE)</f>
        <v>12.444444444444446</v>
      </c>
      <c r="T4">
        <f>'Scouting Output'!$A5</f>
        <v>746</v>
      </c>
      <c r="U4" t="str">
        <f>'Scouting Output'!$B5</f>
        <v>Gearheads</v>
      </c>
      <c r="V4">
        <f>VLOOKUP(T4,'Scouting Output'!$A$3:$AM$42,37,FALSE)</f>
        <v>-21</v>
      </c>
      <c r="W4">
        <f>VLOOKUP(T4,'Scouting Output'!$A$3:$AM$42,38,FALSE)</f>
        <v>-1.5</v>
      </c>
      <c r="X4">
        <f>VLOOKUP(T4,'Scouting Output'!$A$3:$AM$42,39,FALSE)</f>
        <v>-1</v>
      </c>
      <c r="Y4">
        <f>VLOOKUP(T4,'Scouting Output'!$A$3:$AM$42,30,FALSE)</f>
        <v>0</v>
      </c>
      <c r="Z4">
        <f>VLOOKUP(T4, 'Scouting Output'!$A$3:$AM$42, 3, FALSE)</f>
        <v>0</v>
      </c>
    </row>
    <row r="5" spans="1:26">
      <c r="A5">
        <v>4907</v>
      </c>
      <c r="B5" t="s">
        <v>212</v>
      </c>
      <c r="C5">
        <f>IFERROR(VLOOKUP($A5,'Scouting Output'!$A$3:$AM$100,37,FALSE), -999)</f>
        <v>7.1</v>
      </c>
      <c r="D5">
        <f>IFERROR(VLOOKUP($A5,'Scouting Output'!$A$3:$AM$100,38,FALSE), -999)</f>
        <v>-1.4000000000000001</v>
      </c>
      <c r="E5">
        <f>IFERROR(VLOOKUP($A5,'Scouting Output'!$A$3:$AM$100,39,FALSE), -999)</f>
        <v>-9.9000000000000005E-2</v>
      </c>
      <c r="F5">
        <f>IFERROR(VLOOKUP($A5, 'Scouting Output'!$A$3:$AM122, 30, FALSE), -999)</f>
        <v>2.5</v>
      </c>
      <c r="G5">
        <f>IFERROR(VLOOKUP($A5, 'Scouting Output'!$A$3:$AM$100, 3, FALSE), -999)</f>
        <v>15</v>
      </c>
      <c r="L5">
        <f>'Scouting Output'!A6</f>
        <v>919</v>
      </c>
      <c r="M5" t="str">
        <f>'Scouting Output'!$B6</f>
        <v>Tiger Techs</v>
      </c>
      <c r="N5">
        <f>VLOOKUP(L5,'Scouting Output'!$A$3:$AM$42,37,FALSE)</f>
        <v>-21</v>
      </c>
      <c r="O5">
        <f>VLOOKUP(L5,'Scouting Output'!$A$3:$AM$42,38,FALSE)</f>
        <v>-1.5</v>
      </c>
      <c r="P5">
        <f>VLOOKUP(L5,'Scouting Output'!$A$3:$AM$42,39,FALSE)</f>
        <v>-1</v>
      </c>
      <c r="Q5">
        <f>VLOOKUP(L5,'Scouting Output'!$A$3:$AM$42,30,FALSE)</f>
        <v>0</v>
      </c>
      <c r="R5">
        <f>VLOOKUP(L5, 'Scouting Output'!$A$3:$AM$42, 3, FALSE)</f>
        <v>0</v>
      </c>
      <c r="T5">
        <f>'Scouting Output'!$A6</f>
        <v>919</v>
      </c>
      <c r="U5" t="str">
        <f>'Scouting Output'!$B6</f>
        <v>Tiger Techs</v>
      </c>
      <c r="V5">
        <f>VLOOKUP(T5,'Scouting Output'!$A$3:$AM$42,37,FALSE)</f>
        <v>-21</v>
      </c>
      <c r="W5">
        <f>VLOOKUP(T5,'Scouting Output'!$A$3:$AM$42,38,FALSE)</f>
        <v>-1.5</v>
      </c>
      <c r="X5">
        <f>VLOOKUP(T5,'Scouting Output'!$A$3:$AM$42,39,FALSE)</f>
        <v>-1</v>
      </c>
      <c r="Y5">
        <f>VLOOKUP(T5,'Scouting Output'!$A$3:$AM$42,30,FALSE)</f>
        <v>0</v>
      </c>
      <c r="Z5">
        <f>VLOOKUP(T5, 'Scouting Output'!$A$3:$AM$42, 3, FALSE)</f>
        <v>0</v>
      </c>
    </row>
    <row r="6" spans="1:26">
      <c r="A6">
        <v>4152</v>
      </c>
      <c r="B6" t="s">
        <v>206</v>
      </c>
      <c r="C6">
        <f>IFERROR(VLOOKUP($A6,'Scouting Output'!$A$3:$AM$100,37,FALSE), -999)</f>
        <v>7.0419999999999998</v>
      </c>
      <c r="D6">
        <f>IFERROR(VLOOKUP($A6,'Scouting Output'!$A$3:$AM$100,38,FALSE), -999)</f>
        <v>3.3000000000000007</v>
      </c>
      <c r="E6">
        <f>IFERROR(VLOOKUP($A6,'Scouting Output'!$A$3:$AM$100,39,FALSE), -999)</f>
        <v>1.1260000000000001</v>
      </c>
      <c r="F6">
        <f>IFERROR(VLOOKUP($A6, 'Scouting Output'!$A$3:$AM114, 30, FALSE), -999)</f>
        <v>1.6</v>
      </c>
      <c r="G6">
        <f>IFERROR(VLOOKUP($A6, 'Scouting Output'!$A$3:$AM$100, 3, FALSE), -999)</f>
        <v>19.8</v>
      </c>
      <c r="I6" t="s">
        <v>323</v>
      </c>
      <c r="L6">
        <f>'Scouting Output'!A36</f>
        <v>5406</v>
      </c>
      <c r="M6" t="str">
        <f>'Scouting Output'!$B7</f>
        <v>Agincourt Skunkworks</v>
      </c>
      <c r="N6">
        <f>VLOOKUP(L6,'Scouting Output'!$A$3:$AM$42,37,FALSE)</f>
        <v>-21</v>
      </c>
      <c r="O6">
        <f>VLOOKUP(L6,'Scouting Output'!$A$3:$AM$42,38,FALSE)</f>
        <v>-1.5</v>
      </c>
      <c r="P6">
        <f>VLOOKUP(L6,'Scouting Output'!$A$3:$AM$42,39,FALSE)</f>
        <v>-1</v>
      </c>
      <c r="Q6">
        <f>VLOOKUP(L6,'Scouting Output'!$A$3:$AM$42,30,FALSE)</f>
        <v>0</v>
      </c>
      <c r="R6">
        <f>VLOOKUP(L6, 'Scouting Output'!$A$3:$AM$42, 3, FALSE)</f>
        <v>0</v>
      </c>
      <c r="T6">
        <f>'Scouting Output'!$A7</f>
        <v>1246</v>
      </c>
      <c r="U6" t="str">
        <f>'Scouting Output'!$B7</f>
        <v>Agincourt Skunkworks</v>
      </c>
      <c r="V6">
        <f>VLOOKUP(T6,'Scouting Output'!$A$3:$AM$42,37,FALSE)</f>
        <v>-21</v>
      </c>
      <c r="W6">
        <f>VLOOKUP(T6,'Scouting Output'!$A$3:$AM$42,38,FALSE)</f>
        <v>-1.5</v>
      </c>
      <c r="X6">
        <f>VLOOKUP(T6,'Scouting Output'!$A$3:$AM$42,39,FALSE)</f>
        <v>-1</v>
      </c>
      <c r="Y6">
        <f>VLOOKUP(T6,'Scouting Output'!$A$3:$AM$42,30,FALSE)</f>
        <v>0</v>
      </c>
      <c r="Z6">
        <f>VLOOKUP(T6, 'Scouting Output'!$A$3:$AM$42, 3, FALSE)</f>
        <v>0</v>
      </c>
    </row>
    <row r="7" spans="1:26">
      <c r="A7">
        <v>610</v>
      </c>
      <c r="B7" t="s">
        <v>198</v>
      </c>
      <c r="C7">
        <f>IFERROR(VLOOKUP($A7,'Scouting Output'!$A$3:$AM$100,37,FALSE), -999)</f>
        <v>6.522222222222223</v>
      </c>
      <c r="D7">
        <f>IFERROR(VLOOKUP($A7,'Scouting Output'!$A$3:$AM$100,38,FALSE), -999)</f>
        <v>2.4444444444444446</v>
      </c>
      <c r="E7">
        <f>IFERROR(VLOOKUP($A7,'Scouting Output'!$A$3:$AM$100,39,FALSE), -999)</f>
        <v>2.3633333333333333</v>
      </c>
      <c r="F7">
        <f>IFERROR(VLOOKUP($A7, 'Scouting Output'!$A$3:$AM100, 30, FALSE), -999)</f>
        <v>2</v>
      </c>
      <c r="G7">
        <f>IFERROR(VLOOKUP($A7, 'Scouting Output'!$A$3:$AM$100, 3, FALSE), -999)</f>
        <v>21.555555555555554</v>
      </c>
      <c r="I7">
        <v>2386</v>
      </c>
      <c r="L7">
        <f>'Scouting Output'!A13</f>
        <v>2708</v>
      </c>
      <c r="M7" t="str">
        <f>'Scouting Output'!$B8</f>
        <v>The Big Bang</v>
      </c>
      <c r="N7">
        <f>VLOOKUP(L7,'Scouting Output'!$A$3:$AM$42,37,FALSE)</f>
        <v>-22.4</v>
      </c>
      <c r="O7">
        <f>VLOOKUP(L7,'Scouting Output'!$A$3:$AM$42,38,FALSE)</f>
        <v>-3.8125</v>
      </c>
      <c r="P7">
        <f>VLOOKUP(L7,'Scouting Output'!$A$3:$AM$42,39,FALSE)</f>
        <v>-0.78</v>
      </c>
      <c r="Q7">
        <f>VLOOKUP(L7,'Scouting Output'!$A$3:$AM$42,30,FALSE)</f>
        <v>0.75</v>
      </c>
      <c r="R7">
        <f>VLOOKUP(L7, 'Scouting Output'!$A$3:$AM$42, 3, FALSE)</f>
        <v>4.625</v>
      </c>
      <c r="T7">
        <f>'Scouting Output'!$A8</f>
        <v>1285</v>
      </c>
      <c r="U7" t="str">
        <f>'Scouting Output'!$B8</f>
        <v>The Big Bang</v>
      </c>
      <c r="V7">
        <f>VLOOKUP(T7,'Scouting Output'!$A$3:$AM$42,37,FALSE)</f>
        <v>-21</v>
      </c>
      <c r="W7">
        <f>VLOOKUP(T7,'Scouting Output'!$A$3:$AM$42,38,FALSE)</f>
        <v>-1.5</v>
      </c>
      <c r="X7">
        <f>VLOOKUP(T7,'Scouting Output'!$A$3:$AM$42,39,FALSE)</f>
        <v>-1</v>
      </c>
      <c r="Y7">
        <f>VLOOKUP(T7,'Scouting Output'!$A$3:$AM$42,30,FALSE)</f>
        <v>0</v>
      </c>
      <c r="Z7">
        <f>VLOOKUP(T7, 'Scouting Output'!$A$3:$AM$42, 3, FALSE)</f>
        <v>0</v>
      </c>
    </row>
    <row r="8" spans="1:26">
      <c r="A8">
        <v>6867</v>
      </c>
      <c r="B8" t="s">
        <v>227</v>
      </c>
      <c r="C8">
        <f>IFERROR(VLOOKUP($A8,'Scouting Output'!$A$3:$AM$100,37,FALSE), -999)</f>
        <v>4.8472727272727267</v>
      </c>
      <c r="D8">
        <f>IFERROR(VLOOKUP($A8,'Scouting Output'!$A$3:$AM$100,38,FALSE), -999)</f>
        <v>0.36363636363636287</v>
      </c>
      <c r="E8">
        <f>IFERROR(VLOOKUP($A8,'Scouting Output'!$A$3:$AM$100,39,FALSE), -999)</f>
        <v>-0.35818181818181821</v>
      </c>
      <c r="F8">
        <f>IFERROR(VLOOKUP($A8, 'Scouting Output'!$A$3:$AM148, 30, FALSE), -999)</f>
        <v>1.4545454545454546</v>
      </c>
      <c r="G8">
        <f>IFERROR(VLOOKUP($A8, 'Scouting Output'!$A$3:$AM$100, 3, FALSE), -999)</f>
        <v>16.818181818181817</v>
      </c>
      <c r="I8">
        <v>4946</v>
      </c>
      <c r="L8">
        <f>'Scouting Output'!A5</f>
        <v>746</v>
      </c>
      <c r="M8" t="str">
        <f>'Scouting Output'!$B9</f>
        <v>Red Devils</v>
      </c>
      <c r="N8">
        <f>VLOOKUP(L8,'Scouting Output'!$A$3:$AM$42,37,FALSE)</f>
        <v>-21</v>
      </c>
      <c r="O8">
        <f>VLOOKUP(L8,'Scouting Output'!$A$3:$AM$42,38,FALSE)</f>
        <v>-1.5</v>
      </c>
      <c r="P8">
        <f>VLOOKUP(L8,'Scouting Output'!$A$3:$AM$42,39,FALSE)</f>
        <v>-1</v>
      </c>
      <c r="Q8">
        <f>VLOOKUP(L8,'Scouting Output'!$A$3:$AM$42,30,FALSE)</f>
        <v>0</v>
      </c>
      <c r="R8">
        <f>VLOOKUP(L8, 'Scouting Output'!$A$3:$AM$42, 3, FALSE)</f>
        <v>0</v>
      </c>
      <c r="T8">
        <f>'Scouting Output'!$A9</f>
        <v>1334</v>
      </c>
      <c r="U8" t="str">
        <f>'Scouting Output'!$B9</f>
        <v>Red Devils</v>
      </c>
      <c r="V8">
        <f>VLOOKUP(T8,'Scouting Output'!$A$3:$AM$42,37,FALSE)</f>
        <v>-21</v>
      </c>
      <c r="W8">
        <f>VLOOKUP(T8,'Scouting Output'!$A$3:$AM$42,38,FALSE)</f>
        <v>-1.5</v>
      </c>
      <c r="X8">
        <f>VLOOKUP(T8,'Scouting Output'!$A$3:$AM$42,39,FALSE)</f>
        <v>-1</v>
      </c>
      <c r="Y8">
        <f>VLOOKUP(T8,'Scouting Output'!$A$3:$AM$42,30,FALSE)</f>
        <v>0</v>
      </c>
      <c r="Z8">
        <f>VLOOKUP(T8, 'Scouting Output'!$A$3:$AM$42, 3, FALSE)</f>
        <v>0</v>
      </c>
    </row>
    <row r="9" spans="1:26">
      <c r="A9">
        <v>188</v>
      </c>
      <c r="B9" t="s">
        <v>197</v>
      </c>
      <c r="C9">
        <f>IFERROR(VLOOKUP($A9,'Scouting Output'!$A$3:$AM$42,37,FALSE), -999)</f>
        <v>4.1111111111111116</v>
      </c>
      <c r="D9">
        <f>IFERROR(VLOOKUP($A9,'Scouting Output'!$A$3:$AM$42,38,FALSE), -999)</f>
        <v>-0.38888888888888884</v>
      </c>
      <c r="E9">
        <f>IFERROR(VLOOKUP($A9,'Scouting Output'!$A$3:$AM$42,39,FALSE), -999)</f>
        <v>3.5555555555555554</v>
      </c>
      <c r="F9">
        <f>IFERROR(VLOOKUP($A9, 'Scouting Output'!$A$3:$AM65, 30, FALSE), -999)</f>
        <v>0.66666666666666663</v>
      </c>
      <c r="G9">
        <f>IFERROR(VLOOKUP($A9, 'Scouting Output'!$A$3:$AM$42, 3, FALSE), -999)</f>
        <v>18.777777777777779</v>
      </c>
      <c r="I9" s="125">
        <v>2994</v>
      </c>
      <c r="J9" t="s">
        <v>324</v>
      </c>
      <c r="L9">
        <f>'Scouting Output'!A4</f>
        <v>610</v>
      </c>
      <c r="M9" t="str">
        <f>'Scouting Output'!$B10</f>
        <v>MMRambotics</v>
      </c>
      <c r="N9">
        <f>VLOOKUP(L9,'Scouting Output'!$A$3:$AM$42,37,FALSE)</f>
        <v>6.522222222222223</v>
      </c>
      <c r="O9">
        <f>VLOOKUP(L9,'Scouting Output'!$A$3:$AM$42,38,FALSE)</f>
        <v>2.4444444444444446</v>
      </c>
      <c r="P9">
        <f>VLOOKUP(L9,'Scouting Output'!$A$3:$AM$42,39,FALSE)</f>
        <v>2.3633333333333333</v>
      </c>
      <c r="Q9">
        <f>VLOOKUP(L9,'Scouting Output'!$A$3:$AM$42,30,FALSE)</f>
        <v>2</v>
      </c>
      <c r="R9">
        <f>VLOOKUP(L9, 'Scouting Output'!$A$3:$AM$42, 3, FALSE)</f>
        <v>21.555555555555554</v>
      </c>
      <c r="T9">
        <f>'Scouting Output'!$A10</f>
        <v>2200</v>
      </c>
      <c r="U9" t="str">
        <f>'Scouting Output'!$B10</f>
        <v>MMRambotics</v>
      </c>
      <c r="V9">
        <f>VLOOKUP(T9,'Scouting Output'!$A$3:$AM$42,37,FALSE)</f>
        <v>10.9975</v>
      </c>
      <c r="W9">
        <f>VLOOKUP(T9,'Scouting Output'!$A$3:$AM$42,38,FALSE)</f>
        <v>1.1875</v>
      </c>
      <c r="X9">
        <f>VLOOKUP(T9,'Scouting Output'!$A$3:$AM$42,39,FALSE)</f>
        <v>2.3774999999999999</v>
      </c>
      <c r="Y9">
        <f>VLOOKUP(T9,'Scouting Output'!$A$3:$AM$42,30,FALSE)</f>
        <v>2.625</v>
      </c>
      <c r="Z9">
        <f>VLOOKUP(T9, 'Scouting Output'!$A$3:$AM$42, 3, FALSE)</f>
        <v>28.125</v>
      </c>
    </row>
    <row r="10" spans="1:26">
      <c r="A10">
        <v>4476</v>
      </c>
      <c r="B10" t="s">
        <v>207</v>
      </c>
      <c r="C10">
        <f>IFERROR(VLOOKUP($A10,'Scouting Output'!$A$3:$AM$100,37,FALSE), -999)</f>
        <v>3.7345454545454548</v>
      </c>
      <c r="D10">
        <f>IFERROR(VLOOKUP($A10,'Scouting Output'!$A$3:$AM$100,38,FALSE), -999)</f>
        <v>0.5454545454545453</v>
      </c>
      <c r="E10">
        <f>IFERROR(VLOOKUP($A10,'Scouting Output'!$A$3:$AM$100,39,FALSE), -999)</f>
        <v>2.8927272727272726</v>
      </c>
      <c r="F10">
        <f>IFERROR(VLOOKUP($A10, 'Scouting Output'!$A$3:$AM117, 30, FALSE), -999)</f>
        <v>0.54545454545454541</v>
      </c>
      <c r="G10">
        <f>IFERROR(VLOOKUP($A10, 'Scouting Output'!$A$3:$AM$100, 3, FALSE), -999)</f>
        <v>18.36363636363636</v>
      </c>
      <c r="L10">
        <f>'Scouting Output'!A28</f>
        <v>4939</v>
      </c>
      <c r="M10" t="str">
        <f>'Scouting Output'!$B11</f>
        <v>Trojans</v>
      </c>
      <c r="N10">
        <f>VLOOKUP(L10,'Scouting Output'!$A$3:$AM$42,37,FALSE)</f>
        <v>-21</v>
      </c>
      <c r="O10">
        <f>VLOOKUP(L10,'Scouting Output'!$A$3:$AM$42,38,FALSE)</f>
        <v>-1.5</v>
      </c>
      <c r="P10">
        <f>VLOOKUP(L10,'Scouting Output'!$A$3:$AM$42,39,FALSE)</f>
        <v>-1</v>
      </c>
      <c r="Q10">
        <f>VLOOKUP(L10,'Scouting Output'!$A$3:$AM$42,30,FALSE)</f>
        <v>0</v>
      </c>
      <c r="R10">
        <f>VLOOKUP(L10, 'Scouting Output'!$A$3:$AM$42, 3, FALSE)</f>
        <v>0</v>
      </c>
      <c r="T10">
        <f>'Scouting Output'!$A11</f>
        <v>2386</v>
      </c>
      <c r="U10" t="str">
        <f>'Scouting Output'!$B11</f>
        <v>Trojans</v>
      </c>
      <c r="V10">
        <f>VLOOKUP(T10,'Scouting Output'!$A$3:$AM$42,37,FALSE)</f>
        <v>10.222222222222221</v>
      </c>
      <c r="W10">
        <f>VLOOKUP(T10,'Scouting Output'!$A$3:$AM$42,38,FALSE)</f>
        <v>-0.55555555555555536</v>
      </c>
      <c r="X10">
        <f>VLOOKUP(T10,'Scouting Output'!$A$3:$AM$42,39,FALSE)</f>
        <v>2.9722222222222219</v>
      </c>
      <c r="Y10">
        <f>VLOOKUP(T10,'Scouting Output'!$A$3:$AM$42,30,FALSE)</f>
        <v>3</v>
      </c>
      <c r="Z10">
        <f>VLOOKUP(T10, 'Scouting Output'!$A$3:$AM$42, 3, FALSE)</f>
        <v>28</v>
      </c>
    </row>
    <row r="11" spans="1:26">
      <c r="A11">
        <v>6135</v>
      </c>
      <c r="B11" t="s">
        <v>222</v>
      </c>
      <c r="C11">
        <f>IFERROR(VLOOKUP($A11,'Scouting Output'!$A$3:$AM$100,37,FALSE), -999)</f>
        <v>3.5022222222222226</v>
      </c>
      <c r="D11">
        <f>IFERROR(VLOOKUP($A11,'Scouting Output'!$A$3:$AM$100,38,FALSE), -999)</f>
        <v>0.55555555555555558</v>
      </c>
      <c r="E11">
        <f>IFERROR(VLOOKUP($A11,'Scouting Output'!$A$3:$AM$100,39,FALSE), -999)</f>
        <v>2.2244444444444444</v>
      </c>
      <c r="F11">
        <f>IFERROR(VLOOKUP($A11, 'Scouting Output'!$A$3:$AM140, 30, FALSE), -999)</f>
        <v>1.1111111111111112</v>
      </c>
      <c r="G11">
        <f>IFERROR(VLOOKUP($A11, 'Scouting Output'!$A$3:$AM$100, 3, FALSE), -999)</f>
        <v>18.666666666666664</v>
      </c>
      <c r="L11">
        <f>'Scouting Output'!A23</f>
        <v>4525</v>
      </c>
      <c r="M11" t="str">
        <f>'Scouting Output'!$B12</f>
        <v>Merge Robotics</v>
      </c>
      <c r="N11">
        <f>VLOOKUP(L11,'Scouting Output'!$A$3:$AM$42,37,FALSE)</f>
        <v>-1.23</v>
      </c>
      <c r="O11">
        <f>VLOOKUP(L11,'Scouting Output'!$A$3:$AM$42,38,FALSE)</f>
        <v>-3.3125</v>
      </c>
      <c r="P11">
        <f>VLOOKUP(L11,'Scouting Output'!$A$3:$AM$42,39,FALSE)</f>
        <v>-0.49375000000000002</v>
      </c>
      <c r="Q11">
        <f>VLOOKUP(L11,'Scouting Output'!$A$3:$AM$42,30,FALSE)</f>
        <v>0.75</v>
      </c>
      <c r="R11">
        <f>VLOOKUP(L11, 'Scouting Output'!$A$3:$AM$42, 3, FALSE)</f>
        <v>7</v>
      </c>
      <c r="T11">
        <f>'Scouting Output'!$A12</f>
        <v>2706</v>
      </c>
      <c r="U11" t="str">
        <f>'Scouting Output'!$B12</f>
        <v>Merge Robotics</v>
      </c>
      <c r="V11">
        <f>VLOOKUP(T11,'Scouting Output'!$A$3:$AM$42,37,FALSE)</f>
        <v>-21</v>
      </c>
      <c r="W11">
        <f>VLOOKUP(T11,'Scouting Output'!$A$3:$AM$42,38,FALSE)</f>
        <v>-1.5</v>
      </c>
      <c r="X11">
        <f>VLOOKUP(T11,'Scouting Output'!$A$3:$AM$42,39,FALSE)</f>
        <v>-1</v>
      </c>
      <c r="Y11">
        <f>VLOOKUP(T11,'Scouting Output'!$A$3:$AM$42,30,FALSE)</f>
        <v>0</v>
      </c>
      <c r="Z11">
        <f>VLOOKUP(T11, 'Scouting Output'!$A$3:$AM$42, 3, FALSE)</f>
        <v>0</v>
      </c>
    </row>
    <row r="12" spans="1:26">
      <c r="A12">
        <v>4946</v>
      </c>
      <c r="B12" t="s">
        <v>214</v>
      </c>
      <c r="C12">
        <f>IFERROR(VLOOKUP($A12,'Scouting Output'!$A$3:$AM$100,37,FALSE), -999)</f>
        <v>2.804444444444445</v>
      </c>
      <c r="D12">
        <f>IFERROR(VLOOKUP($A12,'Scouting Output'!$A$3:$AM$100,38,FALSE), -999)</f>
        <v>1.2777777777777781</v>
      </c>
      <c r="E12">
        <f>IFERROR(VLOOKUP($A12,'Scouting Output'!$A$3:$AM$100,39,FALSE), -999)</f>
        <v>0.91333333333333366</v>
      </c>
      <c r="F12">
        <f>IFERROR(VLOOKUP($A12, 'Scouting Output'!$A$3:$AM125, 30, FALSE), -999)</f>
        <v>0.88888888888888884</v>
      </c>
      <c r="G12">
        <f>IFERROR(VLOOKUP($A12, 'Scouting Output'!$A$3:$AM$100, 3, FALSE), -999)</f>
        <v>14.888888888888889</v>
      </c>
      <c r="L12">
        <f>'Scouting Output'!A32</f>
        <v>5031</v>
      </c>
      <c r="M12" t="str">
        <f>'Scouting Output'!$B13</f>
        <v>Lake Effect Robotics</v>
      </c>
      <c r="N12">
        <f>VLOOKUP(L12,'Scouting Output'!$A$3:$AM$42,37,FALSE)</f>
        <v>-21</v>
      </c>
      <c r="O12">
        <f>VLOOKUP(L12,'Scouting Output'!$A$3:$AM$42,38,FALSE)</f>
        <v>-1.5</v>
      </c>
      <c r="P12">
        <f>VLOOKUP(L12,'Scouting Output'!$A$3:$AM$42,39,FALSE)</f>
        <v>-1</v>
      </c>
      <c r="Q12">
        <f>VLOOKUP(L12,'Scouting Output'!$A$3:$AM$42,30,FALSE)</f>
        <v>0</v>
      </c>
      <c r="R12">
        <f>VLOOKUP(L12, 'Scouting Output'!$A$3:$AM$42, 3, FALSE)</f>
        <v>0</v>
      </c>
      <c r="T12">
        <f>'Scouting Output'!$A13</f>
        <v>2708</v>
      </c>
      <c r="U12" t="str">
        <f>'Scouting Output'!$B13</f>
        <v>Lake Effect Robotics</v>
      </c>
      <c r="V12">
        <f>VLOOKUP(T12,'Scouting Output'!$A$3:$AM$42,37,FALSE)</f>
        <v>-22.4</v>
      </c>
      <c r="W12">
        <f>VLOOKUP(T12,'Scouting Output'!$A$3:$AM$42,38,FALSE)</f>
        <v>-3.8125</v>
      </c>
      <c r="X12">
        <f>VLOOKUP(T12,'Scouting Output'!$A$3:$AM$42,39,FALSE)</f>
        <v>-0.78</v>
      </c>
      <c r="Y12">
        <f>VLOOKUP(T12,'Scouting Output'!$A$3:$AM$42,30,FALSE)</f>
        <v>0.75</v>
      </c>
      <c r="Z12">
        <f>VLOOKUP(T12, 'Scouting Output'!$A$3:$AM$42, 3, FALSE)</f>
        <v>4.625</v>
      </c>
    </row>
    <row r="13" spans="1:26">
      <c r="A13">
        <v>4951</v>
      </c>
      <c r="B13" t="s">
        <v>215</v>
      </c>
      <c r="C13">
        <f>IFERROR(VLOOKUP($A13,'Scouting Output'!$A$3:$AM$100,37,FALSE), -999)</f>
        <v>2.2828571428571434</v>
      </c>
      <c r="D13">
        <f>IFERROR(VLOOKUP($A13,'Scouting Output'!$A$3:$AM$100,38,FALSE), -999)</f>
        <v>-1.2857142857142858</v>
      </c>
      <c r="E13">
        <f>IFERROR(VLOOKUP($A13,'Scouting Output'!$A$3:$AM$100,39,FALSE), -999)</f>
        <v>3.152857142857143</v>
      </c>
      <c r="F13">
        <f>IFERROR(VLOOKUP($A13, 'Scouting Output'!$A$3:$AM126, 30, FALSE), -999)</f>
        <v>1</v>
      </c>
      <c r="G13">
        <f>IFERROR(VLOOKUP($A13, 'Scouting Output'!$A$3:$AM$100, 3, FALSE), -999)</f>
        <v>17.428571428571431</v>
      </c>
      <c r="L13">
        <f>'Scouting Output'!A38</f>
        <v>5426</v>
      </c>
      <c r="M13" t="str">
        <f>'Scouting Output'!$B14</f>
        <v>DM High Voltage</v>
      </c>
      <c r="N13">
        <f>VLOOKUP(L13,'Scouting Output'!$A$3:$AM$42,37,FALSE)</f>
        <v>1.2819999999999998</v>
      </c>
      <c r="O13">
        <f>VLOOKUP(L13,'Scouting Output'!$A$3:$AM$42,38,FALSE)</f>
        <v>-0.45</v>
      </c>
      <c r="P13">
        <f>VLOOKUP(L13,'Scouting Output'!$A$3:$AM$42,39,FALSE)</f>
        <v>-0.29700000000000004</v>
      </c>
      <c r="Q13">
        <f>VLOOKUP(L13,'Scouting Output'!$A$3:$AM$42,30,FALSE)</f>
        <v>0.7</v>
      </c>
      <c r="R13">
        <f>VLOOKUP(L13, 'Scouting Output'!$A$3:$AM$42, 3, FALSE)</f>
        <v>9.9999999999999982</v>
      </c>
      <c r="T13">
        <f>'Scouting Output'!$A14</f>
        <v>2852</v>
      </c>
      <c r="U13" t="str">
        <f>'Scouting Output'!$B14</f>
        <v>DM High Voltage</v>
      </c>
      <c r="V13">
        <f>VLOOKUP(T13,'Scouting Output'!$A$3:$AM$42,37,FALSE)</f>
        <v>0.95142857142857151</v>
      </c>
      <c r="W13">
        <f>VLOOKUP(T13,'Scouting Output'!$A$3:$AM$42,38,FALSE)</f>
        <v>-1.214285714285714</v>
      </c>
      <c r="X13">
        <f>VLOOKUP(T13,'Scouting Output'!$A$3:$AM$42,39,FALSE)</f>
        <v>-1.1771428571428573</v>
      </c>
      <c r="Y13">
        <f>VLOOKUP(T13,'Scouting Output'!$A$3:$AM$42,30,FALSE)</f>
        <v>0.7142857142857143</v>
      </c>
      <c r="Z13">
        <f>VLOOKUP(T13, 'Scouting Output'!$A$3:$AM$42, 3, FALSE)</f>
        <v>9.2857142857142847</v>
      </c>
    </row>
    <row r="14" spans="1:26">
      <c r="A14">
        <v>7735</v>
      </c>
      <c r="B14" t="s">
        <v>236</v>
      </c>
      <c r="C14">
        <f>IFERROR(VLOOKUP($A14,'Scouting Output'!$A$3:$AM$100,37,FALSE), -999)</f>
        <v>2.0379999999999998</v>
      </c>
      <c r="D14">
        <f>IFERROR(VLOOKUP($A14,'Scouting Output'!$A$3:$AM$100,38,FALSE), -999)</f>
        <v>-0.3</v>
      </c>
      <c r="E14">
        <f>IFERROR(VLOOKUP($A14,'Scouting Output'!$A$3:$AM$100,39,FALSE), -999)</f>
        <v>1.5030000000000001</v>
      </c>
      <c r="F14">
        <f>IFERROR(VLOOKUP($A14, 'Scouting Output'!$A$3:$AM162, 30, FALSE), -999)</f>
        <v>0.8</v>
      </c>
      <c r="G14">
        <f>IFERROR(VLOOKUP($A14, 'Scouting Output'!$A$3:$AM$100, 3, FALSE), -999)</f>
        <v>12.700000000000001</v>
      </c>
      <c r="L14">
        <f>'Scouting Output'!A42</f>
        <v>6070</v>
      </c>
      <c r="M14" t="str">
        <f>'Scouting Output'!$B15</f>
        <v>ASTECHZ</v>
      </c>
      <c r="N14">
        <f>VLOOKUP(L14,'Scouting Output'!$A$3:$AM$42,37,FALSE)</f>
        <v>-0.68181818181818243</v>
      </c>
      <c r="O14">
        <f>VLOOKUP(L14,'Scouting Output'!$A$3:$AM$42,38,FALSE)</f>
        <v>-2.3636363636363646</v>
      </c>
      <c r="P14">
        <f>VLOOKUP(L14,'Scouting Output'!$A$3:$AM$42,39,FALSE)</f>
        <v>-1.1136363636363638</v>
      </c>
      <c r="Q14">
        <f>VLOOKUP(L14,'Scouting Output'!$A$3:$AM$42,30,FALSE)</f>
        <v>0.72727272727272729</v>
      </c>
      <c r="R14">
        <f>VLOOKUP(L14, 'Scouting Output'!$A$3:$AM$42, 3, FALSE)</f>
        <v>8.7272727272727266</v>
      </c>
      <c r="T14">
        <f>'Scouting Output'!$A15</f>
        <v>2994</v>
      </c>
      <c r="U14" t="str">
        <f>'Scouting Output'!$B15</f>
        <v>ASTECHZ</v>
      </c>
      <c r="V14">
        <f>VLOOKUP(T14,'Scouting Output'!$A$3:$AM$42,37,FALSE)</f>
        <v>1.9420000000000002</v>
      </c>
      <c r="W14">
        <f>VLOOKUP(T14,'Scouting Output'!$A$3:$AM$42,38,FALSE)</f>
        <v>-3.45</v>
      </c>
      <c r="X14">
        <f>VLOOKUP(T14,'Scouting Output'!$A$3:$AM$42,39,FALSE)</f>
        <v>0.70099999999999996</v>
      </c>
      <c r="Y14">
        <f>VLOOKUP(T14,'Scouting Output'!$A$3:$AM$42,30,FALSE)</f>
        <v>1.6</v>
      </c>
      <c r="Z14">
        <f>VLOOKUP(T14, 'Scouting Output'!$A$3:$AM$42, 3, FALSE)</f>
        <v>13.799999999999999</v>
      </c>
    </row>
    <row r="15" spans="1:26">
      <c r="A15">
        <v>2994</v>
      </c>
      <c r="B15" t="s">
        <v>203</v>
      </c>
      <c r="C15">
        <f>IFERROR(VLOOKUP($A15,'Scouting Output'!$A$3:$AM$100,37,FALSE), -999)</f>
        <v>1.9420000000000002</v>
      </c>
      <c r="D15">
        <f>IFERROR(VLOOKUP($A15,'Scouting Output'!$A$3:$AM$100,38,FALSE), -999)</f>
        <v>-3.45</v>
      </c>
      <c r="E15">
        <f>IFERROR(VLOOKUP($A15,'Scouting Output'!$A$3:$AM$100,39,FALSE), -999)</f>
        <v>0.70099999999999996</v>
      </c>
      <c r="F15">
        <f>IFERROR(VLOOKUP($A15, 'Scouting Output'!$A$3:$AM111, 30, FALSE), -999)</f>
        <v>1.6</v>
      </c>
      <c r="G15">
        <f>IFERROR(VLOOKUP($A15, 'Scouting Output'!$A$3:$AM$100, 3, FALSE), -999)</f>
        <v>13.799999999999999</v>
      </c>
      <c r="L15">
        <f>'Scouting Output'!A20</f>
        <v>4308</v>
      </c>
      <c r="M15" t="str">
        <f>'Scouting Output'!$B16</f>
        <v>Mustang Robotics</v>
      </c>
      <c r="N15">
        <f>VLOOKUP(L15,'Scouting Output'!$A$3:$AM$42,37,FALSE)</f>
        <v>-21</v>
      </c>
      <c r="O15">
        <f>VLOOKUP(L15,'Scouting Output'!$A$3:$AM$42,38,FALSE)</f>
        <v>-1.5</v>
      </c>
      <c r="P15">
        <f>VLOOKUP(L15,'Scouting Output'!$A$3:$AM$42,39,FALSE)</f>
        <v>-1</v>
      </c>
      <c r="Q15">
        <f>VLOOKUP(L15,'Scouting Output'!$A$3:$AM$42,30,FALSE)</f>
        <v>0</v>
      </c>
      <c r="R15">
        <f>VLOOKUP(L15, 'Scouting Output'!$A$3:$AM$42, 3, FALSE)</f>
        <v>0</v>
      </c>
      <c r="T15">
        <f>'Scouting Output'!$A16</f>
        <v>3571</v>
      </c>
      <c r="U15" t="str">
        <f>'Scouting Output'!$B16</f>
        <v>Mustang Robotics</v>
      </c>
      <c r="V15">
        <f>VLOOKUP(T15,'Scouting Output'!$A$3:$AM$42,37,FALSE)</f>
        <v>-1.1875</v>
      </c>
      <c r="W15">
        <f>VLOOKUP(T15,'Scouting Output'!$A$3:$AM$42,38,FALSE)</f>
        <v>-1.1875</v>
      </c>
      <c r="X15">
        <f>VLOOKUP(T15,'Scouting Output'!$A$3:$AM$42,39,FALSE)</f>
        <v>-1.12375</v>
      </c>
      <c r="Y15">
        <f>VLOOKUP(T15,'Scouting Output'!$A$3:$AM$42,30,FALSE)</f>
        <v>0.5</v>
      </c>
      <c r="Z15">
        <f>VLOOKUP(T15, 'Scouting Output'!$A$3:$AM$42, 3, FALSE)</f>
        <v>5.25</v>
      </c>
    </row>
    <row r="16" spans="1:26">
      <c r="A16">
        <v>6866</v>
      </c>
      <c r="B16" t="s">
        <v>226</v>
      </c>
      <c r="C16">
        <f>IFERROR(VLOOKUP($A16,'Scouting Output'!$A$3:$AM$100,37,FALSE), -999)</f>
        <v>1.7324999999999999</v>
      </c>
      <c r="D16">
        <f>IFERROR(VLOOKUP($A16,'Scouting Output'!$A$3:$AM$100,38,FALSE), -999)</f>
        <v>-1</v>
      </c>
      <c r="E16">
        <f>IFERROR(VLOOKUP($A16,'Scouting Output'!$A$3:$AM$100,39,FALSE), -999)</f>
        <v>1.8824999999999998</v>
      </c>
      <c r="F16">
        <f>IFERROR(VLOOKUP($A16, 'Scouting Output'!$A$3:$AM147, 30, FALSE), -999)</f>
        <v>0.875</v>
      </c>
      <c r="G16">
        <f>IFERROR(VLOOKUP($A16, 'Scouting Output'!$A$3:$AM$100, 3, FALSE), -999)</f>
        <v>13.75</v>
      </c>
      <c r="L16">
        <f>'Scouting Output'!A12</f>
        <v>2706</v>
      </c>
      <c r="M16" t="str">
        <f>'Scouting Output'!$B17</f>
        <v>Jag</v>
      </c>
      <c r="N16">
        <f>VLOOKUP(L16,'Scouting Output'!$A$3:$AM$42,37,FALSE)</f>
        <v>-21</v>
      </c>
      <c r="O16">
        <f>VLOOKUP(L16,'Scouting Output'!$A$3:$AM$42,38,FALSE)</f>
        <v>-1.5</v>
      </c>
      <c r="P16">
        <f>VLOOKUP(L16,'Scouting Output'!$A$3:$AM$42,39,FALSE)</f>
        <v>-1</v>
      </c>
      <c r="Q16">
        <f>VLOOKUP(L16,'Scouting Output'!$A$3:$AM$42,30,FALSE)</f>
        <v>0</v>
      </c>
      <c r="R16">
        <f>VLOOKUP(L16, 'Scouting Output'!$A$3:$AM$42, 3, FALSE)</f>
        <v>0</v>
      </c>
      <c r="T16">
        <f>'Scouting Output'!$A17</f>
        <v>4015</v>
      </c>
      <c r="U16" t="str">
        <f>'Scouting Output'!$B17</f>
        <v>Jag</v>
      </c>
      <c r="V16">
        <f>VLOOKUP(T16,'Scouting Output'!$A$3:$AM$42,37,FALSE)</f>
        <v>-0.82799999999999985</v>
      </c>
      <c r="W16">
        <f>VLOOKUP(T16,'Scouting Output'!$A$3:$AM$42,38,FALSE)</f>
        <v>-2.85</v>
      </c>
      <c r="X16">
        <f>VLOOKUP(T16,'Scouting Output'!$A$3:$AM$42,39,FALSE)</f>
        <v>-7.2999999999999843E-2</v>
      </c>
      <c r="Y16">
        <f>VLOOKUP(T16,'Scouting Output'!$A$3:$AM$42,30,FALSE)</f>
        <v>0.5</v>
      </c>
      <c r="Z16">
        <f>VLOOKUP(T16, 'Scouting Output'!$A$3:$AM$42, 3, FALSE)</f>
        <v>9.3000000000000007</v>
      </c>
    </row>
    <row r="17" spans="1:26">
      <c r="A17">
        <v>4936</v>
      </c>
      <c r="B17" t="s">
        <v>213</v>
      </c>
      <c r="C17">
        <f>IFERROR(VLOOKUP($A17,'Scouting Output'!$A$3:$AM$100,37,FALSE), -999)</f>
        <v>1.6800000000000002</v>
      </c>
      <c r="D17">
        <f>IFERROR(VLOOKUP($A17,'Scouting Output'!$A$3:$AM$100,38,FALSE), -999)</f>
        <v>-0.3125</v>
      </c>
      <c r="E17">
        <f>IFERROR(VLOOKUP($A17,'Scouting Output'!$A$3:$AM$100,39,FALSE), -999)</f>
        <v>1.00125</v>
      </c>
      <c r="F17">
        <f>IFERROR(VLOOKUP($A17, 'Scouting Output'!$A$3:$AM123, 30, FALSE), -999)</f>
        <v>0.875</v>
      </c>
      <c r="G17">
        <f>IFERROR(VLOOKUP($A17, 'Scouting Output'!$A$3:$AM$100, 3, FALSE), -999)</f>
        <v>14.875</v>
      </c>
      <c r="L17">
        <f>'Scouting Output'!A19</f>
        <v>4252</v>
      </c>
      <c r="M17" t="str">
        <f>'Scouting Output'!$B18</f>
        <v>Hoya Robotics</v>
      </c>
      <c r="N17">
        <f>VLOOKUP(L17,'Scouting Output'!$A$3:$AM$42,37,FALSE)</f>
        <v>-21</v>
      </c>
      <c r="O17">
        <f>VLOOKUP(L17,'Scouting Output'!$A$3:$AM$42,38,FALSE)</f>
        <v>-1.5</v>
      </c>
      <c r="P17">
        <f>VLOOKUP(L17,'Scouting Output'!$A$3:$AM$42,39,FALSE)</f>
        <v>-1</v>
      </c>
      <c r="Q17">
        <f>VLOOKUP(L17,'Scouting Output'!$A$3:$AM$42,30,FALSE)</f>
        <v>0</v>
      </c>
      <c r="R17">
        <f>VLOOKUP(L17, 'Scouting Output'!$A$3:$AM$42, 3, FALSE)</f>
        <v>0</v>
      </c>
      <c r="T17">
        <f>'Scouting Output'!$A18</f>
        <v>4152</v>
      </c>
      <c r="U17" t="str">
        <f>'Scouting Output'!$B18</f>
        <v>Hoya Robotics</v>
      </c>
      <c r="V17">
        <f>VLOOKUP(T17,'Scouting Output'!$A$3:$AM$42,37,FALSE)</f>
        <v>7.0419999999999998</v>
      </c>
      <c r="W17">
        <f>VLOOKUP(T17,'Scouting Output'!$A$3:$AM$42,38,FALSE)</f>
        <v>3.3000000000000007</v>
      </c>
      <c r="X17">
        <f>VLOOKUP(T17,'Scouting Output'!$A$3:$AM$42,39,FALSE)</f>
        <v>1.1260000000000001</v>
      </c>
      <c r="Y17">
        <f>VLOOKUP(T17,'Scouting Output'!$A$3:$AM$42,30,FALSE)</f>
        <v>1.6</v>
      </c>
      <c r="Z17">
        <f>VLOOKUP(T17, 'Scouting Output'!$A$3:$AM$42, 3, FALSE)</f>
        <v>19.8</v>
      </c>
    </row>
    <row r="18" spans="1:26">
      <c r="A18">
        <v>4519</v>
      </c>
      <c r="B18" t="s">
        <v>208</v>
      </c>
      <c r="C18">
        <f>IFERROR(VLOOKUP($A18,'Scouting Output'!$A$3:$AM$100,37,FALSE), -999)</f>
        <v>1.5466666666666669</v>
      </c>
      <c r="D18">
        <f>IFERROR(VLOOKUP($A18,'Scouting Output'!$A$3:$AM$100,38,FALSE), -999)</f>
        <v>-0.44444444444444442</v>
      </c>
      <c r="E18">
        <f>IFERROR(VLOOKUP($A18,'Scouting Output'!$A$3:$AM$100,39,FALSE), -999)</f>
        <v>0.77444444444444449</v>
      </c>
      <c r="F18">
        <f>IFERROR(VLOOKUP($A18, 'Scouting Output'!$A$3:$AM118, 30, FALSE), -999)</f>
        <v>1.2222222222222223</v>
      </c>
      <c r="G18">
        <f>IFERROR(VLOOKUP($A18, 'Scouting Output'!$A$3:$AM$100, 3, FALSE), -999)</f>
        <v>12.444444444444446</v>
      </c>
      <c r="L18">
        <f>'Scouting Output'!A27</f>
        <v>4936</v>
      </c>
      <c r="M18" t="str">
        <f>'Scouting Output'!$B19</f>
        <v>Cardinal Robotics</v>
      </c>
      <c r="N18">
        <f>VLOOKUP(L18,'Scouting Output'!$A$3:$AM$42,37,FALSE)</f>
        <v>1.6800000000000002</v>
      </c>
      <c r="O18">
        <f>VLOOKUP(L18,'Scouting Output'!$A$3:$AM$42,38,FALSE)</f>
        <v>-0.3125</v>
      </c>
      <c r="P18">
        <f>VLOOKUP(L18,'Scouting Output'!$A$3:$AM$42,39,FALSE)</f>
        <v>1.00125</v>
      </c>
      <c r="Q18">
        <f>VLOOKUP(L18,'Scouting Output'!$A$3:$AM$42,30,FALSE)</f>
        <v>0.875</v>
      </c>
      <c r="R18">
        <f>VLOOKUP(L18, 'Scouting Output'!$A$3:$AM$42, 3, FALSE)</f>
        <v>14.875</v>
      </c>
      <c r="T18">
        <f>'Scouting Output'!$A19</f>
        <v>4252</v>
      </c>
      <c r="U18" t="str">
        <f>'Scouting Output'!$B19</f>
        <v>Cardinal Robotics</v>
      </c>
      <c r="V18">
        <f>VLOOKUP(T18,'Scouting Output'!$A$3:$AM$42,37,FALSE)</f>
        <v>-21</v>
      </c>
      <c r="W18">
        <f>VLOOKUP(T18,'Scouting Output'!$A$3:$AM$42,38,FALSE)</f>
        <v>-1.5</v>
      </c>
      <c r="X18">
        <f>VLOOKUP(T18,'Scouting Output'!$A$3:$AM$42,39,FALSE)</f>
        <v>-1</v>
      </c>
      <c r="Y18">
        <f>VLOOKUP(T18,'Scouting Output'!$A$3:$AM$42,30,FALSE)</f>
        <v>0</v>
      </c>
      <c r="Z18">
        <f>VLOOKUP(T18, 'Scouting Output'!$A$3:$AM$42, 3, FALSE)</f>
        <v>0</v>
      </c>
    </row>
    <row r="19" spans="1:26">
      <c r="A19">
        <v>5036</v>
      </c>
      <c r="B19" t="s">
        <v>216</v>
      </c>
      <c r="C19">
        <f>IFERROR(VLOOKUP($A19,'Scouting Output'!$A$3:$AM$100,37,FALSE), -999)</f>
        <v>1.4600000000000004</v>
      </c>
      <c r="D19">
        <f>IFERROR(VLOOKUP($A19,'Scouting Output'!$A$3:$AM$100,38,FALSE), -999)</f>
        <v>-1.45</v>
      </c>
      <c r="E19">
        <f>IFERROR(VLOOKUP($A19,'Scouting Output'!$A$3:$AM$100,39,FALSE), -999)</f>
        <v>3.0960000000000001</v>
      </c>
      <c r="F19">
        <f>IFERROR(VLOOKUP($A19, 'Scouting Output'!$A$3:$AM129, 30, FALSE), -999)</f>
        <v>0.8</v>
      </c>
      <c r="G19">
        <f>IFERROR(VLOOKUP($A19, 'Scouting Output'!$A$3:$AM$100, 3, FALSE), -999)</f>
        <v>15.399999999999999</v>
      </c>
      <c r="L19">
        <f>'Scouting Output'!A14</f>
        <v>2852</v>
      </c>
      <c r="M19" t="str">
        <f>'Scouting Output'!$B20</f>
        <v>ABSOLUTE ROBOTICS</v>
      </c>
      <c r="N19">
        <f>VLOOKUP(L19,'Scouting Output'!$A$3:$AM$42,37,FALSE)</f>
        <v>0.95142857142857151</v>
      </c>
      <c r="O19">
        <f>VLOOKUP(L19,'Scouting Output'!$A$3:$AM$42,38,FALSE)</f>
        <v>-1.214285714285714</v>
      </c>
      <c r="P19">
        <f>VLOOKUP(L19,'Scouting Output'!$A$3:$AM$42,39,FALSE)</f>
        <v>-1.1771428571428573</v>
      </c>
      <c r="Q19">
        <f>VLOOKUP(L19,'Scouting Output'!$A$3:$AM$42,30,FALSE)</f>
        <v>0.7142857142857143</v>
      </c>
      <c r="R19">
        <f>VLOOKUP(L19, 'Scouting Output'!$A$3:$AM$42, 3, FALSE)</f>
        <v>9.2857142857142847</v>
      </c>
      <c r="T19">
        <f>'Scouting Output'!$A20</f>
        <v>4308</v>
      </c>
      <c r="U19" t="str">
        <f>'Scouting Output'!$B20</f>
        <v>ABSOLUTE ROBOTICS</v>
      </c>
      <c r="V19">
        <f>VLOOKUP(T19,'Scouting Output'!$A$3:$AM$42,37,FALSE)</f>
        <v>-21</v>
      </c>
      <c r="W19">
        <f>VLOOKUP(T19,'Scouting Output'!$A$3:$AM$42,38,FALSE)</f>
        <v>-1.5</v>
      </c>
      <c r="X19">
        <f>VLOOKUP(T19,'Scouting Output'!$A$3:$AM$42,39,FALSE)</f>
        <v>-1</v>
      </c>
      <c r="Y19">
        <f>VLOOKUP(T19,'Scouting Output'!$A$3:$AM$42,30,FALSE)</f>
        <v>0</v>
      </c>
      <c r="Z19">
        <f>VLOOKUP(T19, 'Scouting Output'!$A$3:$AM$42, 3, FALSE)</f>
        <v>0</v>
      </c>
    </row>
    <row r="20" spans="1:26">
      <c r="A20">
        <v>7267</v>
      </c>
      <c r="B20" t="s">
        <v>230</v>
      </c>
      <c r="C20">
        <f>IFERROR(VLOOKUP($A20,'Scouting Output'!$A$3:$AM$100,37,FALSE), -999)</f>
        <v>1.3488888888888892</v>
      </c>
      <c r="D20">
        <f>IFERROR(VLOOKUP($A20,'Scouting Output'!$A$3:$AM$100,38,FALSE), -999)</f>
        <v>-1</v>
      </c>
      <c r="E20">
        <f>IFERROR(VLOOKUP($A20,'Scouting Output'!$A$3:$AM$100,39,FALSE), -999)</f>
        <v>2.8833333333333333</v>
      </c>
      <c r="F20">
        <f>IFERROR(VLOOKUP($A20, 'Scouting Output'!$A$3:$AM153, 30, FALSE), -999)</f>
        <v>0.44444444444444442</v>
      </c>
      <c r="G20">
        <f>IFERROR(VLOOKUP($A20, 'Scouting Output'!$A$3:$AM$100, 3, FALSE), -999)</f>
        <v>13.888888888888891</v>
      </c>
      <c r="L20">
        <f>'Scouting Output'!A11</f>
        <v>2386</v>
      </c>
      <c r="M20" t="str">
        <f>'Scouting Output'!$B21</f>
        <v>W.A.F.F.L.E.S</v>
      </c>
      <c r="N20">
        <f>VLOOKUP(L20,'Scouting Output'!$A$3:$AM$42,37,FALSE)</f>
        <v>10.222222222222221</v>
      </c>
      <c r="O20">
        <f>VLOOKUP(L20,'Scouting Output'!$A$3:$AM$42,38,FALSE)</f>
        <v>-0.55555555555555536</v>
      </c>
      <c r="P20">
        <f>VLOOKUP(L20,'Scouting Output'!$A$3:$AM$42,39,FALSE)</f>
        <v>2.9722222222222219</v>
      </c>
      <c r="Q20">
        <f>VLOOKUP(L20,'Scouting Output'!$A$3:$AM$42,30,FALSE)</f>
        <v>3</v>
      </c>
      <c r="R20">
        <f>VLOOKUP(L20, 'Scouting Output'!$A$3:$AM$42, 3, FALSE)</f>
        <v>28</v>
      </c>
      <c r="T20">
        <f>'Scouting Output'!$A21</f>
        <v>4476</v>
      </c>
      <c r="U20" t="str">
        <f>'Scouting Output'!$B21</f>
        <v>W.A.F.F.L.E.S</v>
      </c>
      <c r="V20">
        <f>VLOOKUP(T20,'Scouting Output'!$A$3:$AM$42,37,FALSE)</f>
        <v>3.7345454545454548</v>
      </c>
      <c r="W20">
        <f>VLOOKUP(T20,'Scouting Output'!$A$3:$AM$42,38,FALSE)</f>
        <v>0.5454545454545453</v>
      </c>
      <c r="X20">
        <f>VLOOKUP(T20,'Scouting Output'!$A$3:$AM$42,39,FALSE)</f>
        <v>2.8927272727272726</v>
      </c>
      <c r="Y20">
        <f>VLOOKUP(T20,'Scouting Output'!$A$3:$AM$42,30,FALSE)</f>
        <v>0.54545454545454541</v>
      </c>
      <c r="Z20">
        <f>VLOOKUP(T20, 'Scouting Output'!$A$3:$AM$42, 3, FALSE)</f>
        <v>18.36363636363636</v>
      </c>
    </row>
    <row r="21" spans="1:26">
      <c r="A21">
        <v>5426</v>
      </c>
      <c r="B21" t="s">
        <v>218</v>
      </c>
      <c r="C21">
        <f>IFERROR(VLOOKUP($A21,'Scouting Output'!$A$3:$AM$100,37,FALSE), -999)</f>
        <v>1.2819999999999998</v>
      </c>
      <c r="D21">
        <f>IFERROR(VLOOKUP($A21,'Scouting Output'!$A$3:$AM$100,38,FALSE), -999)</f>
        <v>-0.45</v>
      </c>
      <c r="E21">
        <f>IFERROR(VLOOKUP($A21,'Scouting Output'!$A$3:$AM$100,39,FALSE), -999)</f>
        <v>-0.29700000000000004</v>
      </c>
      <c r="F21">
        <f>IFERROR(VLOOKUP($A21, 'Scouting Output'!$A$3:$AM134, 30, FALSE), -999)</f>
        <v>0.7</v>
      </c>
      <c r="G21">
        <f>IFERROR(VLOOKUP($A21, 'Scouting Output'!$A$3:$AM$100, 3, FALSE), -999)</f>
        <v>9.9999999999999982</v>
      </c>
      <c r="L21">
        <f>'Scouting Output'!A9</f>
        <v>1334</v>
      </c>
      <c r="M21" t="str">
        <f>'Scouting Output'!$B22</f>
        <v>King's Robotics</v>
      </c>
      <c r="N21">
        <f>VLOOKUP(L21,'Scouting Output'!$A$3:$AM$42,37,FALSE)</f>
        <v>-21</v>
      </c>
      <c r="O21">
        <f>VLOOKUP(L21,'Scouting Output'!$A$3:$AM$42,38,FALSE)</f>
        <v>-1.5</v>
      </c>
      <c r="P21">
        <f>VLOOKUP(L21,'Scouting Output'!$A$3:$AM$42,39,FALSE)</f>
        <v>-1</v>
      </c>
      <c r="Q21">
        <f>VLOOKUP(L21,'Scouting Output'!$A$3:$AM$42,30,FALSE)</f>
        <v>0</v>
      </c>
      <c r="R21">
        <f>VLOOKUP(L21, 'Scouting Output'!$A$3:$AM$42, 3, FALSE)</f>
        <v>0</v>
      </c>
      <c r="T21">
        <f>'Scouting Output'!$A22</f>
        <v>4519</v>
      </c>
      <c r="U21" t="str">
        <f>'Scouting Output'!$B22</f>
        <v>King's Robotics</v>
      </c>
      <c r="V21">
        <f>VLOOKUP(T21,'Scouting Output'!$A$3:$AM$42,37,FALSE)</f>
        <v>1.5466666666666669</v>
      </c>
      <c r="W21">
        <f>VLOOKUP(T21,'Scouting Output'!$A$3:$AM$42,38,FALSE)</f>
        <v>-0.44444444444444442</v>
      </c>
      <c r="X21">
        <f>VLOOKUP(T21,'Scouting Output'!$A$3:$AM$42,39,FALSE)</f>
        <v>0.77444444444444449</v>
      </c>
      <c r="Y21">
        <f>VLOOKUP(T21,'Scouting Output'!$A$3:$AM$42,30,FALSE)</f>
        <v>1.2222222222222223</v>
      </c>
      <c r="Z21">
        <f>VLOOKUP(T21, 'Scouting Output'!$A$3:$AM$42, 3, FALSE)</f>
        <v>12.444444444444446</v>
      </c>
    </row>
    <row r="22" spans="1:26">
      <c r="A22">
        <v>5409</v>
      </c>
      <c r="B22" t="s">
        <v>217</v>
      </c>
      <c r="C22">
        <f>IFERROR(VLOOKUP($A22,'Scouting Output'!$A$3:$AM$100,37,FALSE), -999)</f>
        <v>0.98222222222222266</v>
      </c>
      <c r="D22">
        <f>IFERROR(VLOOKUP($A22,'Scouting Output'!$A$3:$AM$100,38,FALSE), -999)</f>
        <v>-0.94444444444444442</v>
      </c>
      <c r="E22">
        <f>IFERROR(VLOOKUP($A22,'Scouting Output'!$A$3:$AM$100,39,FALSE), -999)</f>
        <v>2.1344444444444446</v>
      </c>
      <c r="F22">
        <f>IFERROR(VLOOKUP($A22, 'Scouting Output'!$A$3:$AM133, 30, FALSE), -999)</f>
        <v>0.77777777777777779</v>
      </c>
      <c r="G22">
        <f>IFERROR(VLOOKUP($A22, 'Scouting Output'!$A$3:$AM$100, 3, FALSE), -999)</f>
        <v>13.222222222222221</v>
      </c>
      <c r="L22">
        <f>'Scouting Output'!A31</f>
        <v>5024</v>
      </c>
      <c r="M22" t="str">
        <f>'Scouting Output'!$B23</f>
        <v>Renaissance Robotics</v>
      </c>
      <c r="N22">
        <f>VLOOKUP(L22,'Scouting Output'!$A$3:$AM$42,37,FALSE)</f>
        <v>-21</v>
      </c>
      <c r="O22">
        <f>VLOOKUP(L22,'Scouting Output'!$A$3:$AM$42,38,FALSE)</f>
        <v>-1.5</v>
      </c>
      <c r="P22">
        <f>VLOOKUP(L22,'Scouting Output'!$A$3:$AM$42,39,FALSE)</f>
        <v>-1</v>
      </c>
      <c r="Q22">
        <f>VLOOKUP(L22,'Scouting Output'!$A$3:$AM$42,30,FALSE)</f>
        <v>0</v>
      </c>
      <c r="R22">
        <f>VLOOKUP(L22, 'Scouting Output'!$A$3:$AM$42, 3, FALSE)</f>
        <v>0</v>
      </c>
      <c r="T22">
        <f>'Scouting Output'!$A23</f>
        <v>4525</v>
      </c>
      <c r="U22" t="str">
        <f>'Scouting Output'!$B23</f>
        <v>Renaissance Robotics</v>
      </c>
      <c r="V22">
        <f>VLOOKUP(T22,'Scouting Output'!$A$3:$AM$42,37,FALSE)</f>
        <v>-1.23</v>
      </c>
      <c r="W22">
        <f>VLOOKUP(T22,'Scouting Output'!$A$3:$AM$42,38,FALSE)</f>
        <v>-3.3125</v>
      </c>
      <c r="X22">
        <f>VLOOKUP(T22,'Scouting Output'!$A$3:$AM$42,39,FALSE)</f>
        <v>-0.49375000000000002</v>
      </c>
      <c r="Y22">
        <f>VLOOKUP(T22,'Scouting Output'!$A$3:$AM$42,30,FALSE)</f>
        <v>0.75</v>
      </c>
      <c r="Z22">
        <f>VLOOKUP(T22, 'Scouting Output'!$A$3:$AM$42, 3, FALSE)</f>
        <v>7</v>
      </c>
    </row>
    <row r="23" spans="1:26">
      <c r="A23">
        <v>2852</v>
      </c>
      <c r="B23" t="s">
        <v>202</v>
      </c>
      <c r="C23">
        <f>IFERROR(VLOOKUP($A23,'Scouting Output'!$A$3:$AM$100,37,FALSE), -999)</f>
        <v>0.95142857142857151</v>
      </c>
      <c r="D23">
        <f>IFERROR(VLOOKUP($A23,'Scouting Output'!$A$3:$AM$100,38,FALSE), -999)</f>
        <v>-1.214285714285714</v>
      </c>
      <c r="E23">
        <f>IFERROR(VLOOKUP($A23,'Scouting Output'!$A$3:$AM$100,39,FALSE), -999)</f>
        <v>-1.1771428571428573</v>
      </c>
      <c r="F23">
        <f>IFERROR(VLOOKUP($A23, 'Scouting Output'!$A$3:$AM110, 30, FALSE), -999)</f>
        <v>0.7142857142857143</v>
      </c>
      <c r="G23">
        <f>IFERROR(VLOOKUP($A23, 'Scouting Output'!$A$3:$AM$100, 3, FALSE), -999)</f>
        <v>9.2857142857142847</v>
      </c>
      <c r="L23">
        <f>'Scouting Output'!A40</f>
        <v>5885</v>
      </c>
      <c r="M23" t="str">
        <f>'Scouting Output'!$B24</f>
        <v>Northern Lights Robotics</v>
      </c>
      <c r="N23">
        <f>VLOOKUP(L23,'Scouting Output'!$A$3:$AM$42,37,FALSE)</f>
        <v>10.277777777777777</v>
      </c>
      <c r="O23">
        <f>VLOOKUP(L23,'Scouting Output'!$A$3:$AM$42,38,FALSE)</f>
        <v>1.6111111111111112</v>
      </c>
      <c r="P23">
        <f>VLOOKUP(L23,'Scouting Output'!$A$3:$AM$42,39,FALSE)</f>
        <v>-0.55000000000000004</v>
      </c>
      <c r="Q23">
        <f>VLOOKUP(L23,'Scouting Output'!$A$3:$AM$42,30,FALSE)</f>
        <v>3</v>
      </c>
      <c r="R23">
        <f>VLOOKUP(L23, 'Scouting Output'!$A$3:$AM$42, 3, FALSE)</f>
        <v>23.666666666666664</v>
      </c>
      <c r="T23">
        <f>'Scouting Output'!$A24</f>
        <v>4704</v>
      </c>
      <c r="U23" t="str">
        <f>'Scouting Output'!$B24</f>
        <v>Northern Lights Robotics</v>
      </c>
      <c r="V23">
        <f>VLOOKUP(T23,'Scouting Output'!$A$3:$AM$42,37,FALSE)</f>
        <v>-1.788</v>
      </c>
      <c r="W23">
        <f>VLOOKUP(T23,'Scouting Output'!$A$3:$AM$42,38,FALSE)</f>
        <v>-4.5</v>
      </c>
      <c r="X23">
        <f>VLOOKUP(T23,'Scouting Output'!$A$3:$AM$42,39,FALSE)</f>
        <v>-0.58000000000000007</v>
      </c>
      <c r="Y23">
        <f>VLOOKUP(T23,'Scouting Output'!$A$3:$AM$42,30,FALSE)</f>
        <v>0.9</v>
      </c>
      <c r="Z23">
        <f>VLOOKUP(T23, 'Scouting Output'!$A$3:$AM$42, 3, FALSE)</f>
        <v>8.5</v>
      </c>
    </row>
    <row r="24" spans="1:26">
      <c r="A24">
        <v>7614</v>
      </c>
      <c r="B24" t="s">
        <v>232</v>
      </c>
      <c r="C24">
        <f>IFERROR(VLOOKUP($A24,'Scouting Output'!$A$3:$AM$100,37,FALSE), -999)</f>
        <v>0.65500000000000003</v>
      </c>
      <c r="D24">
        <f>IFERROR(VLOOKUP($A24,'Scouting Output'!$A$3:$AM$100,38,FALSE), -999)</f>
        <v>-0.9375</v>
      </c>
      <c r="E24">
        <f>IFERROR(VLOOKUP($A24,'Scouting Output'!$A$3:$AM$100,39,FALSE), -999)</f>
        <v>1.5625</v>
      </c>
      <c r="F24">
        <f>IFERROR(VLOOKUP($A24, 'Scouting Output'!$A$3:$AM158, 30, FALSE), -999)</f>
        <v>0.75</v>
      </c>
      <c r="G24">
        <f>IFERROR(VLOOKUP($A24, 'Scouting Output'!$A$3:$AM$100, 3, FALSE), -999)</f>
        <v>11</v>
      </c>
      <c r="L24">
        <f>'Scouting Output'!A30</f>
        <v>4951</v>
      </c>
      <c r="M24" t="str">
        <f>'Scouting Output'!$B25</f>
        <v>RoboRavens</v>
      </c>
      <c r="N24">
        <f>VLOOKUP(L24,'Scouting Output'!$A$3:$AM$42,37,FALSE)</f>
        <v>2.2828571428571434</v>
      </c>
      <c r="O24">
        <f>VLOOKUP(L24,'Scouting Output'!$A$3:$AM$42,38,FALSE)</f>
        <v>-1.2857142857142858</v>
      </c>
      <c r="P24">
        <f>VLOOKUP(L24,'Scouting Output'!$A$3:$AM$42,39,FALSE)</f>
        <v>3.152857142857143</v>
      </c>
      <c r="Q24">
        <f>VLOOKUP(L24,'Scouting Output'!$A$3:$AM$42,30,FALSE)</f>
        <v>1</v>
      </c>
      <c r="R24">
        <f>VLOOKUP(L24, 'Scouting Output'!$A$3:$AM$42, 3, FALSE)</f>
        <v>17.428571428571431</v>
      </c>
      <c r="T24">
        <f>'Scouting Output'!$A25</f>
        <v>4783</v>
      </c>
      <c r="U24" t="str">
        <f>'Scouting Output'!$B25</f>
        <v>RoboRavens</v>
      </c>
      <c r="V24">
        <f>VLOOKUP(T24,'Scouting Output'!$A$3:$AM$42,37,FALSE)</f>
        <v>-0.61111111111111105</v>
      </c>
      <c r="W24">
        <f>VLOOKUP(T24,'Scouting Output'!$A$3:$AM$42,38,FALSE)</f>
        <v>-1.6111111111111112</v>
      </c>
      <c r="X24">
        <f>VLOOKUP(T24,'Scouting Output'!$A$3:$AM$42,39,FALSE)</f>
        <v>-0.55222222222222217</v>
      </c>
      <c r="Y24">
        <f>VLOOKUP(T24,'Scouting Output'!$A$3:$AM$42,30,FALSE)</f>
        <v>0.88888888888888884</v>
      </c>
      <c r="Z24">
        <f>VLOOKUP(T24, 'Scouting Output'!$A$3:$AM$42, 3, FALSE)</f>
        <v>8.4444444444444446</v>
      </c>
    </row>
    <row r="25" spans="1:26">
      <c r="A25">
        <v>7564</v>
      </c>
      <c r="B25" t="s">
        <v>231</v>
      </c>
      <c r="C25">
        <f>IFERROR(VLOOKUP($A25,'Scouting Output'!$A$3:$AM$100,37,FALSE), -999)</f>
        <v>0.4514285714285714</v>
      </c>
      <c r="D25">
        <f>IFERROR(VLOOKUP($A25,'Scouting Output'!$A$3:$AM$100,38,FALSE), -999)</f>
        <v>-0.6428571428571429</v>
      </c>
      <c r="E25">
        <f>IFERROR(VLOOKUP($A25,'Scouting Output'!$A$3:$AM$100,39,FALSE), -999)</f>
        <v>-0.24571428571428577</v>
      </c>
      <c r="F25">
        <f>IFERROR(VLOOKUP($A25, 'Scouting Output'!$A$3:$AM157, 30, FALSE), -999)</f>
        <v>0.7142857142857143</v>
      </c>
      <c r="G25">
        <f>IFERROR(VLOOKUP($A25, 'Scouting Output'!$A$3:$AM$100, 3, FALSE), -999)</f>
        <v>7.7142857142857144</v>
      </c>
      <c r="L25">
        <f>'Scouting Output'!A18</f>
        <v>4152</v>
      </c>
      <c r="M25" t="str">
        <f>'Scouting Output'!$B26</f>
        <v>Thunderstamps</v>
      </c>
      <c r="N25">
        <f>VLOOKUP(L25,'Scouting Output'!$A$3:$AM$42,37,FALSE)</f>
        <v>7.0419999999999998</v>
      </c>
      <c r="O25">
        <f>VLOOKUP(L25,'Scouting Output'!$A$3:$AM$42,38,FALSE)</f>
        <v>3.3000000000000007</v>
      </c>
      <c r="P25">
        <f>VLOOKUP(L25,'Scouting Output'!$A$3:$AM$42,39,FALSE)</f>
        <v>1.1260000000000001</v>
      </c>
      <c r="Q25">
        <f>VLOOKUP(L25,'Scouting Output'!$A$3:$AM$42,30,FALSE)</f>
        <v>1.6</v>
      </c>
      <c r="R25">
        <f>VLOOKUP(L25, 'Scouting Output'!$A$3:$AM$42, 3, FALSE)</f>
        <v>19.8</v>
      </c>
      <c r="T25">
        <f>'Scouting Output'!$A26</f>
        <v>4907</v>
      </c>
      <c r="U25" t="str">
        <f>'Scouting Output'!$B26</f>
        <v>Thunderstamps</v>
      </c>
      <c r="V25">
        <f>VLOOKUP(T25,'Scouting Output'!$A$3:$AM$42,37,FALSE)</f>
        <v>7.1</v>
      </c>
      <c r="W25">
        <f>VLOOKUP(T25,'Scouting Output'!$A$3:$AM$42,38,FALSE)</f>
        <v>-1.4000000000000001</v>
      </c>
      <c r="X25">
        <f>VLOOKUP(T25,'Scouting Output'!$A$3:$AM$42,39,FALSE)</f>
        <v>-9.9000000000000005E-2</v>
      </c>
      <c r="Y25">
        <f>VLOOKUP(T25,'Scouting Output'!$A$3:$AM$42,30,FALSE)</f>
        <v>2.5</v>
      </c>
      <c r="Z25">
        <f>VLOOKUP(T25, 'Scouting Output'!$A$3:$AM$42, 3, FALSE)</f>
        <v>15</v>
      </c>
    </row>
    <row r="26" spans="1:26">
      <c r="A26">
        <v>6110</v>
      </c>
      <c r="B26" t="s">
        <v>221</v>
      </c>
      <c r="C26">
        <f>IFERROR(VLOOKUP($A26,'Scouting Output'!$A$3:$AM$100,37,FALSE), -999)</f>
        <v>0.26999999999999968</v>
      </c>
      <c r="D26">
        <f>IFERROR(VLOOKUP($A26,'Scouting Output'!$A$3:$AM$100,38,FALSE), -999)</f>
        <v>-1.75</v>
      </c>
      <c r="E26">
        <f>IFERROR(VLOOKUP($A26,'Scouting Output'!$A$3:$AM$100,39,FALSE), -999)</f>
        <v>0.7749999999999998</v>
      </c>
      <c r="F26">
        <f>IFERROR(VLOOKUP($A26, 'Scouting Output'!$A$3:$AM139, 30, FALSE), -999)</f>
        <v>0.8</v>
      </c>
      <c r="G26">
        <f>IFERROR(VLOOKUP($A26, 'Scouting Output'!$A$3:$AM$100, 3, FALSE), -999)</f>
        <v>11.700000000000001</v>
      </c>
      <c r="L26">
        <f>'Scouting Output'!A37</f>
        <v>5409</v>
      </c>
      <c r="M26" t="str">
        <f>'Scouting Output'!$B27</f>
        <v>Viral Vortex</v>
      </c>
      <c r="N26">
        <f>VLOOKUP(L26,'Scouting Output'!$A$3:$AM$42,37,FALSE)</f>
        <v>0.98222222222222266</v>
      </c>
      <c r="O26">
        <f>VLOOKUP(L26,'Scouting Output'!$A$3:$AM$42,38,FALSE)</f>
        <v>-0.94444444444444442</v>
      </c>
      <c r="P26">
        <f>VLOOKUP(L26,'Scouting Output'!$A$3:$AM$42,39,FALSE)</f>
        <v>2.1344444444444446</v>
      </c>
      <c r="Q26">
        <f>VLOOKUP(L26,'Scouting Output'!$A$3:$AM$42,30,FALSE)</f>
        <v>0.77777777777777779</v>
      </c>
      <c r="R26">
        <f>VLOOKUP(L26, 'Scouting Output'!$A$3:$AM$42, 3, FALSE)</f>
        <v>13.222222222222221</v>
      </c>
      <c r="T26">
        <f>'Scouting Output'!$A27</f>
        <v>4936</v>
      </c>
      <c r="U26" t="str">
        <f>'Scouting Output'!$B27</f>
        <v>Viral Vortex</v>
      </c>
      <c r="V26">
        <f>VLOOKUP(T26,'Scouting Output'!$A$3:$AM$42,37,FALSE)</f>
        <v>1.6800000000000002</v>
      </c>
      <c r="W26">
        <f>VLOOKUP(T26,'Scouting Output'!$A$3:$AM$42,38,FALSE)</f>
        <v>-0.3125</v>
      </c>
      <c r="X26">
        <f>VLOOKUP(T26,'Scouting Output'!$A$3:$AM$42,39,FALSE)</f>
        <v>1.00125</v>
      </c>
      <c r="Y26">
        <f>VLOOKUP(T26,'Scouting Output'!$A$3:$AM$42,30,FALSE)</f>
        <v>0.875</v>
      </c>
      <c r="Z26">
        <f>VLOOKUP(T26, 'Scouting Output'!$A$3:$AM$42, 3, FALSE)</f>
        <v>14.875</v>
      </c>
    </row>
    <row r="27" spans="1:26">
      <c r="A27">
        <v>7710</v>
      </c>
      <c r="B27" t="s">
        <v>234</v>
      </c>
      <c r="C27">
        <f>IFERROR(VLOOKUP($A27,'Scouting Output'!$A$3:$AM$100,37,FALSE), -999)</f>
        <v>0</v>
      </c>
      <c r="D27">
        <f>IFERROR(VLOOKUP($A27,'Scouting Output'!$A$3:$AM$100,38,FALSE), -999)</f>
        <v>-2.9285714285714288</v>
      </c>
      <c r="E27">
        <f>IFERROR(VLOOKUP($A27,'Scouting Output'!$A$3:$AM$100,39,FALSE), -999)</f>
        <v>0</v>
      </c>
      <c r="F27">
        <f>IFERROR(VLOOKUP($A27, 'Scouting Output'!$A$3:$AM160, 30, FALSE), -999)</f>
        <v>0.7142857142857143</v>
      </c>
      <c r="G27">
        <f>IFERROR(VLOOKUP($A27, 'Scouting Output'!$A$3:$AM$100, 3, FALSE), -999)</f>
        <v>10.571428571428571</v>
      </c>
      <c r="L27">
        <f>'Scouting Output'!A29</f>
        <v>4946</v>
      </c>
      <c r="M27" t="str">
        <f>'Scouting Output'!$B28</f>
        <v>Allspark9</v>
      </c>
      <c r="N27">
        <f>VLOOKUP(L27,'Scouting Output'!$A$3:$AM$42,37,FALSE)</f>
        <v>2.804444444444445</v>
      </c>
      <c r="O27">
        <f>VLOOKUP(L27,'Scouting Output'!$A$3:$AM$42,38,FALSE)</f>
        <v>1.2777777777777781</v>
      </c>
      <c r="P27">
        <f>VLOOKUP(L27,'Scouting Output'!$A$3:$AM$42,39,FALSE)</f>
        <v>0.91333333333333366</v>
      </c>
      <c r="Q27">
        <f>VLOOKUP(L27,'Scouting Output'!$A$3:$AM$42,30,FALSE)</f>
        <v>0.88888888888888884</v>
      </c>
      <c r="R27">
        <f>VLOOKUP(L27, 'Scouting Output'!$A$3:$AM$42, 3, FALSE)</f>
        <v>14.888888888888889</v>
      </c>
      <c r="T27">
        <f>'Scouting Output'!$A28</f>
        <v>4939</v>
      </c>
      <c r="U27" t="str">
        <f>'Scouting Output'!$B28</f>
        <v>Allspark9</v>
      </c>
      <c r="V27">
        <f>VLOOKUP(T27,'Scouting Output'!$A$3:$AM$42,37,FALSE)</f>
        <v>-21</v>
      </c>
      <c r="W27">
        <f>VLOOKUP(T27,'Scouting Output'!$A$3:$AM$42,38,FALSE)</f>
        <v>-1.5</v>
      </c>
      <c r="X27">
        <f>VLOOKUP(T27,'Scouting Output'!$A$3:$AM$42,39,FALSE)</f>
        <v>-1</v>
      </c>
      <c r="Y27">
        <f>VLOOKUP(T27,'Scouting Output'!$A$3:$AM$42,30,FALSE)</f>
        <v>0</v>
      </c>
      <c r="Z27">
        <f>VLOOKUP(T27, 'Scouting Output'!$A$3:$AM$42, 3, FALSE)</f>
        <v>0</v>
      </c>
    </row>
    <row r="28" spans="1:26">
      <c r="A28">
        <v>6864</v>
      </c>
      <c r="B28" t="s">
        <v>225</v>
      </c>
      <c r="C28">
        <f>IFERROR(VLOOKUP($A28,'Scouting Output'!$A$3:$AM$100,37,FALSE), -999)</f>
        <v>-0.56727272727272715</v>
      </c>
      <c r="D28">
        <f>IFERROR(VLOOKUP($A28,'Scouting Output'!$A$3:$AM$100,38,FALSE), -999)</f>
        <v>-2.0909090909090908</v>
      </c>
      <c r="E28">
        <f>IFERROR(VLOOKUP($A28,'Scouting Output'!$A$3:$AM$100,39,FALSE), -999)</f>
        <v>0.55000000000000004</v>
      </c>
      <c r="F28">
        <f>IFERROR(VLOOKUP($A28, 'Scouting Output'!$A$3:$AM146, 30, FALSE), -999)</f>
        <v>0.63636363636363635</v>
      </c>
      <c r="G28">
        <f>IFERROR(VLOOKUP($A28, 'Scouting Output'!$A$3:$AM$100, 3, FALSE), -999)</f>
        <v>7.8181818181818201</v>
      </c>
      <c r="L28">
        <f>'Scouting Output'!A24</f>
        <v>4704</v>
      </c>
      <c r="M28" t="str">
        <f>'Scouting Output'!$B29</f>
        <v>The Alpha Dogs</v>
      </c>
      <c r="N28">
        <f>VLOOKUP(L28,'Scouting Output'!$A$3:$AM$42,37,FALSE)</f>
        <v>-1.788</v>
      </c>
      <c r="O28">
        <f>VLOOKUP(L28,'Scouting Output'!$A$3:$AM$42,38,FALSE)</f>
        <v>-4.5</v>
      </c>
      <c r="P28">
        <f>VLOOKUP(L28,'Scouting Output'!$A$3:$AM$42,39,FALSE)</f>
        <v>-0.58000000000000007</v>
      </c>
      <c r="Q28">
        <f>VLOOKUP(L28,'Scouting Output'!$A$3:$AM$42,30,FALSE)</f>
        <v>0.9</v>
      </c>
      <c r="R28">
        <f>VLOOKUP(L28, 'Scouting Output'!$A$3:$AM$42, 3, FALSE)</f>
        <v>8.5</v>
      </c>
      <c r="T28">
        <f>'Scouting Output'!$A29</f>
        <v>4946</v>
      </c>
      <c r="U28" t="str">
        <f>'Scouting Output'!$B29</f>
        <v>The Alpha Dogs</v>
      </c>
      <c r="V28">
        <f>VLOOKUP(T28,'Scouting Output'!$A$3:$AM$42,37,FALSE)</f>
        <v>2.804444444444445</v>
      </c>
      <c r="W28">
        <f>VLOOKUP(T28,'Scouting Output'!$A$3:$AM$42,38,FALSE)</f>
        <v>1.2777777777777781</v>
      </c>
      <c r="X28">
        <f>VLOOKUP(T28,'Scouting Output'!$A$3:$AM$42,39,FALSE)</f>
        <v>0.91333333333333366</v>
      </c>
      <c r="Y28">
        <f>VLOOKUP(T28,'Scouting Output'!$A$3:$AM$42,30,FALSE)</f>
        <v>0.88888888888888884</v>
      </c>
      <c r="Z28">
        <f>VLOOKUP(T28, 'Scouting Output'!$A$3:$AM$42, 3, FALSE)</f>
        <v>14.888888888888889</v>
      </c>
    </row>
    <row r="29" spans="1:26">
      <c r="A29">
        <v>4783</v>
      </c>
      <c r="B29" t="s">
        <v>211</v>
      </c>
      <c r="C29">
        <f>IFERROR(VLOOKUP($A29,'Scouting Output'!$A$3:$AM$100,37,FALSE), -999)</f>
        <v>-0.61111111111111105</v>
      </c>
      <c r="D29">
        <f>IFERROR(VLOOKUP($A29,'Scouting Output'!$A$3:$AM$100,38,FALSE), -999)</f>
        <v>-1.6111111111111112</v>
      </c>
      <c r="E29">
        <f>IFERROR(VLOOKUP($A29,'Scouting Output'!$A$3:$AM$100,39,FALSE), -999)</f>
        <v>-0.55222222222222217</v>
      </c>
      <c r="F29">
        <f>IFERROR(VLOOKUP($A29, 'Scouting Output'!$A$3:$AM121, 30, FALSE), -999)</f>
        <v>0.88888888888888884</v>
      </c>
      <c r="G29">
        <f>IFERROR(VLOOKUP($A29, 'Scouting Output'!$A$3:$AM$100, 3, FALSE), -999)</f>
        <v>8.4444444444444446</v>
      </c>
      <c r="L29">
        <f>'Scouting Output'!A33</f>
        <v>5036</v>
      </c>
      <c r="M29" t="str">
        <f>'Scouting Output'!$B30</f>
        <v>CDS Cyclones</v>
      </c>
      <c r="N29">
        <f>VLOOKUP(L29,'Scouting Output'!$A$3:$AM$42,37,FALSE)</f>
        <v>1.4600000000000004</v>
      </c>
      <c r="O29">
        <f>VLOOKUP(L29,'Scouting Output'!$A$3:$AM$42,38,FALSE)</f>
        <v>-1.45</v>
      </c>
      <c r="P29">
        <f>VLOOKUP(L29,'Scouting Output'!$A$3:$AM$42,39,FALSE)</f>
        <v>3.0960000000000001</v>
      </c>
      <c r="Q29">
        <f>VLOOKUP(L29,'Scouting Output'!$A$3:$AM$42,30,FALSE)</f>
        <v>0.8</v>
      </c>
      <c r="R29">
        <f>VLOOKUP(L29, 'Scouting Output'!$A$3:$AM$42, 3, FALSE)</f>
        <v>15.399999999999999</v>
      </c>
      <c r="T29">
        <f>'Scouting Output'!$A30</f>
        <v>4951</v>
      </c>
      <c r="U29" t="str">
        <f>'Scouting Output'!$B30</f>
        <v>CDS Cyclones</v>
      </c>
      <c r="V29">
        <f>VLOOKUP(T29,'Scouting Output'!$A$3:$AM$42,37,FALSE)</f>
        <v>2.2828571428571434</v>
      </c>
      <c r="W29">
        <f>VLOOKUP(T29,'Scouting Output'!$A$3:$AM$42,38,FALSE)</f>
        <v>-1.2857142857142858</v>
      </c>
      <c r="X29">
        <f>VLOOKUP(T29,'Scouting Output'!$A$3:$AM$42,39,FALSE)</f>
        <v>3.152857142857143</v>
      </c>
      <c r="Y29">
        <f>VLOOKUP(T29,'Scouting Output'!$A$3:$AM$42,30,FALSE)</f>
        <v>1</v>
      </c>
      <c r="Z29">
        <f>VLOOKUP(T29, 'Scouting Output'!$A$3:$AM$42, 3, FALSE)</f>
        <v>17.428571428571431</v>
      </c>
    </row>
    <row r="30" spans="1:26">
      <c r="A30">
        <v>6987</v>
      </c>
      <c r="B30" t="s">
        <v>229</v>
      </c>
      <c r="C30">
        <f>IFERROR(VLOOKUP($A30,'Scouting Output'!$A$3:$AM$100,37,FALSE), -999)</f>
        <v>-0.61111111111111116</v>
      </c>
      <c r="D30">
        <f>IFERROR(VLOOKUP($A30,'Scouting Output'!$A$3:$AM$100,38,FALSE), -999)</f>
        <v>-0.61111111111111116</v>
      </c>
      <c r="E30">
        <f>IFERROR(VLOOKUP($A30,'Scouting Output'!$A$3:$AM$100,39,FALSE), -999)</f>
        <v>-0.55000000000000004</v>
      </c>
      <c r="F30">
        <f>IFERROR(VLOOKUP($A30, 'Scouting Output'!$A$3:$AM151, 30, FALSE), -999)</f>
        <v>1</v>
      </c>
      <c r="G30">
        <f>IFERROR(VLOOKUP($A30, 'Scouting Output'!$A$3:$AM$100, 3, FALSE), -999)</f>
        <v>5.4444444444444446</v>
      </c>
      <c r="L30">
        <f>'Scouting Output'!A17</f>
        <v>4015</v>
      </c>
      <c r="M30" t="str">
        <f>'Scouting Output'!$B31</f>
        <v>Raider Robotics</v>
      </c>
      <c r="N30">
        <f>VLOOKUP(L30,'Scouting Output'!$A$3:$AM$42,37,FALSE)</f>
        <v>-0.82799999999999985</v>
      </c>
      <c r="O30">
        <f>VLOOKUP(L30,'Scouting Output'!$A$3:$AM$42,38,FALSE)</f>
        <v>-2.85</v>
      </c>
      <c r="P30">
        <f>VLOOKUP(L30,'Scouting Output'!$A$3:$AM$42,39,FALSE)</f>
        <v>-7.2999999999999843E-2</v>
      </c>
      <c r="Q30">
        <f>VLOOKUP(L30,'Scouting Output'!$A$3:$AM$42,30,FALSE)</f>
        <v>0.5</v>
      </c>
      <c r="R30">
        <f>VLOOKUP(L30, 'Scouting Output'!$A$3:$AM$42, 3, FALSE)</f>
        <v>9.3000000000000007</v>
      </c>
      <c r="T30">
        <f>'Scouting Output'!$A31</f>
        <v>5024</v>
      </c>
      <c r="U30" t="str">
        <f>'Scouting Output'!$B31</f>
        <v>Raider Robotics</v>
      </c>
      <c r="V30">
        <f>VLOOKUP(T30,'Scouting Output'!$A$3:$AM$42,37,FALSE)</f>
        <v>-21</v>
      </c>
      <c r="W30">
        <f>VLOOKUP(T30,'Scouting Output'!$A$3:$AM$42,38,FALSE)</f>
        <v>-1.5</v>
      </c>
      <c r="X30">
        <f>VLOOKUP(T30,'Scouting Output'!$A$3:$AM$42,39,FALSE)</f>
        <v>-1</v>
      </c>
      <c r="Y30">
        <f>VLOOKUP(T30,'Scouting Output'!$A$3:$AM$42,30,FALSE)</f>
        <v>0</v>
      </c>
      <c r="Z30">
        <f>VLOOKUP(T30, 'Scouting Output'!$A$3:$AM$42, 3, FALSE)</f>
        <v>0</v>
      </c>
    </row>
    <row r="31" spans="1:26">
      <c r="A31">
        <v>6070</v>
      </c>
      <c r="B31" t="s">
        <v>220</v>
      </c>
      <c r="C31">
        <f>IFERROR(VLOOKUP($A31,'Scouting Output'!$A$3:$AM$100,37,FALSE), -999)</f>
        <v>-0.68181818181818243</v>
      </c>
      <c r="D31">
        <f>IFERROR(VLOOKUP($A31,'Scouting Output'!$A$3:$AM$100,38,FALSE), -999)</f>
        <v>-2.3636363636363646</v>
      </c>
      <c r="E31">
        <f>IFERROR(VLOOKUP($A31,'Scouting Output'!$A$3:$AM$100,39,FALSE), -999)</f>
        <v>-1.1136363636363638</v>
      </c>
      <c r="F31">
        <f>IFERROR(VLOOKUP($A31, 'Scouting Output'!$A$3:$AM138, 30, FALSE), -999)</f>
        <v>0.72727272727272729</v>
      </c>
      <c r="G31">
        <f>IFERROR(VLOOKUP($A31, 'Scouting Output'!$A$3:$AM$100, 3, FALSE), -999)</f>
        <v>8.7272727272727266</v>
      </c>
      <c r="L31">
        <f>'Scouting Output'!A15</f>
        <v>2994</v>
      </c>
      <c r="M31" t="str">
        <f>'Scouting Output'!$B32</f>
        <v xml:space="preserve"> Full Metal Mustangs</v>
      </c>
      <c r="N31">
        <f>VLOOKUP(L31,'Scouting Output'!$A$3:$AM$42,37,FALSE)</f>
        <v>1.9420000000000002</v>
      </c>
      <c r="O31">
        <f>VLOOKUP(L31,'Scouting Output'!$A$3:$AM$42,38,FALSE)</f>
        <v>-3.45</v>
      </c>
      <c r="P31">
        <f>VLOOKUP(L31,'Scouting Output'!$A$3:$AM$42,39,FALSE)</f>
        <v>0.70099999999999996</v>
      </c>
      <c r="Q31">
        <f>VLOOKUP(L31,'Scouting Output'!$A$3:$AM$42,30,FALSE)</f>
        <v>1.6</v>
      </c>
      <c r="R31">
        <f>VLOOKUP(L31, 'Scouting Output'!$A$3:$AM$42, 3, FALSE)</f>
        <v>13.799999999999999</v>
      </c>
      <c r="T31">
        <f>'Scouting Output'!$A32</f>
        <v>5031</v>
      </c>
      <c r="U31" t="str">
        <f>'Scouting Output'!$B32</f>
        <v xml:space="preserve"> Full Metal Mustangs</v>
      </c>
      <c r="V31">
        <f>VLOOKUP(T31,'Scouting Output'!$A$3:$AM$42,37,FALSE)</f>
        <v>-21</v>
      </c>
      <c r="W31">
        <f>VLOOKUP(T31,'Scouting Output'!$A$3:$AM$42,38,FALSE)</f>
        <v>-1.5</v>
      </c>
      <c r="X31">
        <f>VLOOKUP(T31,'Scouting Output'!$A$3:$AM$42,39,FALSE)</f>
        <v>-1</v>
      </c>
      <c r="Y31">
        <f>VLOOKUP(T31,'Scouting Output'!$A$3:$AM$42,30,FALSE)</f>
        <v>0</v>
      </c>
      <c r="Z31">
        <f>VLOOKUP(T31, 'Scouting Output'!$A$3:$AM$42, 3, FALSE)</f>
        <v>0</v>
      </c>
    </row>
    <row r="32" spans="1:26">
      <c r="A32">
        <v>6859</v>
      </c>
      <c r="B32" t="s">
        <v>224</v>
      </c>
      <c r="C32">
        <f>IFERROR(VLOOKUP($A32,'Scouting Output'!$A$3:$AM$100,37,FALSE), -999)</f>
        <v>-0.70888888888888879</v>
      </c>
      <c r="D32">
        <f>IFERROR(VLOOKUP($A32,'Scouting Output'!$A$3:$AM$100,38,FALSE), -999)</f>
        <v>-1.4444444444444446</v>
      </c>
      <c r="E32">
        <f>IFERROR(VLOOKUP($A32,'Scouting Output'!$A$3:$AM$100,39,FALSE), -999)</f>
        <v>-0.10444444444444445</v>
      </c>
      <c r="F32">
        <f>IFERROR(VLOOKUP($A32, 'Scouting Output'!$A$3:$AM145, 30, FALSE), -999)</f>
        <v>0.44444444444444442</v>
      </c>
      <c r="G32">
        <f>IFERROR(VLOOKUP($A32, 'Scouting Output'!$A$3:$AM$100, 3, FALSE), -999)</f>
        <v>5.1111111111111116</v>
      </c>
      <c r="L32">
        <f>'Scouting Output'!A25</f>
        <v>4783</v>
      </c>
      <c r="M32" t="str">
        <f>'Scouting Output'!$B33</f>
        <v>The Robo Devils</v>
      </c>
      <c r="N32">
        <f>VLOOKUP(L32,'Scouting Output'!$A$3:$AM$42,37,FALSE)</f>
        <v>-0.61111111111111105</v>
      </c>
      <c r="O32">
        <f>VLOOKUP(L32,'Scouting Output'!$A$3:$AM$42,38,FALSE)</f>
        <v>-1.6111111111111112</v>
      </c>
      <c r="P32">
        <f>VLOOKUP(L32,'Scouting Output'!$A$3:$AM$42,39,FALSE)</f>
        <v>-0.55222222222222217</v>
      </c>
      <c r="Q32">
        <f>VLOOKUP(L32,'Scouting Output'!$A$3:$AM$42,30,FALSE)</f>
        <v>0.88888888888888884</v>
      </c>
      <c r="R32">
        <f>VLOOKUP(L32, 'Scouting Output'!$A$3:$AM$42, 3, FALSE)</f>
        <v>8.4444444444444446</v>
      </c>
      <c r="T32">
        <f>'Scouting Output'!$A33</f>
        <v>5036</v>
      </c>
      <c r="U32" t="str">
        <f>'Scouting Output'!$B33</f>
        <v>The Robo Devils</v>
      </c>
      <c r="V32">
        <f>VLOOKUP(T32,'Scouting Output'!$A$3:$AM$42,37,FALSE)</f>
        <v>1.4600000000000004</v>
      </c>
      <c r="W32">
        <f>VLOOKUP(T32,'Scouting Output'!$A$3:$AM$42,38,FALSE)</f>
        <v>-1.45</v>
      </c>
      <c r="X32">
        <f>VLOOKUP(T32,'Scouting Output'!$A$3:$AM$42,39,FALSE)</f>
        <v>3.0960000000000001</v>
      </c>
      <c r="Y32">
        <f>VLOOKUP(T32,'Scouting Output'!$A$3:$AM$42,30,FALSE)</f>
        <v>0.8</v>
      </c>
      <c r="Z32">
        <f>VLOOKUP(T32, 'Scouting Output'!$A$3:$AM$42, 3, FALSE)</f>
        <v>15.399999999999999</v>
      </c>
    </row>
    <row r="33" spans="1:26">
      <c r="A33">
        <v>6514</v>
      </c>
      <c r="B33" t="s">
        <v>223</v>
      </c>
      <c r="C33">
        <f>IFERROR(VLOOKUP($A33,'Scouting Output'!$A$3:$AM$100,37,FALSE), -999)</f>
        <v>-0.77777777777777768</v>
      </c>
      <c r="D33">
        <f>IFERROR(VLOOKUP($A33,'Scouting Output'!$A$3:$AM$100,38,FALSE), -999)</f>
        <v>-2.1111111111111107</v>
      </c>
      <c r="E33">
        <f>IFERROR(VLOOKUP($A33,'Scouting Output'!$A$3:$AM$100,39,FALSE), -999)</f>
        <v>-0.22</v>
      </c>
      <c r="F33">
        <f>IFERROR(VLOOKUP($A33, 'Scouting Output'!$A$3:$AM144, 30, FALSE), -999)</f>
        <v>0.55555555555555558</v>
      </c>
      <c r="G33">
        <f>IFERROR(VLOOKUP($A33, 'Scouting Output'!$A$3:$AM$100, 3, FALSE), -999)</f>
        <v>6.7777777777777777</v>
      </c>
      <c r="L33">
        <f>'Scouting Output'!A35</f>
        <v>5076</v>
      </c>
      <c r="M33" t="str">
        <f>'Scouting Output'!$B34</f>
        <v>Irish Iron</v>
      </c>
      <c r="N33">
        <f>VLOOKUP(L33,'Scouting Output'!$A$3:$AM$42,37,FALSE)</f>
        <v>-21</v>
      </c>
      <c r="O33">
        <f>VLOOKUP(L33,'Scouting Output'!$A$3:$AM$42,38,FALSE)</f>
        <v>-1.5</v>
      </c>
      <c r="P33">
        <f>VLOOKUP(L33,'Scouting Output'!$A$3:$AM$42,39,FALSE)</f>
        <v>-1</v>
      </c>
      <c r="Q33">
        <f>VLOOKUP(L33,'Scouting Output'!$A$3:$AM$42,30,FALSE)</f>
        <v>0</v>
      </c>
      <c r="R33">
        <f>VLOOKUP(L33, 'Scouting Output'!$A$3:$AM$42, 3, FALSE)</f>
        <v>0</v>
      </c>
      <c r="T33">
        <f>'Scouting Output'!$A34</f>
        <v>5039</v>
      </c>
      <c r="U33" t="str">
        <f>'Scouting Output'!$B34</f>
        <v>Irish Iron</v>
      </c>
      <c r="V33">
        <f>VLOOKUP(T33,'Scouting Output'!$A$3:$AM$42,37,FALSE)</f>
        <v>-21</v>
      </c>
      <c r="W33">
        <f>VLOOKUP(T33,'Scouting Output'!$A$3:$AM$42,38,FALSE)</f>
        <v>-1.5</v>
      </c>
      <c r="X33">
        <f>VLOOKUP(T33,'Scouting Output'!$A$3:$AM$42,39,FALSE)</f>
        <v>-1</v>
      </c>
      <c r="Y33">
        <f>VLOOKUP(T33,'Scouting Output'!$A$3:$AM$42,30,FALSE)</f>
        <v>0</v>
      </c>
      <c r="Z33">
        <f>VLOOKUP(T33, 'Scouting Output'!$A$3:$AM$42, 3, FALSE)</f>
        <v>0</v>
      </c>
    </row>
    <row r="34" spans="1:26">
      <c r="A34">
        <v>4015</v>
      </c>
      <c r="B34" t="s">
        <v>205</v>
      </c>
      <c r="C34">
        <f>IFERROR(VLOOKUP($A34,'Scouting Output'!$A$3:$AM$100,37,FALSE), -999)</f>
        <v>-0.82799999999999985</v>
      </c>
      <c r="D34">
        <f>IFERROR(VLOOKUP($A34,'Scouting Output'!$A$3:$AM$100,38,FALSE), -999)</f>
        <v>-2.85</v>
      </c>
      <c r="E34">
        <f>IFERROR(VLOOKUP($A34,'Scouting Output'!$A$3:$AM$100,39,FALSE), -999)</f>
        <v>-7.2999999999999843E-2</v>
      </c>
      <c r="F34">
        <f>IFERROR(VLOOKUP($A34, 'Scouting Output'!$A$3:$AM113, 30, FALSE), -999)</f>
        <v>0.5</v>
      </c>
      <c r="G34">
        <f>IFERROR(VLOOKUP($A34, 'Scouting Output'!$A$3:$AM$100, 3, FALSE), -999)</f>
        <v>9.3000000000000007</v>
      </c>
      <c r="L34">
        <f>'Scouting Output'!A16</f>
        <v>3571</v>
      </c>
      <c r="M34" t="str">
        <f>'Scouting Output'!$B35</f>
        <v>Richardson Stormbots</v>
      </c>
      <c r="N34">
        <f>VLOOKUP(L34,'Scouting Output'!$A$3:$AM$42,37,FALSE)</f>
        <v>-1.1875</v>
      </c>
      <c r="O34">
        <f>VLOOKUP(L34,'Scouting Output'!$A$3:$AM$42,38,FALSE)</f>
        <v>-1.1875</v>
      </c>
      <c r="P34">
        <f>VLOOKUP(L34,'Scouting Output'!$A$3:$AM$42,39,FALSE)</f>
        <v>-1.12375</v>
      </c>
      <c r="Q34">
        <f>VLOOKUP(L34,'Scouting Output'!$A$3:$AM$42,30,FALSE)</f>
        <v>0.5</v>
      </c>
      <c r="R34">
        <f>VLOOKUP(L34, 'Scouting Output'!$A$3:$AM$42, 3, FALSE)</f>
        <v>5.25</v>
      </c>
      <c r="T34">
        <f>'Scouting Output'!$A35</f>
        <v>5076</v>
      </c>
      <c r="U34" t="str">
        <f>'Scouting Output'!$B35</f>
        <v>Richardson Stormbots</v>
      </c>
      <c r="V34">
        <f>VLOOKUP(T34,'Scouting Output'!$A$3:$AM$42,37,FALSE)</f>
        <v>-21</v>
      </c>
      <c r="W34">
        <f>VLOOKUP(T34,'Scouting Output'!$A$3:$AM$42,38,FALSE)</f>
        <v>-1.5</v>
      </c>
      <c r="X34">
        <f>VLOOKUP(T34,'Scouting Output'!$A$3:$AM$42,39,FALSE)</f>
        <v>-1</v>
      </c>
      <c r="Y34">
        <f>VLOOKUP(T34,'Scouting Output'!$A$3:$AM$42,30,FALSE)</f>
        <v>0</v>
      </c>
      <c r="Z34">
        <f>VLOOKUP(T34, 'Scouting Output'!$A$3:$AM$42, 3, FALSE)</f>
        <v>0</v>
      </c>
    </row>
    <row r="35" spans="1:26">
      <c r="A35">
        <v>3571</v>
      </c>
      <c r="B35" t="s">
        <v>204</v>
      </c>
      <c r="C35">
        <f>IFERROR(VLOOKUP($A35,'Scouting Output'!$A$3:$AM$100,37,FALSE), -999)</f>
        <v>-1.1875</v>
      </c>
      <c r="D35">
        <f>IFERROR(VLOOKUP($A35,'Scouting Output'!$A$3:$AM$100,38,FALSE), -999)</f>
        <v>-1.1875</v>
      </c>
      <c r="E35">
        <f>IFERROR(VLOOKUP($A35,'Scouting Output'!$A$3:$AM$100,39,FALSE), -999)</f>
        <v>-1.12375</v>
      </c>
      <c r="F35">
        <f>IFERROR(VLOOKUP($A35, 'Scouting Output'!$A$3:$AM112, 30, FALSE), -999)</f>
        <v>0.5</v>
      </c>
      <c r="G35">
        <f>IFERROR(VLOOKUP($A35, 'Scouting Output'!$A$3:$AM$100, 3, FALSE), -999)</f>
        <v>5.25</v>
      </c>
      <c r="L35">
        <f>'Scouting Output'!A39</f>
        <v>5719</v>
      </c>
      <c r="M35" t="str">
        <f>'Scouting Output'!$B36</f>
        <v>Celt-X</v>
      </c>
      <c r="N35">
        <f>VLOOKUP(L35,'Scouting Output'!$A$3:$AM$42,37,FALSE)</f>
        <v>-21</v>
      </c>
      <c r="O35">
        <f>VLOOKUP(L35,'Scouting Output'!$A$3:$AM$42,38,FALSE)</f>
        <v>-1.5</v>
      </c>
      <c r="P35">
        <f>VLOOKUP(L35,'Scouting Output'!$A$3:$AM$42,39,FALSE)</f>
        <v>-1</v>
      </c>
      <c r="Q35">
        <f>VLOOKUP(L35,'Scouting Output'!$A$3:$AM$42,30,FALSE)</f>
        <v>0</v>
      </c>
      <c r="R35">
        <f>VLOOKUP(L35, 'Scouting Output'!$A$3:$AM$42, 3, FALSE)</f>
        <v>0</v>
      </c>
      <c r="T35">
        <f>'Scouting Output'!$A36</f>
        <v>5406</v>
      </c>
      <c r="U35" t="str">
        <f>'Scouting Output'!$B36</f>
        <v>Celt-X</v>
      </c>
      <c r="V35">
        <f>VLOOKUP(T35,'Scouting Output'!$A$3:$AM$42,37,FALSE)</f>
        <v>-21</v>
      </c>
      <c r="W35">
        <f>VLOOKUP(T35,'Scouting Output'!$A$3:$AM$42,38,FALSE)</f>
        <v>-1.5</v>
      </c>
      <c r="X35">
        <f>VLOOKUP(T35,'Scouting Output'!$A$3:$AM$42,39,FALSE)</f>
        <v>-1</v>
      </c>
      <c r="Y35">
        <f>VLOOKUP(T35,'Scouting Output'!$A$3:$AM$42,30,FALSE)</f>
        <v>0</v>
      </c>
      <c r="Z35">
        <f>VLOOKUP(T35, 'Scouting Output'!$A$3:$AM$42, 3, FALSE)</f>
        <v>0</v>
      </c>
    </row>
    <row r="36" spans="1:26">
      <c r="A36">
        <v>4525</v>
      </c>
      <c r="B36" t="s">
        <v>209</v>
      </c>
      <c r="C36">
        <f>IFERROR(VLOOKUP($A36,'Scouting Output'!$A$3:$AM$100,37,FALSE), -999)</f>
        <v>-1.23</v>
      </c>
      <c r="D36">
        <f>IFERROR(VLOOKUP($A36,'Scouting Output'!$A$3:$AM$100,38,FALSE), -999)</f>
        <v>-3.3125</v>
      </c>
      <c r="E36">
        <f>IFERROR(VLOOKUP($A36,'Scouting Output'!$A$3:$AM$100,39,FALSE), -999)</f>
        <v>-0.49375000000000002</v>
      </c>
      <c r="F36">
        <f>IFERROR(VLOOKUP($A36, 'Scouting Output'!$A$3:$AM119, 30, FALSE), -999)</f>
        <v>0.75</v>
      </c>
      <c r="G36">
        <f>IFERROR(VLOOKUP($A36, 'Scouting Output'!$A$3:$AM$100, 3, FALSE), -999)</f>
        <v>7</v>
      </c>
      <c r="L36">
        <f>'Scouting Output'!A26</f>
        <v>4907</v>
      </c>
      <c r="M36" t="str">
        <f>'Scouting Output'!$B37</f>
        <v>Chargers</v>
      </c>
      <c r="N36">
        <f>VLOOKUP(L36,'Scouting Output'!$A$3:$AM$42,37,FALSE)</f>
        <v>7.1</v>
      </c>
      <c r="O36">
        <f>VLOOKUP(L36,'Scouting Output'!$A$3:$AM$42,38,FALSE)</f>
        <v>-1.4000000000000001</v>
      </c>
      <c r="P36">
        <f>VLOOKUP(L36,'Scouting Output'!$A$3:$AM$42,39,FALSE)</f>
        <v>-9.9000000000000005E-2</v>
      </c>
      <c r="Q36">
        <f>VLOOKUP(L36,'Scouting Output'!$A$3:$AM$42,30,FALSE)</f>
        <v>2.5</v>
      </c>
      <c r="R36">
        <f>VLOOKUP(L36, 'Scouting Output'!$A$3:$AM$42, 3, FALSE)</f>
        <v>15</v>
      </c>
      <c r="T36">
        <f>'Scouting Output'!$A37</f>
        <v>5409</v>
      </c>
      <c r="U36" t="str">
        <f>'Scouting Output'!$B37</f>
        <v>Chargers</v>
      </c>
      <c r="V36">
        <f>VLOOKUP(T36,'Scouting Output'!$A$3:$AM$42,37,FALSE)</f>
        <v>0.98222222222222266</v>
      </c>
      <c r="W36">
        <f>VLOOKUP(T36,'Scouting Output'!$A$3:$AM$42,38,FALSE)</f>
        <v>-0.94444444444444442</v>
      </c>
      <c r="X36">
        <f>VLOOKUP(T36,'Scouting Output'!$A$3:$AM$42,39,FALSE)</f>
        <v>2.1344444444444446</v>
      </c>
      <c r="Y36">
        <f>VLOOKUP(T36,'Scouting Output'!$A$3:$AM$42,30,FALSE)</f>
        <v>0.77777777777777779</v>
      </c>
      <c r="Z36">
        <f>VLOOKUP(T36, 'Scouting Output'!$A$3:$AM$42, 3, FALSE)</f>
        <v>13.222222222222221</v>
      </c>
    </row>
    <row r="37" spans="1:26">
      <c r="A37">
        <v>4704</v>
      </c>
      <c r="B37" t="s">
        <v>210</v>
      </c>
      <c r="C37">
        <f>IFERROR(VLOOKUP($A37,'Scouting Output'!$A$3:$AM$100,37,FALSE), -999)</f>
        <v>-1.788</v>
      </c>
      <c r="D37">
        <f>IFERROR(VLOOKUP($A37,'Scouting Output'!$A$3:$AM$100,38,FALSE), -999)</f>
        <v>-4.5</v>
      </c>
      <c r="E37">
        <f>IFERROR(VLOOKUP($A37,'Scouting Output'!$A$3:$AM$100,39,FALSE), -999)</f>
        <v>-0.58000000000000007</v>
      </c>
      <c r="F37">
        <f>IFERROR(VLOOKUP($A37, 'Scouting Output'!$A$3:$AM120, 30, FALSE), -999)</f>
        <v>0.9</v>
      </c>
      <c r="G37">
        <f>IFERROR(VLOOKUP($A37, 'Scouting Output'!$A$3:$AM$100, 3, FALSE), -999)</f>
        <v>8.5</v>
      </c>
      <c r="L37">
        <f>'Scouting Output'!A10</f>
        <v>2200</v>
      </c>
      <c r="M37" t="str">
        <f>'Scouting Output'!$B38</f>
        <v>E.J. Lajeunesse</v>
      </c>
      <c r="N37">
        <f>VLOOKUP(L37,'Scouting Output'!$A$3:$AM$42,37,FALSE)</f>
        <v>10.9975</v>
      </c>
      <c r="O37">
        <f>VLOOKUP(L37,'Scouting Output'!$A$3:$AM$42,38,FALSE)</f>
        <v>1.1875</v>
      </c>
      <c r="P37">
        <f>VLOOKUP(L37,'Scouting Output'!$A$3:$AM$42,39,FALSE)</f>
        <v>2.3774999999999999</v>
      </c>
      <c r="Q37">
        <f>VLOOKUP(L37,'Scouting Output'!$A$3:$AM$42,30,FALSE)</f>
        <v>2.625</v>
      </c>
      <c r="R37">
        <f>VLOOKUP(L37, 'Scouting Output'!$A$3:$AM$42, 3, FALSE)</f>
        <v>28.125</v>
      </c>
      <c r="T37">
        <f>'Scouting Output'!$A38</f>
        <v>5426</v>
      </c>
      <c r="U37" t="str">
        <f>'Scouting Output'!$B38</f>
        <v>E.J. Lajeunesse</v>
      </c>
      <c r="V37">
        <f>VLOOKUP(T37,'Scouting Output'!$A$3:$AM$42,37,FALSE)</f>
        <v>1.2819999999999998</v>
      </c>
      <c r="W37">
        <f>VLOOKUP(T37,'Scouting Output'!$A$3:$AM$42,38,FALSE)</f>
        <v>-0.45</v>
      </c>
      <c r="X37">
        <f>VLOOKUP(T37,'Scouting Output'!$A$3:$AM$42,39,FALSE)</f>
        <v>-0.29700000000000004</v>
      </c>
      <c r="Y37">
        <f>VLOOKUP(T37,'Scouting Output'!$A$3:$AM$42,30,FALSE)</f>
        <v>0.7</v>
      </c>
      <c r="Z37">
        <f>VLOOKUP(T37, 'Scouting Output'!$A$3:$AM$42, 3, FALSE)</f>
        <v>9.9999999999999982</v>
      </c>
    </row>
    <row r="38" spans="1:26">
      <c r="A38">
        <v>7690</v>
      </c>
      <c r="B38" t="s">
        <v>233</v>
      </c>
      <c r="C38">
        <f>IFERROR(VLOOKUP($A38,'Scouting Output'!$A$3:$AM$100,37,FALSE), -999)</f>
        <v>-2.6363636363636367</v>
      </c>
      <c r="D38">
        <f>IFERROR(VLOOKUP($A38,'Scouting Output'!$A$3:$AM$100,38,FALSE), -999)</f>
        <v>-5.1363636363636367</v>
      </c>
      <c r="E38">
        <f>IFERROR(VLOOKUP($A38,'Scouting Output'!$A$3:$AM$100,39,FALSE), -999)</f>
        <v>-0.72727272727272729</v>
      </c>
      <c r="F38">
        <f>IFERROR(VLOOKUP($A38, 'Scouting Output'!$A$3:$AM159, 30, FALSE), -999)</f>
        <v>0.72727272727272729</v>
      </c>
      <c r="G38">
        <f>IFERROR(VLOOKUP($A38, 'Scouting Output'!$A$3:$AM$100, 3, FALSE), -999)</f>
        <v>7</v>
      </c>
      <c r="L38">
        <f>'Scouting Output'!A7</f>
        <v>1246</v>
      </c>
      <c r="M38" t="str">
        <f>'Scouting Output'!$B39</f>
        <v>Pink Titans</v>
      </c>
      <c r="N38">
        <f>VLOOKUP(L38,'Scouting Output'!$A$3:$AM$42,37,FALSE)</f>
        <v>-21</v>
      </c>
      <c r="O38">
        <f>VLOOKUP(L38,'Scouting Output'!$A$3:$AM$42,38,FALSE)</f>
        <v>-1.5</v>
      </c>
      <c r="P38">
        <f>VLOOKUP(L38,'Scouting Output'!$A$3:$AM$42,39,FALSE)</f>
        <v>-1</v>
      </c>
      <c r="Q38">
        <f>VLOOKUP(L38,'Scouting Output'!$A$3:$AM$42,30,FALSE)</f>
        <v>0</v>
      </c>
      <c r="R38">
        <f>VLOOKUP(L38, 'Scouting Output'!$A$3:$AM$42, 3, FALSE)</f>
        <v>0</v>
      </c>
      <c r="T38">
        <f>'Scouting Output'!$A39</f>
        <v>5719</v>
      </c>
      <c r="U38" t="str">
        <f>'Scouting Output'!$B39</f>
        <v>Pink Titans</v>
      </c>
      <c r="V38">
        <f>VLOOKUP(T38,'Scouting Output'!$A$3:$AM$42,37,FALSE)</f>
        <v>-21</v>
      </c>
      <c r="W38">
        <f>VLOOKUP(T38,'Scouting Output'!$A$3:$AM$42,38,FALSE)</f>
        <v>-1.5</v>
      </c>
      <c r="X38">
        <f>VLOOKUP(T38,'Scouting Output'!$A$3:$AM$42,39,FALSE)</f>
        <v>-1</v>
      </c>
      <c r="Y38">
        <f>VLOOKUP(T38,'Scouting Output'!$A$3:$AM$42,30,FALSE)</f>
        <v>0</v>
      </c>
      <c r="Z38">
        <f>VLOOKUP(T38, 'Scouting Output'!$A$3:$AM$42, 3, FALSE)</f>
        <v>0</v>
      </c>
    </row>
    <row r="39" spans="1:26">
      <c r="A39">
        <v>746</v>
      </c>
      <c r="B39" t="s">
        <v>367</v>
      </c>
      <c r="C39">
        <f>IFERROR(VLOOKUP($A39,'Scouting Output'!$A$3:$AM$100,37,FALSE), -999)</f>
        <v>-21</v>
      </c>
      <c r="D39">
        <f>IFERROR(VLOOKUP($A39,'Scouting Output'!$A$3:$AM$100,38,FALSE), -999)</f>
        <v>-1.5</v>
      </c>
      <c r="E39">
        <f>IFERROR(VLOOKUP($A39,'Scouting Output'!$A$3:$AM$100,39,FALSE), -999)</f>
        <v>-1</v>
      </c>
      <c r="F39">
        <f>IFERROR(VLOOKUP($A39, 'Scouting Output'!$A$3:$AM101, 30, FALSE), -999)</f>
        <v>0</v>
      </c>
      <c r="G39">
        <f>IFERROR(VLOOKUP($A39, 'Scouting Output'!$A$3:$AM$100, 3, FALSE), -999)</f>
        <v>0</v>
      </c>
      <c r="L39">
        <f>'Scouting Output'!A8</f>
        <v>1285</v>
      </c>
      <c r="M39" t="str">
        <f>'Scouting Output'!$B40</f>
        <v>Villanova WiredCats</v>
      </c>
      <c r="N39">
        <f>VLOOKUP(L39,'Scouting Output'!$A$3:$AM$42,37,FALSE)</f>
        <v>-21</v>
      </c>
      <c r="O39">
        <f>VLOOKUP(L39,'Scouting Output'!$A$3:$AM$42,38,FALSE)</f>
        <v>-1.5</v>
      </c>
      <c r="P39">
        <f>VLOOKUP(L39,'Scouting Output'!$A$3:$AM$42,39,FALSE)</f>
        <v>-1</v>
      </c>
      <c r="Q39">
        <f>VLOOKUP(L39,'Scouting Output'!$A$3:$AM$42,30,FALSE)</f>
        <v>0</v>
      </c>
      <c r="R39">
        <f>VLOOKUP(L39, 'Scouting Output'!$A$3:$AM$42, 3, FALSE)</f>
        <v>0</v>
      </c>
      <c r="T39">
        <f>'Scouting Output'!$A40</f>
        <v>5885</v>
      </c>
      <c r="U39" t="str">
        <f>'Scouting Output'!$B40</f>
        <v>Villanova WiredCats</v>
      </c>
      <c r="V39">
        <f>VLOOKUP(T39,'Scouting Output'!$A$3:$AM$42,37,FALSE)</f>
        <v>10.277777777777777</v>
      </c>
      <c r="W39">
        <f>VLOOKUP(T39,'Scouting Output'!$A$3:$AM$42,38,FALSE)</f>
        <v>1.6111111111111112</v>
      </c>
      <c r="X39">
        <f>VLOOKUP(T39,'Scouting Output'!$A$3:$AM$42,39,FALSE)</f>
        <v>-0.55000000000000004</v>
      </c>
      <c r="Y39">
        <f>VLOOKUP(T39,'Scouting Output'!$A$3:$AM$42,30,FALSE)</f>
        <v>3</v>
      </c>
      <c r="Z39">
        <f>VLOOKUP(T39, 'Scouting Output'!$A$3:$AM$42, 3, FALSE)</f>
        <v>23.666666666666664</v>
      </c>
    </row>
    <row r="40" spans="1:26">
      <c r="A40">
        <v>919</v>
      </c>
      <c r="B40" t="s">
        <v>355</v>
      </c>
      <c r="C40">
        <f>IFERROR(VLOOKUP($A40,'Scouting Output'!$A$3:$AM$100,37,FALSE), -999)</f>
        <v>-21</v>
      </c>
      <c r="D40">
        <f>IFERROR(VLOOKUP($A40,'Scouting Output'!$A$3:$AM$100,38,FALSE), -999)</f>
        <v>-1.5</v>
      </c>
      <c r="E40">
        <f>IFERROR(VLOOKUP($A40,'Scouting Output'!$A$3:$AM$100,39,FALSE), -999)</f>
        <v>-1</v>
      </c>
      <c r="F40">
        <f>IFERROR(VLOOKUP($A40, 'Scouting Output'!$A$3:$AM102, 30, FALSE), -999)</f>
        <v>0</v>
      </c>
      <c r="G40">
        <f>IFERROR(VLOOKUP($A40, 'Scouting Output'!$A$3:$AM$100, 3, FALSE), -999)</f>
        <v>0</v>
      </c>
      <c r="L40">
        <f>'Scouting Output'!A34</f>
        <v>5039</v>
      </c>
      <c r="M40" t="str">
        <f>'Scouting Output'!$B41</f>
        <v>PARAGON</v>
      </c>
      <c r="N40">
        <f>VLOOKUP(L40,'Scouting Output'!$A$3:$AM$42,37,FALSE)</f>
        <v>-21</v>
      </c>
      <c r="O40">
        <f>VLOOKUP(L40,'Scouting Output'!$A$3:$AM$42,38,FALSE)</f>
        <v>-1.5</v>
      </c>
      <c r="P40">
        <f>VLOOKUP(L40,'Scouting Output'!$A$3:$AM$42,39,FALSE)</f>
        <v>-1</v>
      </c>
      <c r="Q40">
        <f>VLOOKUP(L40,'Scouting Output'!$A$3:$AM$42,30,FALSE)</f>
        <v>0</v>
      </c>
      <c r="R40">
        <f>VLOOKUP(L40, 'Scouting Output'!$A$3:$AM$42, 3, FALSE)</f>
        <v>0</v>
      </c>
      <c r="T40">
        <f>'Scouting Output'!$A41</f>
        <v>5911</v>
      </c>
      <c r="U40" t="str">
        <f>'Scouting Output'!$B41</f>
        <v>PARAGON</v>
      </c>
      <c r="V40">
        <f>VLOOKUP(T40,'Scouting Output'!$A$3:$AM$42,37,FALSE)</f>
        <v>-21</v>
      </c>
      <c r="W40">
        <f>VLOOKUP(T40,'Scouting Output'!$A$3:$AM$42,38,FALSE)</f>
        <v>-1.5</v>
      </c>
      <c r="X40">
        <f>VLOOKUP(T40,'Scouting Output'!$A$3:$AM$42,39,FALSE)</f>
        <v>-1</v>
      </c>
      <c r="Y40">
        <f>VLOOKUP(T40,'Scouting Output'!$A$3:$AM$42,30,FALSE)</f>
        <v>0</v>
      </c>
      <c r="Z40">
        <f>VLOOKUP(T40, 'Scouting Output'!$A$3:$AM$42, 3, FALSE)</f>
        <v>0</v>
      </c>
    </row>
    <row r="41" spans="1:26">
      <c r="A41">
        <v>1246</v>
      </c>
      <c r="B41" t="s">
        <v>368</v>
      </c>
      <c r="C41">
        <f>IFERROR(VLOOKUP($A41,'Scouting Output'!$A$3:$AM$100,37,FALSE), -999)</f>
        <v>-21</v>
      </c>
      <c r="D41">
        <f>IFERROR(VLOOKUP($A41,'Scouting Output'!$A$3:$AM$100,38,FALSE), -999)</f>
        <v>-1.5</v>
      </c>
      <c r="E41">
        <f>IFERROR(VLOOKUP($A41,'Scouting Output'!$A$3:$AM$100,39,FALSE), -999)</f>
        <v>-1</v>
      </c>
      <c r="F41">
        <f>IFERROR(VLOOKUP($A41, 'Scouting Output'!$A$3:$AM103, 30, FALSE), -999)</f>
        <v>0</v>
      </c>
      <c r="G41">
        <f>IFERROR(VLOOKUP($A41, 'Scouting Output'!$A$3:$AM$100, 3, FALSE), -999)</f>
        <v>0</v>
      </c>
      <c r="L41">
        <f>'Scouting Output'!A41</f>
        <v>5911</v>
      </c>
      <c r="M41" t="str">
        <f>'Scouting Output'!$B42</f>
        <v>Gryphon Machine</v>
      </c>
      <c r="N41">
        <f>VLOOKUP(L41,'Scouting Output'!$A$3:$AM$42,37,FALSE)</f>
        <v>-21</v>
      </c>
      <c r="O41">
        <f>VLOOKUP(L41,'Scouting Output'!$A$3:$AM$42,38,FALSE)</f>
        <v>-1.5</v>
      </c>
      <c r="P41">
        <f>VLOOKUP(L41,'Scouting Output'!$A$3:$AM$42,39,FALSE)</f>
        <v>-1</v>
      </c>
      <c r="Q41">
        <f>VLOOKUP(L41,'Scouting Output'!$A$3:$AM$42,30,FALSE)</f>
        <v>0</v>
      </c>
      <c r="R41">
        <f>VLOOKUP(L41, 'Scouting Output'!$A$3:$AM$42, 3, FALSE)</f>
        <v>0</v>
      </c>
      <c r="T41">
        <f>'Scouting Output'!$A42</f>
        <v>6070</v>
      </c>
      <c r="U41" t="str">
        <f>'Scouting Output'!$B42</f>
        <v>Gryphon Machine</v>
      </c>
      <c r="V41">
        <f>VLOOKUP(T41,'Scouting Output'!$A$3:$AM$42,37,FALSE)</f>
        <v>-0.68181818181818243</v>
      </c>
      <c r="W41">
        <f>VLOOKUP(T41,'Scouting Output'!$A$3:$AM$42,38,FALSE)</f>
        <v>-2.3636363636363646</v>
      </c>
      <c r="X41">
        <f>VLOOKUP(T41,'Scouting Output'!$A$3:$AM$42,39,FALSE)</f>
        <v>-1.1136363636363638</v>
      </c>
      <c r="Y41">
        <f>VLOOKUP(T41,'Scouting Output'!$A$3:$AM$42,30,FALSE)</f>
        <v>0.72727272727272729</v>
      </c>
      <c r="Z41">
        <f>VLOOKUP(T41, 'Scouting Output'!$A$3:$AM$42, 3, FALSE)</f>
        <v>8.7272727272727266</v>
      </c>
    </row>
    <row r="42" spans="1:26">
      <c r="A42">
        <v>1285</v>
      </c>
      <c r="B42" t="s">
        <v>356</v>
      </c>
      <c r="C42">
        <f>IFERROR(VLOOKUP($A42,'Scouting Output'!$A$3:$AM$100,37,FALSE), -999)</f>
        <v>-21</v>
      </c>
      <c r="D42">
        <f>IFERROR(VLOOKUP($A42,'Scouting Output'!$A$3:$AM$100,38,FALSE), -999)</f>
        <v>-1.5</v>
      </c>
      <c r="E42">
        <f>IFERROR(VLOOKUP($A42,'Scouting Output'!$A$3:$AM$100,39,FALSE), -999)</f>
        <v>-1</v>
      </c>
      <c r="F42">
        <f>IFERROR(VLOOKUP($A42, 'Scouting Output'!$A$3:$AM104, 30, FALSE), -999)</f>
        <v>0</v>
      </c>
      <c r="G42">
        <f>IFERROR(VLOOKUP($A42, 'Scouting Output'!$A$3:$AM$100, 3, FALSE), -999)</f>
        <v>0</v>
      </c>
    </row>
    <row r="43" spans="1:26">
      <c r="A43">
        <v>1334</v>
      </c>
      <c r="B43" t="s">
        <v>369</v>
      </c>
      <c r="C43">
        <f>IFERROR(VLOOKUP($A43,'Scouting Output'!$A$3:$AM$100,37,FALSE), -999)</f>
        <v>-21</v>
      </c>
      <c r="D43">
        <f>IFERROR(VLOOKUP($A43,'Scouting Output'!$A$3:$AM$100,38,FALSE), -999)</f>
        <v>-1.5</v>
      </c>
      <c r="E43">
        <f>IFERROR(VLOOKUP($A43,'Scouting Output'!$A$3:$AM$100,39,FALSE), -999)</f>
        <v>-1</v>
      </c>
      <c r="F43">
        <f>IFERROR(VLOOKUP($A43, 'Scouting Output'!$A$3:$AM105, 30, FALSE), -999)</f>
        <v>0</v>
      </c>
      <c r="G43">
        <f>IFERROR(VLOOKUP($A43, 'Scouting Output'!$A$3:$AM$100, 3, FALSE), -999)</f>
        <v>0</v>
      </c>
    </row>
    <row r="44" spans="1:26">
      <c r="A44">
        <v>2706</v>
      </c>
      <c r="B44" t="s">
        <v>357</v>
      </c>
      <c r="C44">
        <f>IFERROR(VLOOKUP($A44,'Scouting Output'!$A$3:$AM$100,37,FALSE), -999)</f>
        <v>-21</v>
      </c>
      <c r="D44">
        <f>IFERROR(VLOOKUP($A44,'Scouting Output'!$A$3:$AM$100,38,FALSE), -999)</f>
        <v>-1.5</v>
      </c>
      <c r="E44">
        <f>IFERROR(VLOOKUP($A44,'Scouting Output'!$A$3:$AM$100,39,FALSE), -999)</f>
        <v>-1</v>
      </c>
      <c r="F44">
        <f>IFERROR(VLOOKUP($A44, 'Scouting Output'!$A$3:$AM108, 30, FALSE), -999)</f>
        <v>0</v>
      </c>
      <c r="G44">
        <f>IFERROR(VLOOKUP($A44, 'Scouting Output'!$A$3:$AM$100, 3, FALSE), -999)</f>
        <v>0</v>
      </c>
    </row>
    <row r="45" spans="1:26">
      <c r="A45">
        <v>4252</v>
      </c>
      <c r="B45" t="s">
        <v>370</v>
      </c>
      <c r="C45">
        <f>IFERROR(VLOOKUP($A45,'Scouting Output'!$A$3:$AM$100,37,FALSE), -999)</f>
        <v>-21</v>
      </c>
      <c r="D45">
        <f>IFERROR(VLOOKUP($A45,'Scouting Output'!$A$3:$AM$100,38,FALSE), -999)</f>
        <v>-1.5</v>
      </c>
      <c r="E45">
        <f>IFERROR(VLOOKUP($A45,'Scouting Output'!$A$3:$AM$100,39,FALSE), -999)</f>
        <v>-1</v>
      </c>
      <c r="F45">
        <f>IFERROR(VLOOKUP($A45, 'Scouting Output'!$A$3:$AM115, 30, FALSE), -999)</f>
        <v>0</v>
      </c>
      <c r="G45">
        <f>IFERROR(VLOOKUP($A45, 'Scouting Output'!$A$3:$AM$100, 3, FALSE), -999)</f>
        <v>0</v>
      </c>
    </row>
    <row r="46" spans="1:26">
      <c r="A46">
        <v>4308</v>
      </c>
      <c r="B46" t="s">
        <v>358</v>
      </c>
      <c r="C46">
        <f>IFERROR(VLOOKUP($A46,'Scouting Output'!$A$3:$AM$100,37,FALSE), -999)</f>
        <v>-21</v>
      </c>
      <c r="D46">
        <f>IFERROR(VLOOKUP($A46,'Scouting Output'!$A$3:$AM$100,38,FALSE), -999)</f>
        <v>-1.5</v>
      </c>
      <c r="E46">
        <f>IFERROR(VLOOKUP($A46,'Scouting Output'!$A$3:$AM$100,39,FALSE), -999)</f>
        <v>-1</v>
      </c>
      <c r="F46">
        <f>IFERROR(VLOOKUP($A46, 'Scouting Output'!$A$3:$AM116, 30, FALSE), -999)</f>
        <v>0</v>
      </c>
      <c r="G46">
        <f>IFERROR(VLOOKUP($A46, 'Scouting Output'!$A$3:$AM$100, 3, FALSE), -999)</f>
        <v>0</v>
      </c>
    </row>
    <row r="47" spans="1:26">
      <c r="A47">
        <v>4939</v>
      </c>
      <c r="B47" t="s">
        <v>359</v>
      </c>
      <c r="C47">
        <f>IFERROR(VLOOKUP($A47,'Scouting Output'!$A$3:$AM$100,37,FALSE), -999)</f>
        <v>-21</v>
      </c>
      <c r="D47">
        <f>IFERROR(VLOOKUP($A47,'Scouting Output'!$A$3:$AM$100,38,FALSE), -999)</f>
        <v>-1.5</v>
      </c>
      <c r="E47">
        <f>IFERROR(VLOOKUP($A47,'Scouting Output'!$A$3:$AM$100,39,FALSE), -999)</f>
        <v>-1</v>
      </c>
      <c r="F47">
        <f>IFERROR(VLOOKUP($A47, 'Scouting Output'!$A$3:$AM124, 30, FALSE), -999)</f>
        <v>0</v>
      </c>
      <c r="G47">
        <f>IFERROR(VLOOKUP($A47, 'Scouting Output'!$A$3:$AM$100, 3, FALSE), -999)</f>
        <v>0</v>
      </c>
    </row>
    <row r="48" spans="1:26">
      <c r="A48">
        <v>5024</v>
      </c>
      <c r="B48" t="s">
        <v>371</v>
      </c>
      <c r="C48">
        <f>IFERROR(VLOOKUP($A48,'Scouting Output'!$A$3:$AM$100,37,FALSE), -999)</f>
        <v>-21</v>
      </c>
      <c r="D48">
        <f>IFERROR(VLOOKUP($A48,'Scouting Output'!$A$3:$AM$100,38,FALSE), -999)</f>
        <v>-1.5</v>
      </c>
      <c r="E48">
        <f>IFERROR(VLOOKUP($A48,'Scouting Output'!$A$3:$AM$100,39,FALSE), -999)</f>
        <v>-1</v>
      </c>
      <c r="F48">
        <f>IFERROR(VLOOKUP($A48, 'Scouting Output'!$A$3:$AM127, 30, FALSE), -999)</f>
        <v>0</v>
      </c>
      <c r="G48">
        <f>IFERROR(VLOOKUP($A48, 'Scouting Output'!$A$3:$AM$100, 3, FALSE), -999)</f>
        <v>0</v>
      </c>
    </row>
    <row r="49" spans="1:7">
      <c r="A49">
        <v>5031</v>
      </c>
      <c r="B49" t="s">
        <v>360</v>
      </c>
      <c r="C49">
        <f>IFERROR(VLOOKUP($A49,'Scouting Output'!$A$3:$AM$100,37,FALSE), -999)</f>
        <v>-21</v>
      </c>
      <c r="D49">
        <f>IFERROR(VLOOKUP($A49,'Scouting Output'!$A$3:$AM$100,38,FALSE), -999)</f>
        <v>-1.5</v>
      </c>
      <c r="E49">
        <f>IFERROR(VLOOKUP($A49,'Scouting Output'!$A$3:$AM$100,39,FALSE), -999)</f>
        <v>-1</v>
      </c>
      <c r="F49">
        <f>IFERROR(VLOOKUP($A49, 'Scouting Output'!$A$3:$AM128, 30, FALSE), -999)</f>
        <v>0</v>
      </c>
      <c r="G49">
        <f>IFERROR(VLOOKUP($A49, 'Scouting Output'!$A$3:$AM$100, 3, FALSE), -999)</f>
        <v>0</v>
      </c>
    </row>
    <row r="50" spans="1:7">
      <c r="A50">
        <v>5039</v>
      </c>
      <c r="B50" t="s">
        <v>361</v>
      </c>
      <c r="C50">
        <f>IFERROR(VLOOKUP($A50,'Scouting Output'!$A$3:$AM$100,37,FALSE), -999)</f>
        <v>-21</v>
      </c>
      <c r="D50">
        <f>IFERROR(VLOOKUP($A50,'Scouting Output'!$A$3:$AM$100,38,FALSE), -999)</f>
        <v>-1.5</v>
      </c>
      <c r="E50">
        <f>IFERROR(VLOOKUP($A50,'Scouting Output'!$A$3:$AM$100,39,FALSE), -999)</f>
        <v>-1</v>
      </c>
      <c r="F50">
        <f>IFERROR(VLOOKUP($A50, 'Scouting Output'!$A$3:$AM130, 30, FALSE), -999)</f>
        <v>0</v>
      </c>
      <c r="G50">
        <f>IFERROR(VLOOKUP($A50, 'Scouting Output'!$A$3:$AM$100, 3, FALSE), -999)</f>
        <v>0</v>
      </c>
    </row>
    <row r="51" spans="1:7">
      <c r="A51">
        <v>5076</v>
      </c>
      <c r="B51" t="s">
        <v>372</v>
      </c>
      <c r="C51">
        <f>IFERROR(VLOOKUP($A51,'Scouting Output'!$A$3:$AM$100,37,FALSE), -999)</f>
        <v>-21</v>
      </c>
      <c r="D51">
        <f>IFERROR(VLOOKUP($A51,'Scouting Output'!$A$3:$AM$100,38,FALSE), -999)</f>
        <v>-1.5</v>
      </c>
      <c r="E51">
        <f>IFERROR(VLOOKUP($A51,'Scouting Output'!$A$3:$AM$100,39,FALSE), -999)</f>
        <v>-1</v>
      </c>
      <c r="F51">
        <f>IFERROR(VLOOKUP($A51, 'Scouting Output'!$A$3:$AM131, 30, FALSE), -999)</f>
        <v>0</v>
      </c>
      <c r="G51">
        <f>IFERROR(VLOOKUP($A51, 'Scouting Output'!$A$3:$AM$100, 3, FALSE), -999)</f>
        <v>0</v>
      </c>
    </row>
    <row r="52" spans="1:7">
      <c r="A52">
        <v>5406</v>
      </c>
      <c r="B52" t="s">
        <v>362</v>
      </c>
      <c r="C52">
        <f>IFERROR(VLOOKUP($A52,'Scouting Output'!$A$3:$AM$100,37,FALSE), -999)</f>
        <v>-21</v>
      </c>
      <c r="D52">
        <f>IFERROR(VLOOKUP($A52,'Scouting Output'!$A$3:$AM$100,38,FALSE), -999)</f>
        <v>-1.5</v>
      </c>
      <c r="E52">
        <f>IFERROR(VLOOKUP($A52,'Scouting Output'!$A$3:$AM$100,39,FALSE), -999)</f>
        <v>-1</v>
      </c>
      <c r="F52">
        <f>IFERROR(VLOOKUP($A52, 'Scouting Output'!$A$3:$AM132, 30, FALSE), -999)</f>
        <v>0</v>
      </c>
      <c r="G52">
        <f>IFERROR(VLOOKUP($A52, 'Scouting Output'!$A$3:$AM$100, 3, FALSE), -999)</f>
        <v>0</v>
      </c>
    </row>
    <row r="53" spans="1:7">
      <c r="A53">
        <v>5719</v>
      </c>
      <c r="B53" t="s">
        <v>373</v>
      </c>
      <c r="C53">
        <f>IFERROR(VLOOKUP($A53,'Scouting Output'!$A$3:$AM$100,37,FALSE), -999)</f>
        <v>-21</v>
      </c>
      <c r="D53">
        <f>IFERROR(VLOOKUP($A53,'Scouting Output'!$A$3:$AM$100,38,FALSE), -999)</f>
        <v>-1.5</v>
      </c>
      <c r="E53">
        <f>IFERROR(VLOOKUP($A53,'Scouting Output'!$A$3:$AM$100,39,FALSE), -999)</f>
        <v>-1</v>
      </c>
      <c r="F53">
        <f>IFERROR(VLOOKUP($A53, 'Scouting Output'!$A$3:$AM135, 30, FALSE), -999)</f>
        <v>0</v>
      </c>
      <c r="G53">
        <f>IFERROR(VLOOKUP($A53, 'Scouting Output'!$A$3:$AM$100, 3, FALSE), -999)</f>
        <v>0</v>
      </c>
    </row>
    <row r="54" spans="1:7">
      <c r="A54">
        <v>5911</v>
      </c>
      <c r="B54" t="s">
        <v>374</v>
      </c>
      <c r="C54">
        <f>IFERROR(VLOOKUP($A54,'Scouting Output'!$A$3:$AM$100,37,FALSE), -999)</f>
        <v>-21</v>
      </c>
      <c r="D54">
        <f>IFERROR(VLOOKUP($A54,'Scouting Output'!$A$3:$AM$100,38,FALSE), -999)</f>
        <v>-1.5</v>
      </c>
      <c r="E54">
        <f>IFERROR(VLOOKUP($A54,'Scouting Output'!$A$3:$AM$100,39,FALSE), -999)</f>
        <v>-1</v>
      </c>
      <c r="F54">
        <f>IFERROR(VLOOKUP($A54, 'Scouting Output'!$A$3:$AM137, 30, FALSE), -999)</f>
        <v>0</v>
      </c>
      <c r="G54">
        <f>IFERROR(VLOOKUP($A54, 'Scouting Output'!$A$3:$AM$100, 3, FALSE), -999)</f>
        <v>0</v>
      </c>
    </row>
    <row r="55" spans="1:7">
      <c r="A55">
        <v>6162</v>
      </c>
      <c r="B55" t="s">
        <v>375</v>
      </c>
      <c r="C55">
        <f>IFERROR(VLOOKUP($A55,'Scouting Output'!$A$3:$AM$100,37,FALSE), -999)</f>
        <v>-21</v>
      </c>
      <c r="D55">
        <f>IFERROR(VLOOKUP($A55,'Scouting Output'!$A$3:$AM$100,38,FALSE), -999)</f>
        <v>-1.5</v>
      </c>
      <c r="E55">
        <f>IFERROR(VLOOKUP($A55,'Scouting Output'!$A$3:$AM$100,39,FALSE), -999)</f>
        <v>-1</v>
      </c>
      <c r="F55">
        <f>IFERROR(VLOOKUP($A55, 'Scouting Output'!$A$3:$AM141, 30, FALSE), -999)</f>
        <v>0</v>
      </c>
      <c r="G55">
        <f>IFERROR(VLOOKUP($A55, 'Scouting Output'!$A$3:$AM$100, 3, FALSE), -999)</f>
        <v>0</v>
      </c>
    </row>
    <row r="56" spans="1:7">
      <c r="A56">
        <v>6342</v>
      </c>
      <c r="B56" t="s">
        <v>363</v>
      </c>
      <c r="C56">
        <f>IFERROR(VLOOKUP($A56,'Scouting Output'!$A$3:$AM$100,37,FALSE), -999)</f>
        <v>-21</v>
      </c>
      <c r="D56">
        <f>IFERROR(VLOOKUP($A56,'Scouting Output'!$A$3:$AM$100,38,FALSE), -999)</f>
        <v>-1.5</v>
      </c>
      <c r="E56">
        <f>IFERROR(VLOOKUP($A56,'Scouting Output'!$A$3:$AM$100,39,FALSE), -999)</f>
        <v>-1</v>
      </c>
      <c r="F56">
        <f>IFERROR(VLOOKUP($A56, 'Scouting Output'!$A$3:$AM142, 30, FALSE), -999)</f>
        <v>0</v>
      </c>
      <c r="G56">
        <f>IFERROR(VLOOKUP($A56, 'Scouting Output'!$A$3:$AM$100, 3, FALSE), -999)</f>
        <v>0</v>
      </c>
    </row>
    <row r="57" spans="1:7">
      <c r="A57">
        <v>6397</v>
      </c>
      <c r="B57" t="s">
        <v>376</v>
      </c>
      <c r="C57">
        <f>IFERROR(VLOOKUP($A57,'Scouting Output'!$A$3:$AM$100,37,FALSE), -999)</f>
        <v>-21</v>
      </c>
      <c r="D57">
        <f>IFERROR(VLOOKUP($A57,'Scouting Output'!$A$3:$AM$100,38,FALSE), -999)</f>
        <v>-1.5</v>
      </c>
      <c r="E57">
        <f>IFERROR(VLOOKUP($A57,'Scouting Output'!$A$3:$AM$100,39,FALSE), -999)</f>
        <v>-1</v>
      </c>
      <c r="F57">
        <f>IFERROR(VLOOKUP($A57, 'Scouting Output'!$A$3:$AM143, 30, FALSE), -999)</f>
        <v>0</v>
      </c>
      <c r="G57">
        <f>IFERROR(VLOOKUP($A57, 'Scouting Output'!$A$3:$AM$100, 3, FALSE), -999)</f>
        <v>0</v>
      </c>
    </row>
    <row r="58" spans="1:7">
      <c r="A58">
        <v>6878</v>
      </c>
      <c r="B58" t="s">
        <v>377</v>
      </c>
      <c r="C58">
        <f>IFERROR(VLOOKUP($A58,'Scouting Output'!$A$3:$AM$100,37,FALSE), -999)</f>
        <v>-21</v>
      </c>
      <c r="D58">
        <f>IFERROR(VLOOKUP($A58,'Scouting Output'!$A$3:$AM$100,38,FALSE), -999)</f>
        <v>-1.5</v>
      </c>
      <c r="E58">
        <f>IFERROR(VLOOKUP($A58,'Scouting Output'!$A$3:$AM$100,39,FALSE), -999)</f>
        <v>-1</v>
      </c>
      <c r="F58">
        <f>IFERROR(VLOOKUP($A58, 'Scouting Output'!$A$3:$AM149, 30, FALSE), -999)</f>
        <v>0</v>
      </c>
      <c r="G58">
        <f>IFERROR(VLOOKUP($A58, 'Scouting Output'!$A$3:$AM$100, 3, FALSE), -999)</f>
        <v>0</v>
      </c>
    </row>
    <row r="59" spans="1:7">
      <c r="A59">
        <v>7136</v>
      </c>
      <c r="B59" t="s">
        <v>364</v>
      </c>
      <c r="C59">
        <f>IFERROR(VLOOKUP($A59,'Scouting Output'!$A$3:$AM$100,37,FALSE), -999)</f>
        <v>-21</v>
      </c>
      <c r="D59">
        <f>IFERROR(VLOOKUP($A59,'Scouting Output'!$A$3:$AM$100,38,FALSE), -999)</f>
        <v>-1.5</v>
      </c>
      <c r="E59">
        <f>IFERROR(VLOOKUP($A59,'Scouting Output'!$A$3:$AM$100,39,FALSE), -999)</f>
        <v>-1</v>
      </c>
      <c r="F59">
        <f>IFERROR(VLOOKUP($A59, 'Scouting Output'!$A$3:$AM152, 30, FALSE), -999)</f>
        <v>0</v>
      </c>
      <c r="G59">
        <f>IFERROR(VLOOKUP($A59, 'Scouting Output'!$A$3:$AM$100, 3, FALSE), -999)</f>
        <v>0</v>
      </c>
    </row>
    <row r="60" spans="1:7">
      <c r="A60">
        <v>7456</v>
      </c>
      <c r="B60" t="s">
        <v>365</v>
      </c>
      <c r="C60">
        <f>IFERROR(VLOOKUP($A60,'Scouting Output'!$A$3:$AM$100,37,FALSE), -999)</f>
        <v>-21</v>
      </c>
      <c r="D60">
        <f>IFERROR(VLOOKUP($A60,'Scouting Output'!$A$3:$AM$100,38,FALSE), -999)</f>
        <v>-1.5</v>
      </c>
      <c r="E60">
        <f>IFERROR(VLOOKUP($A60,'Scouting Output'!$A$3:$AM$100,39,FALSE), -999)</f>
        <v>-1</v>
      </c>
      <c r="F60">
        <f>IFERROR(VLOOKUP($A60, 'Scouting Output'!$A$3:$AM154, 30, FALSE), -999)</f>
        <v>0</v>
      </c>
      <c r="G60">
        <f>IFERROR(VLOOKUP($A60, 'Scouting Output'!$A$3:$AM$100, 3, FALSE), -999)</f>
        <v>0</v>
      </c>
    </row>
    <row r="61" spans="1:7">
      <c r="A61">
        <v>7476</v>
      </c>
      <c r="B61" t="s">
        <v>378</v>
      </c>
      <c r="C61">
        <f>IFERROR(VLOOKUP($A61,'Scouting Output'!$A$3:$AM$100,37,FALSE), -999)</f>
        <v>-21</v>
      </c>
      <c r="D61">
        <f>IFERROR(VLOOKUP($A61,'Scouting Output'!$A$3:$AM$100,38,FALSE), -999)</f>
        <v>-1.5</v>
      </c>
      <c r="E61">
        <f>IFERROR(VLOOKUP($A61,'Scouting Output'!$A$3:$AM$100,39,FALSE), -999)</f>
        <v>-1</v>
      </c>
      <c r="F61">
        <f>IFERROR(VLOOKUP($A61, 'Scouting Output'!$A$3:$AM155, 30, FALSE), -999)</f>
        <v>0</v>
      </c>
      <c r="G61">
        <f>IFERROR(VLOOKUP($A61, 'Scouting Output'!$A$3:$AM$100, 3, FALSE), -999)</f>
        <v>0</v>
      </c>
    </row>
    <row r="62" spans="1:7">
      <c r="A62">
        <v>7520</v>
      </c>
      <c r="B62" t="s">
        <v>366</v>
      </c>
      <c r="C62">
        <f>IFERROR(VLOOKUP($A62,'Scouting Output'!$A$3:$AM$100,37,FALSE), -999)</f>
        <v>-21</v>
      </c>
      <c r="D62">
        <f>IFERROR(VLOOKUP($A62,'Scouting Output'!$A$3:$AM$100,38,FALSE), -999)</f>
        <v>-1.5</v>
      </c>
      <c r="E62">
        <f>IFERROR(VLOOKUP($A62,'Scouting Output'!$A$3:$AM$100,39,FALSE), -999)</f>
        <v>-1</v>
      </c>
      <c r="F62">
        <f>IFERROR(VLOOKUP($A62, 'Scouting Output'!$A$3:$AM156, 30, FALSE), -999)</f>
        <v>0</v>
      </c>
      <c r="G62">
        <f>IFERROR(VLOOKUP($A62, 'Scouting Output'!$A$3:$AM$100, 3, FALSE), -999)</f>
        <v>0</v>
      </c>
    </row>
    <row r="63" spans="1:7">
      <c r="A63">
        <v>6975</v>
      </c>
      <c r="B63" t="s">
        <v>228</v>
      </c>
      <c r="C63">
        <f>IFERROR(VLOOKUP($A63,'Scouting Output'!$A$3:$AM$100,37,FALSE), -999)</f>
        <v>-22</v>
      </c>
      <c r="D63">
        <f>IFERROR(VLOOKUP($A63,'Scouting Output'!$A$3:$AM$100,38,FALSE), -999)</f>
        <v>-2.4444444444444446</v>
      </c>
      <c r="E63">
        <f>IFERROR(VLOOKUP($A63,'Scouting Output'!$A$3:$AM$100,39,FALSE), -999)</f>
        <v>-1.8844444444444444</v>
      </c>
      <c r="F63">
        <f>IFERROR(VLOOKUP($A63, 'Scouting Output'!$A$3:$AM150, 30, FALSE), -999)</f>
        <v>0.44444444444444442</v>
      </c>
      <c r="G63">
        <f>IFERROR(VLOOKUP($A63, 'Scouting Output'!$A$3:$AM$100, 3, FALSE), -999)</f>
        <v>2.8888888888888893</v>
      </c>
    </row>
    <row r="64" spans="1:7">
      <c r="A64">
        <v>2708</v>
      </c>
      <c r="B64" t="s">
        <v>201</v>
      </c>
      <c r="C64">
        <f>IFERROR(VLOOKUP($A64,'Scouting Output'!$A$3:$AM$100,37,FALSE), -999)</f>
        <v>-22.4</v>
      </c>
      <c r="D64">
        <f>IFERROR(VLOOKUP($A64,'Scouting Output'!$A$3:$AM$100,38,FALSE), -999)</f>
        <v>-3.8125</v>
      </c>
      <c r="E64">
        <f>IFERROR(VLOOKUP($A64,'Scouting Output'!$A$3:$AM$100,39,FALSE), -999)</f>
        <v>-0.78</v>
      </c>
      <c r="F64">
        <f>IFERROR(VLOOKUP($A64, 'Scouting Output'!$A$3:$AM109, 30, FALSE), -999)</f>
        <v>0.75</v>
      </c>
      <c r="G64">
        <f>IFERROR(VLOOKUP($A64, 'Scouting Output'!$A$3:$AM$100, 3, FALSE), -999)</f>
        <v>4.625</v>
      </c>
    </row>
    <row r="65" spans="1:7">
      <c r="A65">
        <v>7712</v>
      </c>
      <c r="B65" t="s">
        <v>235</v>
      </c>
      <c r="C65">
        <f>IFERROR(VLOOKUP($A65,'Scouting Output'!$A$3:$AM$100,37,FALSE), -999)</f>
        <v>-22.585000000000001</v>
      </c>
      <c r="D65">
        <f>IFERROR(VLOOKUP($A65,'Scouting Output'!$A$3:$AM$100,38,FALSE), -999)</f>
        <v>-3.75</v>
      </c>
      <c r="E65">
        <f>IFERROR(VLOOKUP($A65,'Scouting Output'!$A$3:$AM$100,39,FALSE), -999)</f>
        <v>-1.9975000000000001</v>
      </c>
      <c r="F65">
        <f>IFERROR(VLOOKUP($A65, 'Scouting Output'!$A$3:$AM161, 30, FALSE), -999)</f>
        <v>0.625</v>
      </c>
      <c r="G65">
        <f>IFERROR(VLOOKUP($A65, 'Scouting Output'!$A$3:$AM$100, 3, FALSE), -999)</f>
        <v>4.75</v>
      </c>
    </row>
  </sheetData>
  <sortState xmlns:xlrd2="http://schemas.microsoft.com/office/spreadsheetml/2017/richdata2" ref="A2:G65">
    <sortCondition descending="1" ref="C2"/>
  </sortState>
  <conditionalFormatting sqref="A1:G1048576">
    <cfRule type="expression" dxfId="33" priority="24">
      <formula>IF($A1=$I$2,TRUE,FALSE)</formula>
    </cfRule>
  </conditionalFormatting>
  <conditionalFormatting sqref="F2:G100">
    <cfRule type="cellIs" dxfId="32" priority="22" operator="between">
      <formula>1.45</formula>
      <formula>2.45</formula>
    </cfRule>
  </conditionalFormatting>
  <conditionalFormatting sqref="C1:E1048576 D2:G65">
    <cfRule type="cellIs" dxfId="31" priority="21" operator="lessThan">
      <formula>0</formula>
    </cfRule>
  </conditionalFormatting>
  <conditionalFormatting sqref="L1:Q41 R1:S1">
    <cfRule type="expression" dxfId="30" priority="16" stopIfTrue="1">
      <formula>IF($A1=$I$2,TRUE,FALSE)</formula>
    </cfRule>
    <cfRule type="expression" dxfId="29" priority="17">
      <formula>IF($A1=$I$2,TRUE,FALSE)</formula>
    </cfRule>
  </conditionalFormatting>
  <conditionalFormatting sqref="Q2:Q41">
    <cfRule type="cellIs" dxfId="28" priority="18" operator="between">
      <formula>1.45</formula>
      <formula>2.45</formula>
    </cfRule>
    <cfRule type="cellIs" dxfId="27" priority="19" operator="greaterThan">
      <formula>2.45</formula>
    </cfRule>
  </conditionalFormatting>
  <conditionalFormatting sqref="N1:P41">
    <cfRule type="cellIs" dxfId="26" priority="20" operator="lessThan">
      <formula>0</formula>
    </cfRule>
  </conditionalFormatting>
  <conditionalFormatting sqref="F2:F100">
    <cfRule type="cellIs" dxfId="25" priority="23" operator="greaterThan">
      <formula>2.45</formula>
    </cfRule>
  </conditionalFormatting>
  <conditionalFormatting sqref="Q1:Q1048576">
    <cfRule type="cellIs" dxfId="24" priority="15" operator="greaterThan">
      <formula>1.45</formula>
    </cfRule>
  </conditionalFormatting>
  <conditionalFormatting sqref="T1:Z1">
    <cfRule type="expression" dxfId="23" priority="12" stopIfTrue="1">
      <formula>IF($A1=$I$2,TRUE,FALSE)</formula>
    </cfRule>
    <cfRule type="expression" dxfId="22" priority="13">
      <formula>IF($A1=$I$2,TRUE,FALSE)</formula>
    </cfRule>
  </conditionalFormatting>
  <conditionalFormatting sqref="V1:X1">
    <cfRule type="cellIs" dxfId="21" priority="14" operator="lessThan">
      <formula>0</formula>
    </cfRule>
  </conditionalFormatting>
  <conditionalFormatting sqref="Y1">
    <cfRule type="cellIs" dxfId="20" priority="11" operator="greaterThan">
      <formula>1.45</formula>
    </cfRule>
  </conditionalFormatting>
  <conditionalFormatting sqref="T2:Y41">
    <cfRule type="expression" dxfId="19" priority="6" stopIfTrue="1">
      <formula>IF($A2=$I$2,TRUE,FALSE)</formula>
    </cfRule>
    <cfRule type="expression" dxfId="18" priority="7">
      <formula>IF($A2=$I$2,TRUE,FALSE)</formula>
    </cfRule>
  </conditionalFormatting>
  <conditionalFormatting sqref="Y2:Y41">
    <cfRule type="cellIs" dxfId="17" priority="8" operator="between">
      <formula>1.45</formula>
      <formula>2.45</formula>
    </cfRule>
    <cfRule type="cellIs" dxfId="16" priority="9" operator="greaterThan">
      <formula>2.45</formula>
    </cfRule>
  </conditionalFormatting>
  <conditionalFormatting sqref="V2:X41">
    <cfRule type="cellIs" dxfId="15" priority="10" operator="lessThan">
      <formula>0</formula>
    </cfRule>
  </conditionalFormatting>
  <conditionalFormatting sqref="Y2:Y41">
    <cfRule type="cellIs" dxfId="14" priority="5" operator="greaterThan">
      <formula>1.45</formula>
    </cfRule>
  </conditionalFormatting>
  <conditionalFormatting sqref="C2">
    <cfRule type="cellIs" dxfId="13" priority="4" operator="equal">
      <formula>-999</formula>
    </cfRule>
  </conditionalFormatting>
  <conditionalFormatting sqref="D2:G2">
    <cfRule type="cellIs" dxfId="12" priority="3" operator="equal">
      <formula>-999</formula>
    </cfRule>
  </conditionalFormatting>
  <conditionalFormatting sqref="C3:C65">
    <cfRule type="cellIs" dxfId="11" priority="2" operator="equal">
      <formula>-999</formula>
    </cfRule>
  </conditionalFormatting>
  <conditionalFormatting sqref="D3:G65">
    <cfRule type="cellIs" dxfId="10" priority="1" operator="equal">
      <formula>-999</formula>
    </cfRule>
  </conditionalFormatting>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43"/>
  <sheetViews>
    <sheetView topLeftCell="D1" zoomScale="70" zoomScaleNormal="70" workbookViewId="0">
      <selection activeCell="K16" sqref="K16"/>
    </sheetView>
  </sheetViews>
  <sheetFormatPr defaultColWidth="11" defaultRowHeight="15"/>
  <cols>
    <col min="3" max="4" width="16.42578125" customWidth="1"/>
    <col min="5" max="5" width="12.42578125" customWidth="1"/>
    <col min="13" max="13" width="11.7109375" customWidth="1"/>
    <col min="27" max="27" width="21.7109375" customWidth="1"/>
    <col min="28" max="28" width="12.140625" customWidth="1"/>
    <col min="29" max="29" width="0.28515625" customWidth="1"/>
    <col min="30" max="30" width="0.140625" customWidth="1"/>
    <col min="31" max="31" width="12.42578125" customWidth="1"/>
    <col min="32" max="32" width="12.85546875" customWidth="1"/>
    <col min="33" max="33" width="12.7109375" customWidth="1"/>
    <col min="34" max="34" width="17" customWidth="1"/>
    <col min="35" max="38" width="10.85546875" customWidth="1"/>
  </cols>
  <sheetData>
    <row r="1" spans="1:37">
      <c r="A1" s="136" t="s">
        <v>190</v>
      </c>
      <c r="B1" s="136"/>
      <c r="C1" s="113">
        <v>610</v>
      </c>
      <c r="E1" t="s">
        <v>178</v>
      </c>
    </row>
    <row r="2" spans="1:37">
      <c r="C2" s="155" t="s">
        <v>9</v>
      </c>
      <c r="D2" s="155"/>
      <c r="E2" s="155"/>
      <c r="F2" s="155"/>
      <c r="G2" s="155"/>
      <c r="H2" s="155"/>
      <c r="I2" s="155"/>
      <c r="J2" s="155"/>
      <c r="K2" s="155"/>
      <c r="L2" s="155" t="s">
        <v>1</v>
      </c>
      <c r="M2" s="155"/>
      <c r="N2" s="155"/>
      <c r="O2" s="155"/>
      <c r="P2" s="155"/>
      <c r="Q2" s="155"/>
      <c r="R2" s="155"/>
      <c r="S2" s="155"/>
      <c r="T2" s="155"/>
      <c r="U2" s="155"/>
      <c r="V2" s="155"/>
      <c r="W2" s="155"/>
      <c r="X2" s="155"/>
      <c r="Y2" s="155"/>
      <c r="Z2" s="155"/>
      <c r="AA2" s="155"/>
      <c r="AB2" s="155"/>
      <c r="AC2" s="155"/>
      <c r="AD2" s="155"/>
      <c r="AE2" s="155"/>
      <c r="AF2" s="155"/>
      <c r="AG2" s="155"/>
      <c r="AH2" s="30"/>
    </row>
    <row r="3" spans="1:37" ht="15.75" thickBot="1">
      <c r="B3" s="121" t="s">
        <v>292</v>
      </c>
      <c r="C3" s="121" t="s">
        <v>241</v>
      </c>
      <c r="D3" s="105" t="s">
        <v>113</v>
      </c>
      <c r="E3" s="2" t="s">
        <v>134</v>
      </c>
      <c r="F3" s="3" t="s">
        <v>135</v>
      </c>
      <c r="G3" s="2" t="s">
        <v>130</v>
      </c>
      <c r="H3" s="2" t="s">
        <v>129</v>
      </c>
      <c r="I3" s="2" t="s">
        <v>11</v>
      </c>
      <c r="J3" s="2" t="s">
        <v>12</v>
      </c>
      <c r="K3" s="2" t="s">
        <v>136</v>
      </c>
      <c r="L3" s="2" t="s">
        <v>13</v>
      </c>
      <c r="M3" s="2" t="s">
        <v>14</v>
      </c>
      <c r="N3" s="2" t="s">
        <v>15</v>
      </c>
      <c r="O3" s="78" t="s">
        <v>16</v>
      </c>
      <c r="P3" s="2" t="s">
        <v>134</v>
      </c>
      <c r="Q3" s="2" t="s">
        <v>135</v>
      </c>
      <c r="R3" s="2" t="s">
        <v>130</v>
      </c>
      <c r="S3" s="2" t="s">
        <v>129</v>
      </c>
      <c r="T3" s="2" t="s">
        <v>11</v>
      </c>
      <c r="U3" s="2" t="s">
        <v>12</v>
      </c>
      <c r="V3" s="2" t="s">
        <v>136</v>
      </c>
      <c r="W3" s="2" t="s">
        <v>13</v>
      </c>
      <c r="X3" s="2" t="s">
        <v>14</v>
      </c>
      <c r="Y3" s="2" t="s">
        <v>15</v>
      </c>
      <c r="Z3" s="2" t="s">
        <v>16</v>
      </c>
      <c r="AA3" s="2" t="s">
        <v>17</v>
      </c>
      <c r="AB3" s="2" t="s">
        <v>128</v>
      </c>
      <c r="AC3" s="2" t="s">
        <v>23</v>
      </c>
      <c r="AD3" s="2" t="s">
        <v>6</v>
      </c>
      <c r="AG3" s="2" t="s">
        <v>5</v>
      </c>
      <c r="AH3" s="2" t="s">
        <v>118</v>
      </c>
      <c r="AI3" s="2" t="s">
        <v>7</v>
      </c>
      <c r="AJ3" s="78" t="s">
        <v>142</v>
      </c>
      <c r="AK3" s="3" t="s">
        <v>8</v>
      </c>
    </row>
    <row r="4" spans="1:37" ht="15.75" thickTop="1">
      <c r="A4">
        <f>VLOOKUP($C$1,'Raw Data'!$A$3:$AB$1008,1,FALSE)</f>
        <v>610</v>
      </c>
      <c r="B4">
        <f>VLOOKUP($C$1, 'Scouting Output'!$A$3:$AJ$998, COLUMN() + 1, FALSE)</f>
        <v>21.555555555555554</v>
      </c>
      <c r="C4">
        <f>VLOOKUP($C$1, 'Scouting Output'!$A$3:$AJ$998, COLUMN() + 1, FALSE)</f>
        <v>7.333333333333333</v>
      </c>
      <c r="D4">
        <f>VLOOKUP($C$1, 'Scouting Output'!$A$3:$AJ$998, COLUMN() + 1, FALSE)</f>
        <v>1.3333333333333333</v>
      </c>
      <c r="E4">
        <f>VLOOKUP($C$1, 'Scouting Output'!$A$3:$AJ$998, COLUMN() + 1, FALSE)</f>
        <v>0</v>
      </c>
      <c r="F4">
        <f>VLOOKUP($C$1, 'Scouting Output'!$A$3:$AJ$998, COLUMN() + 1, FALSE)</f>
        <v>0</v>
      </c>
      <c r="G4">
        <f>VLOOKUP($C$1, 'Scouting Output'!$A$3:$AJ$998, COLUMN() + 1, FALSE)</f>
        <v>0.1111111111111111</v>
      </c>
      <c r="H4">
        <f>VLOOKUP($C$1, 'Scouting Output'!$A$3:$AJ$998, COLUMN() + 1, FALSE)</f>
        <v>0.22222222222222221</v>
      </c>
      <c r="I4">
        <f>VLOOKUP($C$1, 'Scouting Output'!$A$3:$AJ$998, COLUMN() + 1, FALSE)</f>
        <v>0</v>
      </c>
      <c r="J4">
        <f>VLOOKUP($C$1, 'Scouting Output'!$A$3:$AJ$998, COLUMN() + 1, FALSE)</f>
        <v>0</v>
      </c>
      <c r="K4">
        <f>VLOOKUP($C$1, 'Scouting Output'!$A$3:$AJ$998, COLUMN() + 1, FALSE)</f>
        <v>0</v>
      </c>
      <c r="L4">
        <f>VLOOKUP($C$1, 'Scouting Output'!$A$3:$AJ$998, COLUMN() + 1, FALSE)</f>
        <v>0.1111111111111111</v>
      </c>
      <c r="M4">
        <f>VLOOKUP($C$1, 'Scouting Output'!$A$3:$AJ$998, COLUMN() + 1, FALSE)</f>
        <v>0</v>
      </c>
      <c r="N4">
        <f>VLOOKUP($C$1, 'Scouting Output'!$A$3:$AJ$998, COLUMN() + 1, FALSE)</f>
        <v>0</v>
      </c>
      <c r="O4">
        <f>VLOOKUP($C$1, 'Scouting Output'!$A$3:$AJ$998, COLUMN() + 1, FALSE)</f>
        <v>0</v>
      </c>
      <c r="P4">
        <f>VLOOKUP($C$1, 'Scouting Output'!$A$3:$AJ$998, COLUMN() + 1, FALSE)</f>
        <v>0</v>
      </c>
      <c r="Q4">
        <f>VLOOKUP($C$1, 'Scouting Output'!$A$3:$AJ$998, COLUMN() + 1, FALSE)</f>
        <v>0</v>
      </c>
      <c r="R4">
        <f>VLOOKUP($C$1, 'Scouting Output'!$A$3:$AJ$998, COLUMN() + 1, FALSE)</f>
        <v>0.88888888888888884</v>
      </c>
      <c r="S4">
        <f>VLOOKUP($C$1, 'Scouting Output'!$A$3:$AJ$998, COLUMN() + 1, FALSE)</f>
        <v>0.1111111111111111</v>
      </c>
      <c r="T4">
        <f>VLOOKUP($C$1, 'Scouting Output'!$A$3:$AJ$998, COLUMN() + 1, FALSE)</f>
        <v>1</v>
      </c>
      <c r="U4">
        <f>VLOOKUP($C$1, 'Scouting Output'!$A$3:$AJ$998, COLUMN() + 1, FALSE)</f>
        <v>0.44444444444444442</v>
      </c>
      <c r="V4">
        <f>VLOOKUP($C$1, 'Scouting Output'!$A$3:$AJ$998, COLUMN() + 1, FALSE)</f>
        <v>0</v>
      </c>
      <c r="W4">
        <f>VLOOKUP($C$1, 'Scouting Output'!$A$3:$AJ$998, COLUMN() + 1, FALSE)</f>
        <v>1.4444444444444444</v>
      </c>
      <c r="X4">
        <f>VLOOKUP($C$1, 'Scouting Output'!$A$3:$AJ$998, COLUMN() + 1, FALSE)</f>
        <v>0</v>
      </c>
      <c r="Y4">
        <f>VLOOKUP($C$1, 'Scouting Output'!$A$3:$AJ$998, COLUMN() + 1, FALSE)</f>
        <v>0.44444444444444442</v>
      </c>
      <c r="Z4">
        <f>VLOOKUP($C$1, 'Scouting Output'!$A$3:$AJ$998, COLUMN() + 1, FALSE)</f>
        <v>0.22222222222222221</v>
      </c>
      <c r="AA4">
        <f>VLOOKUP($C$1, 'Scouting Output'!$A$3:$AJ$998, COLUMN() + 1, FALSE)</f>
        <v>0</v>
      </c>
      <c r="AB4">
        <f>VLOOKUP($C$1, 'Scouting Output'!$A$3:$AJ$998, COLUMN() + 1, FALSE)</f>
        <v>0</v>
      </c>
      <c r="AE4">
        <f>VLOOKUP($C$1, 'Scouting Output'!$A$3:$AJ$998, COLUMN() - 2, FALSE)</f>
        <v>0</v>
      </c>
      <c r="AF4">
        <f>VLOOKUP($C$1, 'Scouting Output'!$A$3:$AJ$998, COLUMN() - 1, FALSE)</f>
        <v>0</v>
      </c>
      <c r="AG4">
        <f>VLOOKUP($C$1, 'Scouting Output'!$A$3:$AJ$998, COLUMN() - 1, FALSE)</f>
        <v>0</v>
      </c>
      <c r="AH4">
        <f>VLOOKUP($C$1, 'Scouting Output'!$A$3:$AJ$998, COLUMN() - 1, FALSE)</f>
        <v>0</v>
      </c>
      <c r="AI4">
        <f>VLOOKUP($C$1, 'Scouting Output'!$A$3:$AJ$998, COLUMN() - 1, FALSE)</f>
        <v>0.66666666666666663</v>
      </c>
    </row>
    <row r="6" spans="1:37">
      <c r="C6" s="155" t="s">
        <v>9</v>
      </c>
      <c r="D6" s="155"/>
      <c r="E6" s="155"/>
      <c r="F6" s="155"/>
      <c r="G6" s="155"/>
      <c r="H6" s="155"/>
      <c r="I6" s="155"/>
      <c r="J6" s="155"/>
      <c r="K6" s="155"/>
      <c r="L6" s="155" t="s">
        <v>115</v>
      </c>
      <c r="M6" s="155"/>
      <c r="N6" s="155"/>
      <c r="O6" s="155"/>
      <c r="P6" s="155"/>
      <c r="Q6" s="155"/>
      <c r="R6" s="155"/>
      <c r="S6" s="155"/>
      <c r="T6" s="155"/>
      <c r="U6" s="155"/>
      <c r="V6" s="155"/>
      <c r="W6" s="155"/>
      <c r="X6" s="155"/>
      <c r="Y6" s="155"/>
      <c r="Z6" s="155"/>
      <c r="AA6" s="155"/>
      <c r="AB6" s="155"/>
      <c r="AC6" s="155"/>
      <c r="AD6" s="155"/>
    </row>
    <row r="7" spans="1:37" ht="15.75" thickBot="1">
      <c r="B7" s="106" t="s">
        <v>113</v>
      </c>
      <c r="C7" s="34" t="s">
        <v>130</v>
      </c>
      <c r="D7" s="34" t="s">
        <v>129</v>
      </c>
      <c r="E7" s="34" t="s">
        <v>11</v>
      </c>
      <c r="F7" s="34" t="s">
        <v>12</v>
      </c>
      <c r="G7" s="34" t="s">
        <v>13</v>
      </c>
      <c r="H7" s="34" t="s">
        <v>14</v>
      </c>
      <c r="I7" s="34" t="s">
        <v>15</v>
      </c>
      <c r="J7" s="32" t="s">
        <v>16</v>
      </c>
      <c r="K7" s="33" t="s">
        <v>130</v>
      </c>
      <c r="L7" s="34" t="s">
        <v>129</v>
      </c>
      <c r="M7" s="34" t="s">
        <v>11</v>
      </c>
      <c r="N7" s="34" t="s">
        <v>12</v>
      </c>
      <c r="O7" s="34" t="s">
        <v>13</v>
      </c>
      <c r="P7" s="34" t="s">
        <v>14</v>
      </c>
      <c r="Q7" s="34" t="s">
        <v>15</v>
      </c>
      <c r="R7" s="34" t="s">
        <v>16</v>
      </c>
      <c r="S7" s="34" t="s">
        <v>17</v>
      </c>
      <c r="T7" s="34" t="s">
        <v>128</v>
      </c>
      <c r="U7" s="32" t="s">
        <v>23</v>
      </c>
      <c r="V7" s="33" t="s">
        <v>5</v>
      </c>
      <c r="W7" s="34" t="s">
        <v>6</v>
      </c>
      <c r="X7" s="34" t="s">
        <v>118</v>
      </c>
      <c r="Y7" s="32" t="s">
        <v>7</v>
      </c>
      <c r="Z7" s="1" t="s">
        <v>142</v>
      </c>
      <c r="AA7" s="1" t="s">
        <v>143</v>
      </c>
      <c r="AB7" s="1" t="s">
        <v>131</v>
      </c>
    </row>
    <row r="8" spans="1:37" ht="15.75" thickTop="1">
      <c r="A8">
        <f>VLOOKUP($C$1,'Raw Data'!$A$3:$AB$1008,1,FALSE)</f>
        <v>610</v>
      </c>
      <c r="B8">
        <f>VLOOKUP($C1, 'Raw Data'!$A$3:$AJ$1008,COLUMN() + 2,FALSE)</f>
        <v>2</v>
      </c>
      <c r="C8">
        <f>VLOOKUP($C1, 'Raw Data'!$A$3:$AJ$1008,COLUMN() + 2,FALSE)</f>
        <v>0</v>
      </c>
      <c r="D8">
        <f>VLOOKUP($C1, 'Raw Data'!$A$3:$AJ$1008,COLUMN() + 2,FALSE)</f>
        <v>0</v>
      </c>
      <c r="E8">
        <f>VLOOKUP($C1, 'Raw Data'!$A$3:$AJ$1008,COLUMN() + 2,FALSE)</f>
        <v>0</v>
      </c>
      <c r="F8">
        <f>VLOOKUP($C1, 'Raw Data'!$A$3:$AJ$1008,COLUMN() + 2,FALSE)</f>
        <v>0</v>
      </c>
      <c r="G8">
        <f>VLOOKUP($C1, 'Raw Data'!$A$3:$AJ$1008,COLUMN() + 3,FALSE)</f>
        <v>1</v>
      </c>
      <c r="H8">
        <f>VLOOKUP($C1, 'Raw Data'!$A$3:$AJ$1008,COLUMN() + 3,FALSE)</f>
        <v>0</v>
      </c>
      <c r="I8">
        <f>VLOOKUP($C1, 'Raw Data'!$A$3:$AJ$1008,COLUMN() + 3,FALSE)</f>
        <v>0</v>
      </c>
      <c r="J8">
        <f>VLOOKUP($C1, 'Raw Data'!$A$3:$AJ$1008,COLUMN() + 3,FALSE)</f>
        <v>0</v>
      </c>
      <c r="K8">
        <f>VLOOKUP($C1, 'Raw Data'!$A$3:$AJ$1008,COLUMN() + 5,FALSE)</f>
        <v>0</v>
      </c>
      <c r="L8">
        <f>VLOOKUP($C1, 'Raw Data'!$A$3:$AJ$1008,COLUMN() + 5,FALSE)</f>
        <v>0</v>
      </c>
      <c r="M8">
        <f>VLOOKUP($C1, 'Raw Data'!$A$3:$AJ$1008,COLUMN() + 5,FALSE)</f>
        <v>0</v>
      </c>
      <c r="N8">
        <f>VLOOKUP($C1, 'Raw Data'!$A$3:$AJ$1008,COLUMN() + 5,FALSE)</f>
        <v>0</v>
      </c>
      <c r="O8">
        <f>VLOOKUP($C1, 'Raw Data'!$A$3:$AJ$1008,COLUMN() + 6,FALSE)</f>
        <v>1</v>
      </c>
      <c r="P8">
        <f>VLOOKUP($C1, 'Raw Data'!$A$3:$AJ$1008,COLUMN() + 6,FALSE)</f>
        <v>0</v>
      </c>
      <c r="Q8">
        <f>VLOOKUP($C1, 'Raw Data'!$A$3:$AJ$1008,COLUMN() + 6,FALSE)</f>
        <v>0</v>
      </c>
      <c r="R8">
        <f>VLOOKUP($C1, 'Raw Data'!$A$3:$AJ$1008,COLUMN() + 6,FALSE)</f>
        <v>0</v>
      </c>
      <c r="S8">
        <f>VLOOKUP($C1, 'Raw Data'!$A$3:$AJ$1008, COLUMN() + 8,FALSE)</f>
        <v>0</v>
      </c>
      <c r="T8">
        <f>VLOOKUP($C1, 'Raw Data'!$A$3:$AJ$1008, COLUMN() + 8,FALSE)</f>
        <v>0</v>
      </c>
      <c r="U8">
        <f>VLOOKUP($C1, 'Raw Data'!$A$3:$AJ$1008, COLUMN() + 8,FALSE)</f>
        <v>0</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40</v>
      </c>
      <c r="AC8" t="str">
        <f>CONCATENATE("'Raw Data'!$A", SUM($AB8, 1), ":$AK$1081")</f>
        <v>'Raw Data'!$A41:$AK$1081</v>
      </c>
      <c r="AD8" t="str">
        <f>CONCATENATE("'Raw Data'!$A", SUM($AB8, 1), ":$A$1081")</f>
        <v>'Raw Data'!$A41:$A$1081</v>
      </c>
    </row>
    <row r="9" spans="1:37">
      <c r="A9">
        <f>VLOOKUP($C$1,'Raw Data'!$A$3:$AB$1008,1,FALSE)</f>
        <v>610</v>
      </c>
      <c r="B9">
        <f ca="1">IFERROR(VLOOKUP($C$1, INDIRECT($AC8), COLUMN() + 2, FALSE), "")</f>
        <v>1</v>
      </c>
      <c r="C9">
        <f t="shared" ref="C9:C43" ca="1" si="0">IFERROR(VLOOKUP($C$1, INDIRECT($AC8), COLUMN() + 2, FALSE), "")</f>
        <v>0</v>
      </c>
      <c r="D9">
        <f t="shared" ref="D9:D43" ca="1" si="1">IFERROR(VLOOKUP($C$1, INDIRECT($AC8), COLUMN() + 2, FALSE), "")</f>
        <v>1</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1</v>
      </c>
      <c r="M9">
        <f t="shared" ref="M9:M43" ca="1" si="10">IFERROR(VLOOKUP($C$1, INDIRECT($AC8),COLUMN() + 5, FALSE), "")</f>
        <v>1</v>
      </c>
      <c r="N9">
        <f t="shared" ref="N9:N43" ca="1" si="11">IFERROR(VLOOKUP($C$1, INDIRECT($AC8),COLUMN() + 5, FALSE), "")</f>
        <v>0</v>
      </c>
      <c r="O9">
        <f t="shared" ref="O9:O43" ca="1" si="12">IFERROR(VLOOKUP($C$1, INDIRECT($AC8), COLUMN() + 6, FALSE), "")</f>
        <v>0</v>
      </c>
      <c r="P9">
        <f t="shared" ref="P9:P43" ca="1" si="13">IFERROR(VLOOKUP($C$1, INDIRECT($AC8), COLUMN() + 6, FALSE), "")</f>
        <v>0</v>
      </c>
      <c r="Q9">
        <f t="shared" ref="Q9:Q43" ca="1" si="14">IFERROR(VLOOKUP($C$1, INDIRECT($AC8), COLUMN() + 6, FALSE), "")</f>
        <v>2</v>
      </c>
      <c r="R9">
        <f t="shared" ref="R9:R43" ca="1" si="15">IFERROR(VLOOKUP($C$1, INDIRECT($AC8), COLUMN() + 6, FALSE), "")</f>
        <v>0</v>
      </c>
      <c r="S9">
        <f t="shared" ref="S9:S43" ca="1" si="16">IFERROR(VLOOKUP($C$1, INDIRECT($AC8), COLUMN() + 8, FALSE), "")</f>
        <v>0</v>
      </c>
      <c r="T9">
        <f t="shared" ref="T9:T43" ca="1" si="17">IFERROR(VLOOKUP($C$1, INDIRECT($AC8), COLUMN() + 8, FALSE), "")</f>
        <v>0</v>
      </c>
      <c r="U9">
        <f t="shared" ref="U9:U43" ca="1" si="18">IFERROR(VLOOKUP($C$1, INDIRECT($AC8), COLUMN() + 8, FALSE), "")</f>
        <v>1</v>
      </c>
      <c r="V9">
        <f t="shared" ref="V9:V43" ca="1" si="19">IFERROR(VLOOKUP($C$1, INDIRECT($AC8), COLUMN() + 8, FALSE), "")</f>
        <v>0</v>
      </c>
      <c r="W9">
        <f t="shared" ref="W9:W43" ca="1" si="20">IFERROR(VLOOKUP($C$1, INDIRECT($AC8), COLUMN() + 8, FALSE), "")</f>
        <v>0</v>
      </c>
      <c r="X9">
        <f t="shared" ref="X9:X43" ca="1" si="21">IFERROR(VLOOKUP($C$1, INDIRECT($AC8), COLUMN() + 8, FALSE), "")</f>
        <v>0</v>
      </c>
      <c r="Y9">
        <f t="shared" ref="Y9:Y43" ca="1" si="22">IFERROR(VLOOKUP($C$1, INDIRECT($AC8), COLUMN() + 8, FALSE), "")</f>
        <v>3</v>
      </c>
      <c r="Z9">
        <f t="shared" ref="Z9:Z24" ca="1" si="23">IFERROR(VLOOKUP($C$1, INDIRECT($AC8), COLUMN() + 8, FALSE), "")</f>
        <v>1</v>
      </c>
      <c r="AA9" t="str">
        <f ca="1">IFERROR(IF(VLOOKUP($C$1, INDIRECT($AC8), COLUMN() + 8, FALSE) = 0, "", VLOOKUP($C$1, INDIRECT($AC8), COLUMN() + 8, FALSE)), "")</f>
        <v/>
      </c>
      <c r="AB9">
        <f t="shared" ref="AB9:AB43" ca="1" si="24">SUM(MATCH($C$1,INDIRECT($AD8), 0), $AB8)</f>
        <v>87</v>
      </c>
      <c r="AC9" t="str">
        <f t="shared" ref="AC9:AC43" ca="1" si="25">CONCATENATE("'Raw Data'!$A", SUM($AB9, 1), ":$AK$1081")</f>
        <v>'Raw Data'!$A88:$AK$1081</v>
      </c>
      <c r="AD9" t="str">
        <f t="shared" ref="AD9:AD43" ca="1" si="26">CONCATENATE("'Raw Data'!$A", SUM($AB9, 1), ":$A$1081")</f>
        <v>'Raw Data'!$A88:$A$1081</v>
      </c>
    </row>
    <row r="10" spans="1:37">
      <c r="A10">
        <f>VLOOKUP($C$1,'Raw Data'!$A$3:$AB$1008,1,FALSE)</f>
        <v>610</v>
      </c>
      <c r="B10">
        <f t="shared" ref="B10:B43" ca="1" si="27">IFERROR(VLOOKUP($C$1, INDIRECT($AC9), COLUMN() + 2, FALSE), "")</f>
        <v>2</v>
      </c>
      <c r="C10">
        <f t="shared" ca="1" si="0"/>
        <v>1</v>
      </c>
      <c r="D10">
        <f t="shared" ca="1" si="1"/>
        <v>0</v>
      </c>
      <c r="E10">
        <f t="shared" ca="1" si="2"/>
        <v>0</v>
      </c>
      <c r="F10">
        <f t="shared" ca="1" si="3"/>
        <v>0</v>
      </c>
      <c r="G10">
        <f t="shared" ca="1" si="4"/>
        <v>0</v>
      </c>
      <c r="H10">
        <f t="shared" ca="1" si="5"/>
        <v>0</v>
      </c>
      <c r="I10">
        <f t="shared" ca="1" si="6"/>
        <v>0</v>
      </c>
      <c r="J10">
        <f t="shared" ca="1" si="7"/>
        <v>0</v>
      </c>
      <c r="K10">
        <f t="shared" ca="1" si="8"/>
        <v>1</v>
      </c>
      <c r="L10">
        <f t="shared" ca="1" si="9"/>
        <v>0</v>
      </c>
      <c r="M10">
        <f t="shared" ca="1" si="10"/>
        <v>0</v>
      </c>
      <c r="N10">
        <f t="shared" ca="1" si="11"/>
        <v>0</v>
      </c>
      <c r="O10">
        <f t="shared" ca="1" si="12"/>
        <v>4</v>
      </c>
      <c r="P10">
        <f t="shared" ca="1" si="13"/>
        <v>0</v>
      </c>
      <c r="Q10">
        <f t="shared" ca="1" si="14"/>
        <v>0</v>
      </c>
      <c r="R10">
        <f t="shared" ca="1" si="15"/>
        <v>0</v>
      </c>
      <c r="S10">
        <f t="shared" ca="1" si="16"/>
        <v>0</v>
      </c>
      <c r="T10">
        <f t="shared" ca="1" si="17"/>
        <v>0</v>
      </c>
      <c r="U10">
        <f t="shared" ca="1" si="18"/>
        <v>3</v>
      </c>
      <c r="V10">
        <f t="shared" ca="1" si="19"/>
        <v>0</v>
      </c>
      <c r="W10">
        <f t="shared" ca="1" si="20"/>
        <v>0</v>
      </c>
      <c r="X10">
        <f t="shared" ca="1" si="21"/>
        <v>0</v>
      </c>
      <c r="Y10">
        <f t="shared" ca="1" si="22"/>
        <v>0</v>
      </c>
      <c r="Z10">
        <f t="shared" ca="1" si="23"/>
        <v>0</v>
      </c>
      <c r="AA10" t="str">
        <f t="shared" ref="AA10:AA43" ca="1" si="28">IFERROR(IF(VLOOKUP($C$1, INDIRECT($AC9), COLUMN() + 8, FALSE) = 0, "", VLOOKUP($C$1, INDIRECT($AC9), COLUMN() + 8, FALSE)), "")</f>
        <v/>
      </c>
      <c r="AB10">
        <f t="shared" ca="1" si="24"/>
        <v>111</v>
      </c>
      <c r="AC10" t="str">
        <f t="shared" ca="1" si="25"/>
        <v>'Raw Data'!$A112:$AK$1081</v>
      </c>
      <c r="AD10" t="str">
        <f t="shared" ca="1" si="26"/>
        <v>'Raw Data'!$A112:$A$1081</v>
      </c>
    </row>
    <row r="11" spans="1:37">
      <c r="A11">
        <f>VLOOKUP($C$1,'Raw Data'!$A$3:$AB$1008,1,FALSE)</f>
        <v>610</v>
      </c>
      <c r="B11">
        <f t="shared" ca="1" si="27"/>
        <v>2</v>
      </c>
      <c r="C11">
        <f t="shared" ca="1" si="0"/>
        <v>0</v>
      </c>
      <c r="D11">
        <f t="shared" ca="1" si="1"/>
        <v>0</v>
      </c>
      <c r="E11">
        <f t="shared" ca="1" si="2"/>
        <v>0</v>
      </c>
      <c r="F11">
        <f t="shared" ca="1" si="3"/>
        <v>0</v>
      </c>
      <c r="G11">
        <f t="shared" ca="1" si="4"/>
        <v>0</v>
      </c>
      <c r="H11">
        <f t="shared" ca="1" si="5"/>
        <v>0</v>
      </c>
      <c r="I11">
        <f t="shared" ca="1" si="6"/>
        <v>0</v>
      </c>
      <c r="J11">
        <f t="shared" ca="1" si="7"/>
        <v>0</v>
      </c>
      <c r="K11">
        <f t="shared" ca="1" si="8"/>
        <v>2</v>
      </c>
      <c r="L11">
        <f t="shared" ca="1" si="9"/>
        <v>0</v>
      </c>
      <c r="M11">
        <f t="shared" ca="1" si="10"/>
        <v>0</v>
      </c>
      <c r="N11">
        <f t="shared" ca="1" si="11"/>
        <v>0</v>
      </c>
      <c r="O11">
        <f t="shared" ca="1" si="12"/>
        <v>4</v>
      </c>
      <c r="P11">
        <f t="shared" ca="1" si="13"/>
        <v>0</v>
      </c>
      <c r="Q11">
        <f t="shared" ca="1" si="14"/>
        <v>0</v>
      </c>
      <c r="R11">
        <f t="shared" ca="1" si="15"/>
        <v>0</v>
      </c>
      <c r="S11">
        <f t="shared" ca="1" si="16"/>
        <v>0</v>
      </c>
      <c r="T11">
        <f t="shared" ca="1" si="17"/>
        <v>0</v>
      </c>
      <c r="U11">
        <f t="shared" ca="1" si="18"/>
        <v>2</v>
      </c>
      <c r="V11">
        <f t="shared" ca="1" si="19"/>
        <v>0</v>
      </c>
      <c r="W11">
        <f t="shared" ca="1" si="20"/>
        <v>0</v>
      </c>
      <c r="X11">
        <f t="shared" ca="1" si="21"/>
        <v>0</v>
      </c>
      <c r="Y11">
        <f t="shared" ca="1" si="22"/>
        <v>0</v>
      </c>
      <c r="Z11">
        <f t="shared" ca="1" si="23"/>
        <v>0</v>
      </c>
      <c r="AA11" t="str">
        <f t="shared" ca="1" si="28"/>
        <v/>
      </c>
      <c r="AB11">
        <f t="shared" ca="1" si="24"/>
        <v>131</v>
      </c>
      <c r="AC11" t="str">
        <f t="shared" ca="1" si="25"/>
        <v>'Raw Data'!$A132:$AK$1081</v>
      </c>
      <c r="AD11" t="str">
        <f t="shared" ca="1" si="26"/>
        <v>'Raw Data'!$A132:$A$1081</v>
      </c>
    </row>
    <row r="12" spans="1:37">
      <c r="A12">
        <f>VLOOKUP($C$1,'Raw Data'!$A$3:$AB$1008,1,FALSE)</f>
        <v>610</v>
      </c>
      <c r="B12">
        <f t="shared" ca="1" si="27"/>
        <v>1</v>
      </c>
      <c r="C12">
        <f t="shared" ca="1" si="0"/>
        <v>0</v>
      </c>
      <c r="D12">
        <f t="shared" ca="1" si="1"/>
        <v>0</v>
      </c>
      <c r="E12">
        <f t="shared" ca="1" si="2"/>
        <v>0</v>
      </c>
      <c r="F12">
        <f t="shared" ca="1" si="3"/>
        <v>0</v>
      </c>
      <c r="G12">
        <f t="shared" ca="1" si="4"/>
        <v>0</v>
      </c>
      <c r="H12">
        <f t="shared" ca="1" si="5"/>
        <v>0</v>
      </c>
      <c r="I12">
        <f t="shared" ca="1" si="6"/>
        <v>0</v>
      </c>
      <c r="J12">
        <f t="shared" ca="1" si="7"/>
        <v>0</v>
      </c>
      <c r="K12">
        <f t="shared" ca="1" si="8"/>
        <v>0</v>
      </c>
      <c r="L12">
        <f t="shared" ca="1" si="9"/>
        <v>0</v>
      </c>
      <c r="M12">
        <f t="shared" ca="1" si="10"/>
        <v>1</v>
      </c>
      <c r="N12">
        <f t="shared" ca="1" si="11"/>
        <v>1</v>
      </c>
      <c r="O12">
        <f t="shared" ca="1" si="12"/>
        <v>1</v>
      </c>
      <c r="P12">
        <f t="shared" ca="1" si="13"/>
        <v>0</v>
      </c>
      <c r="Q12">
        <f t="shared" ca="1" si="14"/>
        <v>2</v>
      </c>
      <c r="R12">
        <f t="shared" ca="1" si="15"/>
        <v>0</v>
      </c>
      <c r="S12">
        <f t="shared" ca="1" si="16"/>
        <v>0</v>
      </c>
      <c r="T12">
        <f t="shared" ca="1" si="17"/>
        <v>0</v>
      </c>
      <c r="U12">
        <f t="shared" ca="1" si="18"/>
        <v>2</v>
      </c>
      <c r="V12">
        <f t="shared" ca="1" si="19"/>
        <v>0</v>
      </c>
      <c r="W12">
        <f t="shared" ca="1" si="20"/>
        <v>0</v>
      </c>
      <c r="X12">
        <f t="shared" ca="1" si="21"/>
        <v>0</v>
      </c>
      <c r="Y12">
        <f t="shared" ca="1" si="22"/>
        <v>0</v>
      </c>
      <c r="Z12">
        <f t="shared" ca="1" si="23"/>
        <v>0</v>
      </c>
      <c r="AA12" t="str">
        <f t="shared" ca="1" si="28"/>
        <v/>
      </c>
      <c r="AB12">
        <f t="shared" ca="1" si="24"/>
        <v>160</v>
      </c>
      <c r="AC12" t="str">
        <f t="shared" ca="1" si="25"/>
        <v>'Raw Data'!$A161:$AK$1081</v>
      </c>
      <c r="AD12" t="str">
        <f t="shared" ca="1" si="26"/>
        <v>'Raw Data'!$A161:$A$1081</v>
      </c>
    </row>
    <row r="13" spans="1:37">
      <c r="A13">
        <f>VLOOKUP($C$1,'Raw Data'!$A$3:$AB$1008,1,FALSE)</f>
        <v>610</v>
      </c>
      <c r="B13">
        <f t="shared" ca="1" si="27"/>
        <v>1</v>
      </c>
      <c r="C13">
        <f t="shared" ca="1" si="0"/>
        <v>0</v>
      </c>
      <c r="D13">
        <f t="shared" ca="1" si="1"/>
        <v>0</v>
      </c>
      <c r="E13">
        <f t="shared" ca="1" si="2"/>
        <v>0</v>
      </c>
      <c r="F13">
        <f t="shared" ca="1" si="3"/>
        <v>0</v>
      </c>
      <c r="G13">
        <f t="shared" ca="1" si="4"/>
        <v>0</v>
      </c>
      <c r="H13">
        <f t="shared" ca="1" si="5"/>
        <v>0</v>
      </c>
      <c r="I13">
        <f t="shared" ca="1" si="6"/>
        <v>0</v>
      </c>
      <c r="J13">
        <f t="shared" ca="1" si="7"/>
        <v>0</v>
      </c>
      <c r="K13">
        <f t="shared" ca="1" si="8"/>
        <v>2</v>
      </c>
      <c r="L13">
        <f t="shared" ca="1" si="9"/>
        <v>0</v>
      </c>
      <c r="M13">
        <f t="shared" ca="1" si="10"/>
        <v>2</v>
      </c>
      <c r="N13">
        <f t="shared" ca="1" si="11"/>
        <v>0</v>
      </c>
      <c r="O13">
        <f t="shared" ca="1" si="12"/>
        <v>0</v>
      </c>
      <c r="P13">
        <f t="shared" ca="1" si="13"/>
        <v>0</v>
      </c>
      <c r="Q13">
        <f t="shared" ca="1" si="14"/>
        <v>0</v>
      </c>
      <c r="R13">
        <f t="shared" ca="1" si="15"/>
        <v>0</v>
      </c>
      <c r="S13">
        <f t="shared" ca="1" si="16"/>
        <v>0</v>
      </c>
      <c r="T13">
        <f t="shared" ca="1" si="17"/>
        <v>0</v>
      </c>
      <c r="U13">
        <f t="shared" ca="1" si="18"/>
        <v>3</v>
      </c>
      <c r="V13">
        <f t="shared" ca="1" si="19"/>
        <v>0</v>
      </c>
      <c r="W13">
        <f t="shared" ca="1" si="20"/>
        <v>0</v>
      </c>
      <c r="X13">
        <f t="shared" ca="1" si="21"/>
        <v>0</v>
      </c>
      <c r="Y13">
        <f t="shared" ca="1" si="22"/>
        <v>0</v>
      </c>
      <c r="Z13">
        <f t="shared" ca="1" si="23"/>
        <v>0</v>
      </c>
      <c r="AA13" t="str">
        <f t="shared" ca="1" si="28"/>
        <v/>
      </c>
      <c r="AB13">
        <f t="shared" ca="1" si="24"/>
        <v>248</v>
      </c>
      <c r="AC13" t="str">
        <f t="shared" ca="1" si="25"/>
        <v>'Raw Data'!$A249:$AK$1081</v>
      </c>
      <c r="AD13" t="str">
        <f t="shared" ca="1" si="26"/>
        <v>'Raw Data'!$A249:$A$1081</v>
      </c>
    </row>
    <row r="14" spans="1:37">
      <c r="A14">
        <f>VLOOKUP($C$1,'Raw Data'!$A$3:$AB$1008,1,FALSE)</f>
        <v>610</v>
      </c>
      <c r="B14">
        <f t="shared" ca="1" si="27"/>
        <v>1</v>
      </c>
      <c r="C14">
        <f t="shared" ca="1" si="0"/>
        <v>0</v>
      </c>
      <c r="D14">
        <f t="shared" ca="1" si="1"/>
        <v>0</v>
      </c>
      <c r="E14">
        <f t="shared" ca="1" si="2"/>
        <v>0</v>
      </c>
      <c r="F14">
        <f t="shared" ca="1" si="3"/>
        <v>0</v>
      </c>
      <c r="G14">
        <f t="shared" ca="1" si="4"/>
        <v>0</v>
      </c>
      <c r="H14">
        <f t="shared" ca="1" si="5"/>
        <v>0</v>
      </c>
      <c r="I14">
        <f t="shared" ca="1" si="6"/>
        <v>0</v>
      </c>
      <c r="J14">
        <f t="shared" ca="1" si="7"/>
        <v>0</v>
      </c>
      <c r="K14">
        <f t="shared" ca="1" si="8"/>
        <v>0</v>
      </c>
      <c r="L14">
        <f t="shared" ca="1" si="9"/>
        <v>0</v>
      </c>
      <c r="M14">
        <f t="shared" ca="1" si="10"/>
        <v>1</v>
      </c>
      <c r="N14">
        <f t="shared" ca="1" si="11"/>
        <v>1</v>
      </c>
      <c r="O14">
        <f t="shared" ca="1" si="12"/>
        <v>0</v>
      </c>
      <c r="P14">
        <f t="shared" ca="1" si="13"/>
        <v>0</v>
      </c>
      <c r="Q14">
        <f t="shared" ca="1" si="14"/>
        <v>0</v>
      </c>
      <c r="R14">
        <f t="shared" ca="1" si="15"/>
        <v>0</v>
      </c>
      <c r="S14">
        <f t="shared" ca="1" si="16"/>
        <v>0</v>
      </c>
      <c r="T14">
        <f t="shared" ca="1" si="17"/>
        <v>0</v>
      </c>
      <c r="U14">
        <f t="shared" ca="1" si="18"/>
        <v>1</v>
      </c>
      <c r="V14">
        <f t="shared" ca="1" si="19"/>
        <v>0</v>
      </c>
      <c r="W14">
        <f t="shared" ca="1" si="20"/>
        <v>0</v>
      </c>
      <c r="X14">
        <f t="shared" ca="1" si="21"/>
        <v>0</v>
      </c>
      <c r="Y14">
        <f t="shared" ca="1" si="22"/>
        <v>0</v>
      </c>
      <c r="Z14">
        <f t="shared" ca="1" si="23"/>
        <v>1</v>
      </c>
      <c r="AA14" t="str">
        <f t="shared" ca="1" si="28"/>
        <v/>
      </c>
      <c r="AB14">
        <f t="shared" ca="1" si="24"/>
        <v>287</v>
      </c>
      <c r="AC14" t="str">
        <f t="shared" ca="1" si="25"/>
        <v>'Raw Data'!$A288:$AK$1081</v>
      </c>
      <c r="AD14" t="str">
        <f t="shared" ca="1" si="26"/>
        <v>'Raw Data'!$A288:$A$1081</v>
      </c>
    </row>
    <row r="15" spans="1:37">
      <c r="A15">
        <f>VLOOKUP($C$1,'Raw Data'!$A$3:$AB$1008,1,FALSE)</f>
        <v>610</v>
      </c>
      <c r="B15">
        <f t="shared" ca="1" si="27"/>
        <v>1</v>
      </c>
      <c r="C15">
        <f t="shared" ca="1" si="0"/>
        <v>0</v>
      </c>
      <c r="D15">
        <f t="shared" ca="1" si="1"/>
        <v>1</v>
      </c>
      <c r="E15">
        <f t="shared" ca="1" si="2"/>
        <v>0</v>
      </c>
      <c r="F15">
        <f t="shared" ca="1" si="3"/>
        <v>0</v>
      </c>
      <c r="G15">
        <f t="shared" ca="1" si="4"/>
        <v>0</v>
      </c>
      <c r="H15">
        <f t="shared" ca="1" si="5"/>
        <v>0</v>
      </c>
      <c r="I15">
        <f t="shared" ca="1" si="6"/>
        <v>0</v>
      </c>
      <c r="J15">
        <f t="shared" ca="1" si="7"/>
        <v>0</v>
      </c>
      <c r="K15">
        <f t="shared" ca="1" si="8"/>
        <v>1</v>
      </c>
      <c r="L15">
        <f t="shared" ca="1" si="9"/>
        <v>0</v>
      </c>
      <c r="M15">
        <f t="shared" ca="1" si="10"/>
        <v>2</v>
      </c>
      <c r="N15">
        <f t="shared" ca="1" si="11"/>
        <v>0</v>
      </c>
      <c r="O15">
        <f t="shared" ca="1" si="12"/>
        <v>3</v>
      </c>
      <c r="P15">
        <f t="shared" ca="1" si="13"/>
        <v>0</v>
      </c>
      <c r="Q15">
        <f t="shared" ca="1" si="14"/>
        <v>0</v>
      </c>
      <c r="R15">
        <f t="shared" ca="1" si="15"/>
        <v>0</v>
      </c>
      <c r="S15">
        <f t="shared" ca="1" si="16"/>
        <v>0</v>
      </c>
      <c r="T15">
        <f t="shared" ca="1" si="17"/>
        <v>0</v>
      </c>
      <c r="U15">
        <f t="shared" ca="1" si="18"/>
        <v>3</v>
      </c>
      <c r="V15">
        <f t="shared" ca="1" si="19"/>
        <v>0</v>
      </c>
      <c r="W15">
        <f t="shared" ca="1" si="20"/>
        <v>0</v>
      </c>
      <c r="X15">
        <f t="shared" ca="1" si="21"/>
        <v>0</v>
      </c>
      <c r="Y15">
        <f t="shared" ca="1" si="22"/>
        <v>3</v>
      </c>
      <c r="Z15">
        <f t="shared" ca="1" si="23"/>
        <v>0</v>
      </c>
      <c r="AA15" t="str">
        <f t="shared" ca="1" si="28"/>
        <v/>
      </c>
      <c r="AB15">
        <f t="shared" ca="1" si="24"/>
        <v>320</v>
      </c>
      <c r="AC15" t="str">
        <f t="shared" ca="1" si="25"/>
        <v>'Raw Data'!$A321:$AK$1081</v>
      </c>
      <c r="AD15" t="str">
        <f t="shared" ca="1" si="26"/>
        <v>'Raw Data'!$A321:$A$1081</v>
      </c>
    </row>
    <row r="16" spans="1:37">
      <c r="A16">
        <f>VLOOKUP($C$1,'Raw Data'!$A$3:$AB$1008,1,FALSE)</f>
        <v>610</v>
      </c>
      <c r="B16">
        <f t="shared" ca="1" si="27"/>
        <v>1</v>
      </c>
      <c r="C16">
        <f t="shared" ca="1" si="0"/>
        <v>0</v>
      </c>
      <c r="D16">
        <f t="shared" ca="1" si="1"/>
        <v>0</v>
      </c>
      <c r="E16">
        <f t="shared" ca="1" si="2"/>
        <v>0</v>
      </c>
      <c r="F16">
        <f t="shared" ca="1" si="3"/>
        <v>0</v>
      </c>
      <c r="G16">
        <f t="shared" ca="1" si="4"/>
        <v>0</v>
      </c>
      <c r="H16">
        <f t="shared" ca="1" si="5"/>
        <v>0</v>
      </c>
      <c r="I16">
        <f t="shared" ca="1" si="6"/>
        <v>0</v>
      </c>
      <c r="J16">
        <f t="shared" ca="1" si="7"/>
        <v>0</v>
      </c>
      <c r="K16">
        <f t="shared" ca="1" si="8"/>
        <v>2</v>
      </c>
      <c r="L16">
        <f t="shared" ca="1" si="9"/>
        <v>0</v>
      </c>
      <c r="M16">
        <f t="shared" ca="1" si="10"/>
        <v>2</v>
      </c>
      <c r="N16">
        <f t="shared" ca="1" si="11"/>
        <v>2</v>
      </c>
      <c r="O16">
        <f t="shared" ca="1" si="12"/>
        <v>0</v>
      </c>
      <c r="P16">
        <f t="shared" ca="1" si="13"/>
        <v>0</v>
      </c>
      <c r="Q16">
        <f t="shared" ca="1" si="14"/>
        <v>0</v>
      </c>
      <c r="R16">
        <f t="shared" ca="1" si="15"/>
        <v>2</v>
      </c>
      <c r="S16">
        <f t="shared" ca="1" si="16"/>
        <v>0</v>
      </c>
      <c r="T16">
        <f t="shared" ca="1" si="17"/>
        <v>0</v>
      </c>
      <c r="U16">
        <f t="shared" ca="1" si="18"/>
        <v>3</v>
      </c>
      <c r="V16">
        <f t="shared" ca="1" si="19"/>
        <v>0</v>
      </c>
      <c r="W16">
        <f t="shared" ca="1" si="20"/>
        <v>0</v>
      </c>
      <c r="X16">
        <f t="shared" ca="1" si="21"/>
        <v>0</v>
      </c>
      <c r="Y16">
        <f t="shared" ca="1" si="22"/>
        <v>0</v>
      </c>
      <c r="Z16">
        <f t="shared" ca="1" si="23"/>
        <v>0</v>
      </c>
      <c r="AA16" t="str">
        <f t="shared" ca="1" si="28"/>
        <v/>
      </c>
      <c r="AB16">
        <f t="shared" ca="1" si="24"/>
        <v>359</v>
      </c>
      <c r="AC16" t="str">
        <f t="shared" ca="1" si="25"/>
        <v>'Raw Data'!$A360:$AK$1081</v>
      </c>
      <c r="AD16" t="str">
        <f t="shared" ca="1" si="26"/>
        <v>'Raw Data'!$A360:$A$1081</v>
      </c>
    </row>
    <row r="17" spans="1:30">
      <c r="A17">
        <f>VLOOKUP($C$1,'Raw Data'!$A$3:$AB$1008,1,FALSE)</f>
        <v>610</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610</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610</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610</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610</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610</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610</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610</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610</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610</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610</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610</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610</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610</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610</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610</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610</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610</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610</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610</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610</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610</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610</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610</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610</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610</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610</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sheetData>
  <sheetProtection sheet="1" objects="1" scenarios="1"/>
  <protectedRanges>
    <protectedRange sqref="C1" name="Team Number"/>
  </protectedRanges>
  <mergeCells count="5">
    <mergeCell ref="A1:B1"/>
    <mergeCell ref="C2:K2"/>
    <mergeCell ref="C6:K6"/>
    <mergeCell ref="L6:AD6"/>
    <mergeCell ref="L2:AG2"/>
  </mergeCells>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O98"/>
  <sheetViews>
    <sheetView zoomScale="80" zoomScaleNormal="80" workbookViewId="0">
      <selection activeCell="P16" sqref="P16"/>
    </sheetView>
  </sheetViews>
  <sheetFormatPr defaultColWidth="9.140625" defaultRowHeight="15"/>
  <cols>
    <col min="1" max="1" width="20.7109375" style="7" customWidth="1"/>
    <col min="2" max="2" width="9.28515625" style="7" customWidth="1"/>
    <col min="3" max="12" width="9.140625" style="7"/>
    <col min="13" max="13" width="9.140625" style="7" customWidth="1"/>
    <col min="14" max="16384" width="9.140625" style="7"/>
  </cols>
  <sheetData>
    <row r="1" spans="1:13">
      <c r="A1" s="156" t="s">
        <v>24</v>
      </c>
      <c r="B1" s="156"/>
      <c r="C1" s="156"/>
      <c r="D1" s="156"/>
      <c r="E1" s="156"/>
      <c r="F1" s="156"/>
      <c r="G1" s="156"/>
      <c r="H1" s="156"/>
      <c r="I1" s="156"/>
      <c r="J1" s="156"/>
    </row>
    <row r="2" spans="1:13" ht="15.75" thickBot="1"/>
    <row r="3" spans="1:13" ht="15.75" customHeight="1">
      <c r="B3" s="8" t="s">
        <v>25</v>
      </c>
      <c r="C3" s="157" t="s">
        <v>26</v>
      </c>
      <c r="D3" s="158"/>
      <c r="E3" s="158"/>
      <c r="F3" s="157" t="s">
        <v>27</v>
      </c>
      <c r="G3" s="158"/>
      <c r="H3" s="158"/>
      <c r="I3" s="157" t="s">
        <v>28</v>
      </c>
      <c r="J3" s="159"/>
      <c r="L3" s="7" t="s">
        <v>294</v>
      </c>
      <c r="M3" s="7">
        <v>919</v>
      </c>
    </row>
    <row r="4" spans="1:13" s="14" customFormat="1" ht="16.5" customHeight="1">
      <c r="A4" s="9" t="s">
        <v>29</v>
      </c>
      <c r="B4" s="10"/>
      <c r="C4" s="11" t="s">
        <v>30</v>
      </c>
      <c r="D4" s="12" t="s">
        <v>31</v>
      </c>
      <c r="E4" s="12" t="s">
        <v>32</v>
      </c>
      <c r="F4" s="11" t="s">
        <v>33</v>
      </c>
      <c r="G4" s="12" t="s">
        <v>34</v>
      </c>
      <c r="H4" s="12" t="s">
        <v>35</v>
      </c>
      <c r="I4" s="11" t="s">
        <v>20</v>
      </c>
      <c r="J4" s="13" t="s">
        <v>21</v>
      </c>
      <c r="L4" s="133"/>
      <c r="M4" s="133"/>
    </row>
    <row r="5" spans="1:13" ht="14.45" customHeight="1">
      <c r="A5" s="122" t="s">
        <v>293</v>
      </c>
      <c r="B5" s="134" t="s">
        <v>36</v>
      </c>
      <c r="C5" s="15">
        <v>1285</v>
      </c>
      <c r="D5" s="16">
        <v>6162</v>
      </c>
      <c r="E5" s="16">
        <v>5406</v>
      </c>
      <c r="F5" s="17">
        <v>5036</v>
      </c>
      <c r="G5" s="18">
        <v>1334</v>
      </c>
      <c r="H5" s="18">
        <v>5076</v>
      </c>
      <c r="I5" s="15"/>
      <c r="J5" s="19"/>
    </row>
    <row r="6" spans="1:13" ht="14.45" customHeight="1">
      <c r="A6" s="123"/>
      <c r="B6" s="20" t="s">
        <v>37</v>
      </c>
      <c r="C6" s="15">
        <v>2706</v>
      </c>
      <c r="D6" s="16">
        <v>7710</v>
      </c>
      <c r="E6" s="16">
        <v>6342</v>
      </c>
      <c r="F6" s="17">
        <v>188</v>
      </c>
      <c r="G6" s="18">
        <v>7456</v>
      </c>
      <c r="H6" s="18">
        <v>4252</v>
      </c>
      <c r="I6" s="15"/>
      <c r="J6" s="19"/>
    </row>
    <row r="7" spans="1:13" ht="14.45" customHeight="1">
      <c r="A7" s="123"/>
      <c r="B7" s="20" t="s">
        <v>38</v>
      </c>
      <c r="C7" s="15">
        <v>1246</v>
      </c>
      <c r="D7" s="16">
        <v>5911</v>
      </c>
      <c r="E7" s="16">
        <v>7476</v>
      </c>
      <c r="F7" s="17">
        <v>4308</v>
      </c>
      <c r="G7" s="18">
        <v>6866</v>
      </c>
      <c r="H7" s="18">
        <v>5039</v>
      </c>
      <c r="I7" s="15"/>
      <c r="J7" s="19"/>
    </row>
    <row r="8" spans="1:13" ht="14.45" customHeight="1">
      <c r="A8" s="123"/>
      <c r="B8" s="20" t="s">
        <v>39</v>
      </c>
      <c r="C8" s="15">
        <v>7136</v>
      </c>
      <c r="D8" s="16">
        <v>746</v>
      </c>
      <c r="E8" s="16">
        <v>7520</v>
      </c>
      <c r="F8" s="17">
        <v>6867</v>
      </c>
      <c r="G8" s="18">
        <v>6397</v>
      </c>
      <c r="H8" s="18">
        <v>6878</v>
      </c>
      <c r="I8" s="15"/>
      <c r="J8" s="19"/>
    </row>
    <row r="9" spans="1:13" ht="14.45" customHeight="1">
      <c r="A9" s="123"/>
      <c r="B9" s="20" t="s">
        <v>40</v>
      </c>
      <c r="C9" s="15">
        <v>919</v>
      </c>
      <c r="D9" s="16">
        <v>5024</v>
      </c>
      <c r="E9" s="16">
        <v>5031</v>
      </c>
      <c r="F9" s="17">
        <v>7690</v>
      </c>
      <c r="G9" s="18">
        <v>4939</v>
      </c>
      <c r="H9" s="18">
        <v>5719</v>
      </c>
      <c r="I9" s="15"/>
      <c r="J9" s="19"/>
    </row>
    <row r="10" spans="1:13" ht="14.45" customHeight="1">
      <c r="A10" s="123"/>
      <c r="B10" s="20" t="s">
        <v>41</v>
      </c>
      <c r="C10" s="15">
        <v>6866</v>
      </c>
      <c r="D10" s="16">
        <v>6342</v>
      </c>
      <c r="E10" s="16">
        <v>1246</v>
      </c>
      <c r="F10" s="17">
        <v>1285</v>
      </c>
      <c r="G10" s="18">
        <v>7136</v>
      </c>
      <c r="H10" s="18">
        <v>5911</v>
      </c>
      <c r="I10" s="15"/>
      <c r="J10" s="19"/>
    </row>
    <row r="11" spans="1:13" ht="14.45" customHeight="1">
      <c r="A11" s="123"/>
      <c r="B11" s="20" t="s">
        <v>42</v>
      </c>
      <c r="C11" s="15">
        <v>6878</v>
      </c>
      <c r="D11" s="16">
        <v>7710</v>
      </c>
      <c r="E11" s="16">
        <v>5031</v>
      </c>
      <c r="F11" s="17">
        <v>746</v>
      </c>
      <c r="G11" s="18">
        <v>1334</v>
      </c>
      <c r="H11" s="18">
        <v>188</v>
      </c>
      <c r="I11" s="15"/>
      <c r="J11" s="19"/>
    </row>
    <row r="12" spans="1:13" ht="14.45" customHeight="1">
      <c r="A12" s="123"/>
      <c r="B12" s="20" t="s">
        <v>43</v>
      </c>
      <c r="C12" s="15">
        <v>4308</v>
      </c>
      <c r="D12" s="16">
        <v>5036</v>
      </c>
      <c r="E12" s="16">
        <v>7690</v>
      </c>
      <c r="F12" s="17">
        <v>7476</v>
      </c>
      <c r="G12" s="18">
        <v>5076</v>
      </c>
      <c r="H12" s="18">
        <v>7520</v>
      </c>
      <c r="I12" s="15"/>
      <c r="J12" s="19"/>
    </row>
    <row r="13" spans="1:13" ht="14.45" customHeight="1">
      <c r="A13" s="123"/>
      <c r="B13" s="20" t="s">
        <v>44</v>
      </c>
      <c r="C13" s="15">
        <v>4252</v>
      </c>
      <c r="D13" s="16">
        <v>4939</v>
      </c>
      <c r="E13" s="16">
        <v>5024</v>
      </c>
      <c r="F13" s="17">
        <v>7456</v>
      </c>
      <c r="G13" s="18">
        <v>5406</v>
      </c>
      <c r="H13" s="18">
        <v>919</v>
      </c>
      <c r="I13" s="15"/>
      <c r="J13" s="19"/>
    </row>
    <row r="14" spans="1:13" ht="14.45" customHeight="1">
      <c r="A14" s="123"/>
      <c r="B14" s="20" t="s">
        <v>45</v>
      </c>
      <c r="C14" s="15">
        <v>2706</v>
      </c>
      <c r="D14" s="16">
        <v>6397</v>
      </c>
      <c r="E14" s="16">
        <v>5039</v>
      </c>
      <c r="F14" s="17">
        <v>6162</v>
      </c>
      <c r="G14" s="18">
        <v>6867</v>
      </c>
      <c r="H14" s="18">
        <v>5719</v>
      </c>
      <c r="I14" s="15"/>
      <c r="J14" s="19"/>
    </row>
    <row r="15" spans="1:13" ht="14.45" customHeight="1">
      <c r="A15" s="123"/>
      <c r="B15" s="20" t="s">
        <v>46</v>
      </c>
      <c r="C15" s="15">
        <v>7476</v>
      </c>
      <c r="D15" s="16">
        <v>7690</v>
      </c>
      <c r="E15" s="16">
        <v>7136</v>
      </c>
      <c r="F15" s="17">
        <v>7710</v>
      </c>
      <c r="G15" s="18">
        <v>5406</v>
      </c>
      <c r="H15" s="18">
        <v>5076</v>
      </c>
      <c r="I15" s="15"/>
      <c r="J15" s="19"/>
    </row>
    <row r="16" spans="1:13" ht="14.45" customHeight="1">
      <c r="A16" s="123"/>
      <c r="B16" s="20" t="s">
        <v>47</v>
      </c>
      <c r="C16" s="15">
        <v>5039</v>
      </c>
      <c r="D16" s="16">
        <v>7456</v>
      </c>
      <c r="E16" s="16">
        <v>1334</v>
      </c>
      <c r="F16" s="17">
        <v>919</v>
      </c>
      <c r="G16" s="18">
        <v>5719</v>
      </c>
      <c r="H16" s="18">
        <v>746</v>
      </c>
      <c r="I16" s="15"/>
      <c r="J16" s="19"/>
    </row>
    <row r="17" spans="1:10" ht="14.45" customHeight="1">
      <c r="A17" s="123"/>
      <c r="B17" s="20" t="s">
        <v>48</v>
      </c>
      <c r="C17" s="15">
        <v>5024</v>
      </c>
      <c r="D17" s="16">
        <v>6878</v>
      </c>
      <c r="E17" s="16">
        <v>6162</v>
      </c>
      <c r="F17" s="17">
        <v>1285</v>
      </c>
      <c r="G17" s="18">
        <v>6866</v>
      </c>
      <c r="H17" s="18">
        <v>4252</v>
      </c>
      <c r="I17" s="15"/>
      <c r="J17" s="19"/>
    </row>
    <row r="18" spans="1:10" ht="14.45" customHeight="1">
      <c r="A18" s="123"/>
      <c r="B18" s="20" t="s">
        <v>49</v>
      </c>
      <c r="C18" s="15">
        <v>5031</v>
      </c>
      <c r="D18" s="16">
        <v>6397</v>
      </c>
      <c r="E18" s="16">
        <v>4308</v>
      </c>
      <c r="F18" s="17">
        <v>6867</v>
      </c>
      <c r="G18" s="18">
        <v>7520</v>
      </c>
      <c r="H18" s="18">
        <v>6342</v>
      </c>
      <c r="I18" s="15"/>
      <c r="J18" s="19"/>
    </row>
    <row r="19" spans="1:10" ht="14.45" customHeight="1">
      <c r="A19" s="123"/>
      <c r="B19" s="20" t="s">
        <v>50</v>
      </c>
      <c r="C19" s="15">
        <v>5036</v>
      </c>
      <c r="D19" s="16">
        <v>1246</v>
      </c>
      <c r="E19" s="16">
        <v>2706</v>
      </c>
      <c r="F19" s="17">
        <v>4939</v>
      </c>
      <c r="G19" s="18">
        <v>188</v>
      </c>
      <c r="H19" s="18">
        <v>5911</v>
      </c>
      <c r="I19" s="15"/>
      <c r="J19" s="19"/>
    </row>
    <row r="20" spans="1:10" ht="14.45" customHeight="1">
      <c r="A20" s="123"/>
      <c r="B20" s="20" t="s">
        <v>51</v>
      </c>
      <c r="C20" s="15">
        <v>5719</v>
      </c>
      <c r="D20" s="16">
        <v>7136</v>
      </c>
      <c r="E20" s="16">
        <v>5406</v>
      </c>
      <c r="F20" s="17">
        <v>6878</v>
      </c>
      <c r="G20" s="18">
        <v>919</v>
      </c>
      <c r="H20" s="18">
        <v>7520</v>
      </c>
      <c r="I20" s="15"/>
      <c r="J20" s="19"/>
    </row>
    <row r="21" spans="1:10" ht="14.45" customHeight="1">
      <c r="A21" s="123"/>
      <c r="B21" s="20" t="s">
        <v>52</v>
      </c>
      <c r="C21" s="15">
        <v>7690</v>
      </c>
      <c r="D21" s="16">
        <v>5039</v>
      </c>
      <c r="E21" s="16">
        <v>7710</v>
      </c>
      <c r="F21" s="17">
        <v>6342</v>
      </c>
      <c r="G21" s="18">
        <v>746</v>
      </c>
      <c r="H21" s="18">
        <v>5024</v>
      </c>
      <c r="I21" s="15"/>
      <c r="J21" s="19"/>
    </row>
    <row r="22" spans="1:10" ht="14.45" customHeight="1">
      <c r="A22" s="123"/>
      <c r="B22" s="20" t="s">
        <v>53</v>
      </c>
      <c r="C22" s="15">
        <v>6397</v>
      </c>
      <c r="D22" s="16">
        <v>1285</v>
      </c>
      <c r="E22" s="16">
        <v>7476</v>
      </c>
      <c r="F22" s="17">
        <v>5911</v>
      </c>
      <c r="G22" s="18">
        <v>7456</v>
      </c>
      <c r="H22" s="18">
        <v>2706</v>
      </c>
      <c r="I22" s="15"/>
      <c r="J22" s="19"/>
    </row>
    <row r="23" spans="1:10" ht="14.45" customHeight="1">
      <c r="A23" s="123"/>
      <c r="B23" s="20" t="s">
        <v>54</v>
      </c>
      <c r="C23" s="15">
        <v>1246</v>
      </c>
      <c r="D23" s="16">
        <v>5076</v>
      </c>
      <c r="E23" s="16">
        <v>4308</v>
      </c>
      <c r="F23" s="17">
        <v>4939</v>
      </c>
      <c r="G23" s="18">
        <v>6867</v>
      </c>
      <c r="H23" s="18">
        <v>188</v>
      </c>
      <c r="I23" s="15"/>
      <c r="J23" s="19"/>
    </row>
    <row r="24" spans="1:10" ht="14.45" customHeight="1">
      <c r="A24" s="123"/>
      <c r="B24" s="20" t="s">
        <v>55</v>
      </c>
      <c r="C24" s="15">
        <v>5036</v>
      </c>
      <c r="D24" s="16">
        <v>6866</v>
      </c>
      <c r="E24" s="16">
        <v>6162</v>
      </c>
      <c r="F24" s="17">
        <v>1334</v>
      </c>
      <c r="G24" s="18">
        <v>4252</v>
      </c>
      <c r="H24" s="18">
        <v>5031</v>
      </c>
      <c r="I24" s="15"/>
      <c r="J24" s="19"/>
    </row>
    <row r="25" spans="1:10" ht="14.45" customHeight="1">
      <c r="A25" s="123"/>
      <c r="B25" s="20" t="s">
        <v>56</v>
      </c>
      <c r="C25" s="15">
        <v>7710</v>
      </c>
      <c r="D25" s="16">
        <v>4939</v>
      </c>
      <c r="E25" s="16">
        <v>7476</v>
      </c>
      <c r="F25" s="17">
        <v>188</v>
      </c>
      <c r="G25" s="18">
        <v>1285</v>
      </c>
      <c r="H25" s="18">
        <v>919</v>
      </c>
      <c r="I25" s="15"/>
      <c r="J25" s="19"/>
    </row>
    <row r="26" spans="1:10" ht="14.45" customHeight="1">
      <c r="A26" s="123"/>
      <c r="B26" s="20" t="s">
        <v>57</v>
      </c>
      <c r="C26" s="15">
        <v>5076</v>
      </c>
      <c r="D26" s="16">
        <v>5039</v>
      </c>
      <c r="E26" s="16">
        <v>746</v>
      </c>
      <c r="F26" s="17">
        <v>2706</v>
      </c>
      <c r="G26" s="18">
        <v>6878</v>
      </c>
      <c r="H26" s="18">
        <v>4308</v>
      </c>
      <c r="I26" s="15"/>
      <c r="J26" s="19"/>
    </row>
    <row r="27" spans="1:10" ht="14.45" customHeight="1">
      <c r="A27" s="123"/>
      <c r="B27" s="20" t="s">
        <v>58</v>
      </c>
      <c r="C27" s="15">
        <v>6867</v>
      </c>
      <c r="D27" s="16">
        <v>5024</v>
      </c>
      <c r="E27" s="16">
        <v>6866</v>
      </c>
      <c r="F27" s="17">
        <v>5031</v>
      </c>
      <c r="G27" s="18">
        <v>6162</v>
      </c>
      <c r="H27" s="18">
        <v>1334</v>
      </c>
      <c r="I27" s="15"/>
      <c r="J27" s="19"/>
    </row>
    <row r="28" spans="1:10" ht="14.45" customHeight="1">
      <c r="A28" s="123"/>
      <c r="B28" s="20" t="s">
        <v>59</v>
      </c>
      <c r="C28" s="15">
        <v>4252</v>
      </c>
      <c r="D28" s="16">
        <v>6342</v>
      </c>
      <c r="E28" s="16">
        <v>7690</v>
      </c>
      <c r="F28" s="17">
        <v>1246</v>
      </c>
      <c r="G28" s="18">
        <v>7136</v>
      </c>
      <c r="H28" s="18">
        <v>6397</v>
      </c>
      <c r="I28" s="15"/>
      <c r="J28" s="19"/>
    </row>
    <row r="29" spans="1:10" ht="14.45" customHeight="1">
      <c r="A29" s="123"/>
      <c r="B29" s="20" t="s">
        <v>60</v>
      </c>
      <c r="C29" s="15">
        <v>5719</v>
      </c>
      <c r="D29" s="16">
        <v>7520</v>
      </c>
      <c r="E29" s="16">
        <v>7456</v>
      </c>
      <c r="F29" s="17">
        <v>5406</v>
      </c>
      <c r="G29" s="18">
        <v>5911</v>
      </c>
      <c r="H29" s="18">
        <v>5036</v>
      </c>
      <c r="I29" s="15"/>
      <c r="J29" s="19"/>
    </row>
    <row r="30" spans="1:10" ht="14.45" customHeight="1">
      <c r="A30" s="123"/>
      <c r="B30" s="20" t="s">
        <v>61</v>
      </c>
      <c r="C30" s="15">
        <v>6867</v>
      </c>
      <c r="D30" s="16">
        <v>188</v>
      </c>
      <c r="E30" s="16">
        <v>5076</v>
      </c>
      <c r="F30" s="17">
        <v>5024</v>
      </c>
      <c r="G30" s="18">
        <v>1334</v>
      </c>
      <c r="H30" s="18">
        <v>7476</v>
      </c>
      <c r="I30" s="15"/>
      <c r="J30" s="19"/>
    </row>
    <row r="31" spans="1:10" ht="14.45" customHeight="1">
      <c r="A31" s="123"/>
      <c r="B31" s="20" t="s">
        <v>62</v>
      </c>
      <c r="C31" s="15">
        <v>7520</v>
      </c>
      <c r="D31" s="16">
        <v>7710</v>
      </c>
      <c r="E31" s="16">
        <v>5036</v>
      </c>
      <c r="F31" s="17">
        <v>5406</v>
      </c>
      <c r="G31" s="18">
        <v>5039</v>
      </c>
      <c r="H31" s="18">
        <v>1246</v>
      </c>
      <c r="I31" s="15"/>
      <c r="J31" s="19"/>
    </row>
    <row r="32" spans="1:10" ht="14.45" customHeight="1">
      <c r="A32" s="123"/>
      <c r="B32" s="20" t="s">
        <v>63</v>
      </c>
      <c r="C32" s="15">
        <v>7456</v>
      </c>
      <c r="D32" s="16">
        <v>919</v>
      </c>
      <c r="E32" s="16">
        <v>4308</v>
      </c>
      <c r="F32" s="17">
        <v>6866</v>
      </c>
      <c r="G32" s="18">
        <v>6342</v>
      </c>
      <c r="H32" s="18">
        <v>6878</v>
      </c>
      <c r="I32" s="15"/>
      <c r="J32" s="19"/>
    </row>
    <row r="33" spans="1:15" ht="14.45" customHeight="1">
      <c r="A33" s="123"/>
      <c r="B33" s="20" t="s">
        <v>64</v>
      </c>
      <c r="C33" s="15">
        <v>5031</v>
      </c>
      <c r="D33" s="16">
        <v>746</v>
      </c>
      <c r="E33" s="16">
        <v>1285</v>
      </c>
      <c r="F33" s="17">
        <v>5911</v>
      </c>
      <c r="G33" s="18">
        <v>4252</v>
      </c>
      <c r="H33" s="18">
        <v>5719</v>
      </c>
      <c r="I33" s="15"/>
      <c r="J33" s="19"/>
    </row>
    <row r="34" spans="1:15" ht="14.45" customHeight="1">
      <c r="A34" s="123"/>
      <c r="B34" s="20" t="s">
        <v>65</v>
      </c>
      <c r="C34" s="15">
        <v>7136</v>
      </c>
      <c r="D34" s="16">
        <v>2706</v>
      </c>
      <c r="E34" s="16">
        <v>4939</v>
      </c>
      <c r="F34" s="17">
        <v>7690</v>
      </c>
      <c r="G34" s="18">
        <v>6162</v>
      </c>
      <c r="H34" s="18">
        <v>6397</v>
      </c>
      <c r="I34" s="15"/>
      <c r="J34" s="19"/>
    </row>
    <row r="35" spans="1:15" ht="14.45" customHeight="1">
      <c r="A35" s="123"/>
      <c r="B35" s="20" t="s">
        <v>66</v>
      </c>
      <c r="C35" s="15">
        <v>1334</v>
      </c>
      <c r="D35" s="16">
        <v>5719</v>
      </c>
      <c r="E35" s="16">
        <v>1285</v>
      </c>
      <c r="F35" s="17">
        <v>7520</v>
      </c>
      <c r="G35" s="18">
        <v>4308</v>
      </c>
      <c r="H35" s="18">
        <v>5911</v>
      </c>
      <c r="I35" s="15"/>
      <c r="J35" s="19"/>
    </row>
    <row r="36" spans="1:15" ht="14.45" customHeight="1">
      <c r="A36" s="123"/>
      <c r="B36" s="20" t="s">
        <v>67</v>
      </c>
      <c r="C36" s="15">
        <v>5039</v>
      </c>
      <c r="D36" s="16">
        <v>6867</v>
      </c>
      <c r="E36" s="16">
        <v>746</v>
      </c>
      <c r="F36" s="17">
        <v>7136</v>
      </c>
      <c r="G36" s="18">
        <v>4252</v>
      </c>
      <c r="H36" s="18">
        <v>5036</v>
      </c>
      <c r="I36" s="15"/>
      <c r="J36" s="19"/>
    </row>
    <row r="37" spans="1:15" ht="14.45" customHeight="1">
      <c r="A37" s="123"/>
      <c r="B37" s="20" t="s">
        <v>68</v>
      </c>
      <c r="C37" s="15">
        <v>6162</v>
      </c>
      <c r="D37" s="16">
        <v>188</v>
      </c>
      <c r="E37" s="16">
        <v>5406</v>
      </c>
      <c r="F37" s="17">
        <v>7690</v>
      </c>
      <c r="G37" s="18">
        <v>1246</v>
      </c>
      <c r="H37" s="18">
        <v>7456</v>
      </c>
      <c r="I37" s="15"/>
      <c r="J37" s="19"/>
      <c r="O37" s="135"/>
    </row>
    <row r="38" spans="1:15" ht="14.45" customHeight="1">
      <c r="A38" s="123"/>
      <c r="B38" s="20" t="s">
        <v>69</v>
      </c>
      <c r="C38" s="15">
        <v>6342</v>
      </c>
      <c r="D38" s="16">
        <v>7476</v>
      </c>
      <c r="E38" s="16">
        <v>919</v>
      </c>
      <c r="F38" s="17">
        <v>6878</v>
      </c>
      <c r="G38" s="18">
        <v>5031</v>
      </c>
      <c r="H38" s="18">
        <v>4939</v>
      </c>
      <c r="I38" s="15"/>
      <c r="J38" s="19"/>
    </row>
    <row r="39" spans="1:15" ht="14.45" customHeight="1">
      <c r="A39" s="123"/>
      <c r="B39" s="20" t="s">
        <v>70</v>
      </c>
      <c r="C39" s="15">
        <v>5076</v>
      </c>
      <c r="D39" s="16">
        <v>2706</v>
      </c>
      <c r="E39" s="16">
        <v>6866</v>
      </c>
      <c r="F39" s="17">
        <v>6397</v>
      </c>
      <c r="G39" s="18">
        <v>5024</v>
      </c>
      <c r="H39" s="18">
        <v>7710</v>
      </c>
      <c r="I39" s="15"/>
      <c r="J39" s="19"/>
    </row>
    <row r="40" spans="1:15" ht="14.45" customHeight="1">
      <c r="A40" s="123"/>
      <c r="B40" s="20" t="s">
        <v>71</v>
      </c>
      <c r="C40" s="15">
        <v>4308</v>
      </c>
      <c r="D40" s="16">
        <v>6342</v>
      </c>
      <c r="E40" s="16">
        <v>1334</v>
      </c>
      <c r="F40" s="17">
        <v>746</v>
      </c>
      <c r="G40" s="18">
        <v>7690</v>
      </c>
      <c r="H40" s="18">
        <v>5036</v>
      </c>
      <c r="I40" s="15"/>
      <c r="J40" s="19"/>
    </row>
    <row r="41" spans="1:15" ht="14.45" customHeight="1">
      <c r="A41" s="123"/>
      <c r="B41" s="20" t="s">
        <v>72</v>
      </c>
      <c r="C41" s="15">
        <v>7710</v>
      </c>
      <c r="D41" s="16">
        <v>4252</v>
      </c>
      <c r="E41" s="16">
        <v>919</v>
      </c>
      <c r="F41" s="17">
        <v>5406</v>
      </c>
      <c r="G41" s="18">
        <v>5076</v>
      </c>
      <c r="H41" s="18">
        <v>7520</v>
      </c>
      <c r="I41" s="15"/>
      <c r="J41" s="19"/>
    </row>
    <row r="42" spans="1:15" ht="14.45" customHeight="1">
      <c r="A42" s="123"/>
      <c r="B42" s="20" t="s">
        <v>73</v>
      </c>
      <c r="C42" s="15">
        <v>5911</v>
      </c>
      <c r="D42" s="16">
        <v>5031</v>
      </c>
      <c r="E42" s="16">
        <v>6867</v>
      </c>
      <c r="F42" s="17">
        <v>188</v>
      </c>
      <c r="G42" s="18">
        <v>7476</v>
      </c>
      <c r="H42" s="18">
        <v>2706</v>
      </c>
      <c r="I42" s="15"/>
      <c r="J42" s="19"/>
    </row>
    <row r="43" spans="1:15" ht="14.45" customHeight="1">
      <c r="A43" s="123"/>
      <c r="B43" s="20" t="s">
        <v>74</v>
      </c>
      <c r="C43" s="15">
        <v>5719</v>
      </c>
      <c r="D43" s="16">
        <v>6866</v>
      </c>
      <c r="E43" s="16">
        <v>6397</v>
      </c>
      <c r="F43" s="17">
        <v>5039</v>
      </c>
      <c r="G43" s="18">
        <v>4939</v>
      </c>
      <c r="H43" s="18">
        <v>6162</v>
      </c>
      <c r="I43" s="15"/>
      <c r="J43" s="19"/>
    </row>
    <row r="44" spans="1:15" ht="14.45" customHeight="1">
      <c r="A44" s="123"/>
      <c r="B44" s="20" t="s">
        <v>75</v>
      </c>
      <c r="C44" s="15">
        <v>5024</v>
      </c>
      <c r="D44" s="16">
        <v>7136</v>
      </c>
      <c r="E44" s="16">
        <v>7456</v>
      </c>
      <c r="F44" s="17">
        <v>1285</v>
      </c>
      <c r="G44" s="18">
        <v>1246</v>
      </c>
      <c r="H44" s="18">
        <v>6878</v>
      </c>
      <c r="I44" s="15"/>
      <c r="J44" s="19"/>
    </row>
    <row r="45" spans="1:15" ht="14.45" customHeight="1">
      <c r="A45" s="123"/>
      <c r="B45" s="20" t="s">
        <v>76</v>
      </c>
      <c r="C45" s="15">
        <v>1334</v>
      </c>
      <c r="D45" s="16">
        <v>5406</v>
      </c>
      <c r="E45" s="16">
        <v>7690</v>
      </c>
      <c r="F45" s="17">
        <v>919</v>
      </c>
      <c r="G45" s="18">
        <v>2706</v>
      </c>
      <c r="H45" s="18">
        <v>5031</v>
      </c>
      <c r="I45" s="15"/>
      <c r="J45" s="19"/>
    </row>
    <row r="46" spans="1:15" ht="14.45" customHeight="1">
      <c r="A46" s="123"/>
      <c r="B46" s="20" t="s">
        <v>77</v>
      </c>
      <c r="C46" s="15">
        <v>1246</v>
      </c>
      <c r="D46" s="16">
        <v>5719</v>
      </c>
      <c r="E46" s="16">
        <v>746</v>
      </c>
      <c r="F46" s="17">
        <v>7476</v>
      </c>
      <c r="G46" s="18">
        <v>4308</v>
      </c>
      <c r="H46" s="18">
        <v>4252</v>
      </c>
      <c r="I46" s="15"/>
      <c r="J46" s="19"/>
    </row>
    <row r="47" spans="1:15" ht="14.45" customHeight="1">
      <c r="A47" s="123"/>
      <c r="B47" s="20" t="s">
        <v>78</v>
      </c>
      <c r="C47" s="15">
        <v>6878</v>
      </c>
      <c r="D47" s="16">
        <v>5036</v>
      </c>
      <c r="E47" s="16">
        <v>6867</v>
      </c>
      <c r="F47" s="17">
        <v>7710</v>
      </c>
      <c r="G47" s="18">
        <v>6162</v>
      </c>
      <c r="H47" s="18">
        <v>1285</v>
      </c>
      <c r="I47" s="15"/>
      <c r="J47" s="19"/>
    </row>
    <row r="48" spans="1:15" ht="14.45" customHeight="1">
      <c r="A48" s="123"/>
      <c r="B48" s="20" t="s">
        <v>79</v>
      </c>
      <c r="C48" s="15">
        <v>6866</v>
      </c>
      <c r="D48" s="16">
        <v>7456</v>
      </c>
      <c r="E48" s="16">
        <v>4939</v>
      </c>
      <c r="F48" s="17">
        <v>5076</v>
      </c>
      <c r="G48" s="18">
        <v>5911</v>
      </c>
      <c r="H48" s="18">
        <v>6397</v>
      </c>
      <c r="I48" s="15"/>
      <c r="J48" s="19"/>
    </row>
    <row r="49" spans="1:10" ht="14.45" customHeight="1">
      <c r="A49" s="123"/>
      <c r="B49" s="20" t="s">
        <v>80</v>
      </c>
      <c r="C49" s="15">
        <v>7520</v>
      </c>
      <c r="D49" s="16">
        <v>5024</v>
      </c>
      <c r="E49" s="16">
        <v>188</v>
      </c>
      <c r="F49" s="17">
        <v>6342</v>
      </c>
      <c r="G49" s="18">
        <v>5039</v>
      </c>
      <c r="H49" s="18">
        <v>7136</v>
      </c>
      <c r="I49" s="15"/>
      <c r="J49" s="19"/>
    </row>
    <row r="50" spans="1:10" ht="14.45" customHeight="1">
      <c r="A50" s="123"/>
      <c r="B50" s="20" t="s">
        <v>81</v>
      </c>
      <c r="C50" s="15">
        <v>6162</v>
      </c>
      <c r="D50" s="16">
        <v>919</v>
      </c>
      <c r="E50" s="16">
        <v>5911</v>
      </c>
      <c r="F50" s="17">
        <v>5406</v>
      </c>
      <c r="G50" s="18">
        <v>4308</v>
      </c>
      <c r="H50" s="18">
        <v>6867</v>
      </c>
      <c r="I50" s="15"/>
      <c r="J50" s="19"/>
    </row>
    <row r="51" spans="1:10" ht="14.45" customHeight="1">
      <c r="A51" s="123"/>
      <c r="B51" s="20" t="s">
        <v>82</v>
      </c>
      <c r="C51" s="15">
        <v>6342</v>
      </c>
      <c r="D51" s="16">
        <v>188</v>
      </c>
      <c r="E51" s="16">
        <v>6397</v>
      </c>
      <c r="F51" s="17">
        <v>746</v>
      </c>
      <c r="G51" s="18">
        <v>7476</v>
      </c>
      <c r="H51" s="18">
        <v>6866</v>
      </c>
      <c r="I51" s="15"/>
      <c r="J51" s="19"/>
    </row>
    <row r="52" spans="1:10" ht="14.45" customHeight="1">
      <c r="A52" s="123"/>
      <c r="B52" s="20" t="s">
        <v>83</v>
      </c>
      <c r="C52" s="15">
        <v>4939</v>
      </c>
      <c r="D52" s="16">
        <v>5036</v>
      </c>
      <c r="E52" s="16">
        <v>1285</v>
      </c>
      <c r="F52" s="17">
        <v>7136</v>
      </c>
      <c r="G52" s="18">
        <v>1334</v>
      </c>
      <c r="H52" s="18">
        <v>7710</v>
      </c>
      <c r="I52" s="15"/>
      <c r="J52" s="19"/>
    </row>
    <row r="53" spans="1:10" ht="14.45" customHeight="1">
      <c r="A53" s="123"/>
      <c r="B53" s="20" t="s">
        <v>84</v>
      </c>
      <c r="C53" s="15">
        <v>5719</v>
      </c>
      <c r="D53" s="16">
        <v>5031</v>
      </c>
      <c r="E53" s="16">
        <v>5039</v>
      </c>
      <c r="F53" s="17">
        <v>5076</v>
      </c>
      <c r="G53" s="18">
        <v>6878</v>
      </c>
      <c r="H53" s="18">
        <v>7456</v>
      </c>
      <c r="I53" s="15"/>
      <c r="J53" s="19"/>
    </row>
    <row r="54" spans="1:10" ht="14.45" customHeight="1">
      <c r="A54" s="123"/>
      <c r="B54" s="20" t="s">
        <v>85</v>
      </c>
      <c r="C54" s="15">
        <v>4252</v>
      </c>
      <c r="D54" s="16">
        <v>7520</v>
      </c>
      <c r="E54" s="16">
        <v>1246</v>
      </c>
      <c r="F54" s="17">
        <v>5024</v>
      </c>
      <c r="G54" s="18">
        <v>7690</v>
      </c>
      <c r="H54" s="18">
        <v>2706</v>
      </c>
      <c r="I54" s="15"/>
      <c r="J54" s="19"/>
    </row>
    <row r="55" spans="1:10" ht="14.45" customHeight="1">
      <c r="A55" s="123"/>
      <c r="B55" s="20" t="s">
        <v>86</v>
      </c>
      <c r="C55" s="15">
        <v>746</v>
      </c>
      <c r="D55" s="16">
        <v>5911</v>
      </c>
      <c r="E55" s="16">
        <v>7710</v>
      </c>
      <c r="F55" s="17">
        <v>4939</v>
      </c>
      <c r="G55" s="18">
        <v>5076</v>
      </c>
      <c r="H55" s="18">
        <v>6342</v>
      </c>
      <c r="I55" s="15"/>
      <c r="J55" s="19"/>
    </row>
    <row r="56" spans="1:10" ht="14.45" customHeight="1">
      <c r="A56" s="123"/>
      <c r="B56" s="20" t="s">
        <v>87</v>
      </c>
      <c r="C56" s="15">
        <v>6878</v>
      </c>
      <c r="D56" s="16">
        <v>6867</v>
      </c>
      <c r="E56" s="16">
        <v>1334</v>
      </c>
      <c r="F56" s="17">
        <v>7520</v>
      </c>
      <c r="G56" s="18">
        <v>7690</v>
      </c>
      <c r="H56" s="18">
        <v>6866</v>
      </c>
      <c r="I56" s="15"/>
      <c r="J56" s="19"/>
    </row>
    <row r="57" spans="1:10" ht="14.45" customHeight="1">
      <c r="A57" s="123"/>
      <c r="B57" s="20" t="s">
        <v>88</v>
      </c>
      <c r="C57" s="15">
        <v>6162</v>
      </c>
      <c r="D57" s="16">
        <v>1285</v>
      </c>
      <c r="E57" s="16">
        <v>7456</v>
      </c>
      <c r="F57" s="17">
        <v>919</v>
      </c>
      <c r="G57" s="18">
        <v>2706</v>
      </c>
      <c r="H57" s="18">
        <v>1246</v>
      </c>
      <c r="I57" s="15"/>
      <c r="J57" s="19"/>
    </row>
    <row r="58" spans="1:10" ht="14.45" customHeight="1">
      <c r="A58" s="123"/>
      <c r="B58" s="20" t="s">
        <v>89</v>
      </c>
      <c r="C58" s="15">
        <v>188</v>
      </c>
      <c r="D58" s="16">
        <v>4308</v>
      </c>
      <c r="E58" s="16">
        <v>7136</v>
      </c>
      <c r="F58" s="17">
        <v>5036</v>
      </c>
      <c r="G58" s="18">
        <v>5719</v>
      </c>
      <c r="H58" s="18">
        <v>5024</v>
      </c>
      <c r="I58" s="15"/>
      <c r="J58" s="19"/>
    </row>
    <row r="59" spans="1:10" ht="14.45" customHeight="1">
      <c r="A59" s="123"/>
      <c r="B59" s="20" t="s">
        <v>90</v>
      </c>
      <c r="C59" s="15">
        <v>6397</v>
      </c>
      <c r="D59" s="16">
        <v>5406</v>
      </c>
      <c r="E59" s="16">
        <v>4252</v>
      </c>
      <c r="F59" s="17">
        <v>5031</v>
      </c>
      <c r="G59" s="18">
        <v>7476</v>
      </c>
      <c r="H59" s="18">
        <v>5039</v>
      </c>
      <c r="I59" s="15"/>
      <c r="J59" s="19"/>
    </row>
    <row r="60" spans="1:10" ht="14.45" customHeight="1">
      <c r="A60" s="123"/>
      <c r="B60" s="20" t="s">
        <v>91</v>
      </c>
      <c r="C60" s="15">
        <v>5911</v>
      </c>
      <c r="D60" s="16">
        <v>6878</v>
      </c>
      <c r="E60" s="16">
        <v>7690</v>
      </c>
      <c r="F60" s="17">
        <v>4308</v>
      </c>
      <c r="G60" s="18">
        <v>7710</v>
      </c>
      <c r="H60" s="18">
        <v>5719</v>
      </c>
      <c r="I60" s="15"/>
      <c r="J60" s="19"/>
    </row>
    <row r="61" spans="1:10" ht="14.45" customHeight="1">
      <c r="A61" s="123"/>
      <c r="B61" s="20" t="s">
        <v>92</v>
      </c>
      <c r="C61" s="15">
        <v>2706</v>
      </c>
      <c r="D61" s="16">
        <v>7520</v>
      </c>
      <c r="E61" s="16">
        <v>4939</v>
      </c>
      <c r="F61" s="17">
        <v>4252</v>
      </c>
      <c r="G61" s="18">
        <v>746</v>
      </c>
      <c r="H61" s="18">
        <v>6162</v>
      </c>
      <c r="I61" s="15"/>
      <c r="J61" s="19"/>
    </row>
    <row r="62" spans="1:10" ht="14.45" customHeight="1">
      <c r="A62" s="123"/>
      <c r="B62" s="20" t="s">
        <v>93</v>
      </c>
      <c r="C62" s="15">
        <v>7476</v>
      </c>
      <c r="D62" s="16">
        <v>5406</v>
      </c>
      <c r="E62" s="16">
        <v>6867</v>
      </c>
      <c r="F62" s="17">
        <v>7456</v>
      </c>
      <c r="G62" s="18">
        <v>1285</v>
      </c>
      <c r="H62" s="18">
        <v>6342</v>
      </c>
      <c r="I62" s="15"/>
      <c r="J62" s="19"/>
    </row>
    <row r="63" spans="1:10" ht="14.45" customHeight="1">
      <c r="A63" s="123"/>
      <c r="B63" s="20" t="s">
        <v>94</v>
      </c>
      <c r="C63" s="15">
        <v>1334</v>
      </c>
      <c r="D63" s="16">
        <v>919</v>
      </c>
      <c r="E63" s="16">
        <v>5076</v>
      </c>
      <c r="F63" s="17">
        <v>6397</v>
      </c>
      <c r="G63" s="18">
        <v>1246</v>
      </c>
      <c r="H63" s="18">
        <v>5024</v>
      </c>
      <c r="I63" s="15"/>
      <c r="J63" s="19"/>
    </row>
    <row r="64" spans="1:10" ht="14.45" customHeight="1">
      <c r="A64" s="123"/>
      <c r="B64" s="20" t="s">
        <v>95</v>
      </c>
      <c r="C64" s="15">
        <v>5039</v>
      </c>
      <c r="D64" s="16">
        <v>5036</v>
      </c>
      <c r="E64" s="16">
        <v>188</v>
      </c>
      <c r="F64" s="17">
        <v>6866</v>
      </c>
      <c r="G64" s="18">
        <v>5031</v>
      </c>
      <c r="H64" s="18">
        <v>7136</v>
      </c>
      <c r="I64" s="15"/>
      <c r="J64" s="19"/>
    </row>
    <row r="65" spans="1:15" ht="14.45" customHeight="1">
      <c r="A65" s="123"/>
      <c r="B65" s="134"/>
      <c r="C65" s="15"/>
      <c r="D65" s="16"/>
      <c r="E65" s="16"/>
      <c r="F65" s="17"/>
      <c r="G65" s="18"/>
      <c r="H65" s="18"/>
      <c r="I65" s="15"/>
      <c r="J65" s="19"/>
    </row>
    <row r="66" spans="1:15" ht="14.45" customHeight="1">
      <c r="A66" s="123"/>
      <c r="B66" s="20"/>
      <c r="C66" s="15"/>
      <c r="D66" s="16"/>
      <c r="E66" s="16"/>
      <c r="F66" s="17"/>
      <c r="G66" s="18"/>
      <c r="H66" s="18"/>
      <c r="I66" s="15"/>
      <c r="J66" s="19"/>
    </row>
    <row r="67" spans="1:15" ht="14.45" customHeight="1">
      <c r="A67" s="123"/>
      <c r="B67" s="20"/>
      <c r="C67" s="15"/>
      <c r="D67" s="16"/>
      <c r="E67" s="16"/>
      <c r="F67" s="17"/>
      <c r="G67" s="18"/>
      <c r="H67" s="18"/>
      <c r="I67" s="15"/>
      <c r="J67" s="19"/>
    </row>
    <row r="68" spans="1:15" ht="14.45" customHeight="1">
      <c r="A68" s="123"/>
      <c r="B68" s="20"/>
      <c r="C68" s="15"/>
      <c r="D68" s="16"/>
      <c r="E68" s="16"/>
      <c r="F68" s="17"/>
      <c r="G68" s="18"/>
      <c r="H68" s="18"/>
      <c r="I68" s="15"/>
      <c r="J68" s="19"/>
    </row>
    <row r="69" spans="1:15" ht="14.45" customHeight="1">
      <c r="A69" s="123"/>
      <c r="B69" s="20"/>
      <c r="C69" s="15"/>
      <c r="D69" s="16"/>
      <c r="E69" s="16"/>
      <c r="F69" s="17"/>
      <c r="G69" s="18"/>
      <c r="H69" s="18"/>
      <c r="I69" s="15"/>
      <c r="J69" s="19"/>
      <c r="O69" s="135" t="s">
        <v>354</v>
      </c>
    </row>
    <row r="70" spans="1:15" ht="14.45" customHeight="1">
      <c r="A70" s="123"/>
      <c r="B70" s="20"/>
      <c r="C70" s="15"/>
      <c r="D70" s="16"/>
      <c r="E70" s="16"/>
      <c r="F70" s="17"/>
      <c r="G70" s="18"/>
      <c r="H70" s="18"/>
      <c r="I70" s="15"/>
      <c r="J70" s="19"/>
    </row>
    <row r="71" spans="1:15" ht="14.45" customHeight="1">
      <c r="A71" s="123"/>
      <c r="B71" s="20"/>
      <c r="C71" s="15"/>
      <c r="D71" s="16"/>
      <c r="E71" s="16"/>
      <c r="F71" s="17"/>
      <c r="G71" s="18"/>
      <c r="H71" s="18"/>
      <c r="I71" s="15"/>
      <c r="J71" s="19"/>
    </row>
    <row r="72" spans="1:15" ht="14.45" customHeight="1">
      <c r="A72" s="123"/>
      <c r="B72" s="20"/>
      <c r="C72" s="15"/>
      <c r="D72" s="16"/>
      <c r="E72" s="16"/>
      <c r="F72" s="17"/>
      <c r="G72" s="18"/>
      <c r="H72" s="18"/>
      <c r="I72" s="15"/>
      <c r="J72" s="19"/>
    </row>
    <row r="73" spans="1:15" ht="14.45" customHeight="1">
      <c r="A73" s="123"/>
      <c r="B73" s="20"/>
      <c r="C73" s="15"/>
      <c r="D73" s="16"/>
      <c r="E73" s="16"/>
      <c r="F73" s="17"/>
      <c r="G73" s="18"/>
      <c r="H73" s="18"/>
      <c r="I73" s="15"/>
      <c r="J73" s="19"/>
    </row>
    <row r="74" spans="1:15" ht="14.45" customHeight="1">
      <c r="A74" s="123"/>
      <c r="B74" s="20"/>
      <c r="C74" s="15"/>
      <c r="D74" s="16"/>
      <c r="E74" s="16"/>
      <c r="F74" s="17"/>
      <c r="G74" s="18"/>
      <c r="H74" s="18"/>
      <c r="I74" s="15"/>
      <c r="J74" s="19"/>
    </row>
    <row r="75" spans="1:15" ht="14.45" customHeight="1">
      <c r="A75" s="123"/>
      <c r="B75" s="20"/>
      <c r="C75" s="15"/>
      <c r="D75" s="16"/>
      <c r="E75" s="16"/>
      <c r="F75" s="17"/>
      <c r="G75" s="18"/>
      <c r="H75" s="18"/>
      <c r="I75" s="15"/>
      <c r="J75" s="19"/>
    </row>
    <row r="76" spans="1:15" ht="14.45" customHeight="1">
      <c r="A76" s="123"/>
      <c r="B76" s="20"/>
      <c r="C76" s="15"/>
      <c r="D76" s="16"/>
      <c r="E76" s="16"/>
      <c r="F76" s="17"/>
      <c r="G76" s="18"/>
      <c r="H76" s="18"/>
      <c r="I76" s="15"/>
      <c r="J76" s="19"/>
    </row>
    <row r="77" spans="1:15" ht="14.45" customHeight="1">
      <c r="A77" s="123"/>
      <c r="B77" s="20"/>
      <c r="C77" s="15"/>
      <c r="D77" s="16"/>
      <c r="E77" s="16"/>
      <c r="F77" s="17"/>
      <c r="G77" s="18"/>
      <c r="H77" s="18"/>
      <c r="I77" s="15"/>
      <c r="J77" s="19"/>
    </row>
    <row r="78" spans="1:15" ht="14.45" customHeight="1">
      <c r="A78" s="123"/>
      <c r="B78" s="20"/>
      <c r="C78" s="15"/>
      <c r="D78" s="16"/>
      <c r="E78" s="16"/>
      <c r="F78" s="17"/>
      <c r="G78" s="18"/>
      <c r="H78" s="18"/>
      <c r="I78" s="15"/>
      <c r="J78" s="19"/>
    </row>
    <row r="79" spans="1:15" ht="14.45" customHeight="1">
      <c r="A79" s="123"/>
      <c r="B79" s="20"/>
      <c r="C79" s="15"/>
      <c r="D79" s="16"/>
      <c r="E79" s="16"/>
      <c r="F79" s="17"/>
      <c r="G79" s="18"/>
      <c r="H79" s="18"/>
      <c r="I79" s="15"/>
      <c r="J79" s="19"/>
    </row>
    <row r="80" spans="1:15" ht="14.45" customHeight="1">
      <c r="A80" s="123"/>
      <c r="B80" s="20"/>
      <c r="C80" s="15"/>
      <c r="D80" s="16"/>
      <c r="E80" s="16"/>
      <c r="F80" s="17"/>
      <c r="G80" s="18"/>
      <c r="H80" s="18"/>
      <c r="I80" s="15"/>
      <c r="J80" s="19"/>
    </row>
    <row r="81" spans="1:10" ht="14.45" customHeight="1">
      <c r="A81" s="123"/>
      <c r="B81" s="20"/>
      <c r="C81" s="15"/>
      <c r="D81" s="16"/>
      <c r="E81" s="16"/>
      <c r="F81" s="17"/>
      <c r="G81" s="18"/>
      <c r="H81" s="18"/>
      <c r="I81" s="15"/>
      <c r="J81" s="19"/>
    </row>
    <row r="82" spans="1:10" ht="14.45" customHeight="1">
      <c r="A82" s="123"/>
      <c r="B82" s="20"/>
      <c r="C82" s="15"/>
      <c r="D82" s="16"/>
      <c r="E82" s="16"/>
      <c r="F82" s="17"/>
      <c r="G82" s="18"/>
      <c r="H82" s="18"/>
      <c r="I82" s="15"/>
      <c r="J82" s="19"/>
    </row>
    <row r="83" spans="1:10" ht="14.45" customHeight="1">
      <c r="A83" s="123"/>
      <c r="B83" s="20"/>
      <c r="C83" s="15"/>
      <c r="D83" s="16"/>
      <c r="E83" s="16"/>
      <c r="F83" s="17"/>
      <c r="G83" s="18"/>
      <c r="H83" s="18"/>
      <c r="I83" s="15"/>
      <c r="J83" s="19"/>
    </row>
    <row r="84" spans="1:10" ht="14.45" customHeight="1">
      <c r="A84" s="123"/>
      <c r="B84" s="20"/>
      <c r="C84" s="15"/>
      <c r="D84" s="16"/>
      <c r="E84" s="16"/>
      <c r="F84" s="17"/>
      <c r="G84" s="18"/>
      <c r="H84" s="18"/>
      <c r="I84" s="15"/>
      <c r="J84" s="19"/>
    </row>
    <row r="85" spans="1:10">
      <c r="B85" s="134"/>
      <c r="C85" s="15"/>
      <c r="D85" s="16"/>
      <c r="E85" s="16"/>
      <c r="F85" s="17"/>
      <c r="G85" s="18"/>
      <c r="H85" s="18"/>
      <c r="I85" s="15"/>
      <c r="J85" s="19"/>
    </row>
    <row r="86" spans="1:10">
      <c r="B86" s="20"/>
      <c r="C86" s="15"/>
      <c r="D86" s="16"/>
      <c r="E86" s="16"/>
      <c r="F86" s="17"/>
      <c r="G86" s="18"/>
      <c r="H86" s="18"/>
      <c r="I86" s="15"/>
      <c r="J86" s="19"/>
    </row>
    <row r="87" spans="1:10">
      <c r="B87" s="20"/>
      <c r="C87" s="15"/>
      <c r="D87" s="16"/>
      <c r="E87" s="16"/>
      <c r="F87" s="17"/>
      <c r="G87" s="18"/>
      <c r="H87" s="18"/>
      <c r="I87" s="15"/>
      <c r="J87" s="19"/>
    </row>
    <row r="88" spans="1:10">
      <c r="B88" s="20"/>
      <c r="C88" s="15"/>
      <c r="D88" s="16"/>
      <c r="E88" s="16"/>
      <c r="F88" s="17"/>
      <c r="G88" s="18"/>
      <c r="H88" s="18"/>
      <c r="I88" s="15"/>
      <c r="J88" s="19"/>
    </row>
    <row r="89" spans="1:10">
      <c r="B89" s="20"/>
      <c r="C89" s="15"/>
      <c r="D89" s="16"/>
      <c r="E89" s="16"/>
      <c r="F89" s="17"/>
      <c r="G89" s="18"/>
      <c r="H89" s="18"/>
      <c r="I89" s="15"/>
      <c r="J89" s="19"/>
    </row>
    <row r="90" spans="1:10">
      <c r="B90" s="20"/>
      <c r="C90" s="15"/>
      <c r="D90" s="16"/>
      <c r="E90" s="16"/>
      <c r="F90" s="17"/>
      <c r="G90" s="18"/>
      <c r="H90" s="18"/>
      <c r="I90" s="15"/>
      <c r="J90" s="19"/>
    </row>
    <row r="91" spans="1:10">
      <c r="B91" s="20"/>
      <c r="C91" s="15"/>
      <c r="D91" s="16"/>
      <c r="E91" s="16"/>
      <c r="F91" s="17"/>
      <c r="G91" s="18"/>
      <c r="H91" s="18"/>
      <c r="I91" s="15"/>
      <c r="J91" s="19"/>
    </row>
    <row r="92" spans="1:10">
      <c r="B92" s="20"/>
      <c r="C92" s="15"/>
      <c r="D92" s="16"/>
      <c r="E92" s="16"/>
      <c r="F92" s="17"/>
      <c r="G92" s="18"/>
      <c r="H92" s="18"/>
      <c r="I92" s="15"/>
      <c r="J92" s="19"/>
    </row>
    <row r="93" spans="1:10">
      <c r="B93" s="20"/>
      <c r="C93" s="15"/>
      <c r="D93" s="16"/>
      <c r="E93" s="16"/>
      <c r="F93" s="17"/>
      <c r="G93" s="18"/>
      <c r="H93" s="18"/>
      <c r="I93" s="15"/>
      <c r="J93" s="19"/>
    </row>
    <row r="94" spans="1:10">
      <c r="B94" s="20"/>
      <c r="C94" s="15"/>
      <c r="D94" s="16"/>
      <c r="E94" s="16"/>
      <c r="F94" s="17"/>
      <c r="G94" s="18"/>
      <c r="H94" s="18"/>
      <c r="I94" s="15"/>
      <c r="J94" s="19"/>
    </row>
    <row r="95" spans="1:10">
      <c r="B95" s="20"/>
      <c r="C95" s="15"/>
      <c r="D95" s="16"/>
      <c r="E95" s="16"/>
      <c r="F95" s="17"/>
      <c r="G95" s="18"/>
      <c r="H95" s="18"/>
      <c r="I95" s="15"/>
      <c r="J95" s="19"/>
    </row>
    <row r="96" spans="1:10">
      <c r="B96" s="20"/>
      <c r="C96" s="15"/>
      <c r="D96" s="16"/>
      <c r="E96" s="16"/>
      <c r="F96" s="17"/>
      <c r="G96" s="18"/>
      <c r="H96" s="18"/>
      <c r="I96" s="15"/>
      <c r="J96" s="19"/>
    </row>
    <row r="97" spans="2:10">
      <c r="B97" s="20"/>
      <c r="C97" s="15"/>
      <c r="D97" s="16"/>
      <c r="E97" s="16"/>
      <c r="F97" s="17"/>
      <c r="G97" s="18"/>
      <c r="H97" s="18"/>
      <c r="I97" s="15"/>
      <c r="J97" s="19"/>
    </row>
    <row r="98" spans="2:10" ht="15.75" thickBot="1">
      <c r="B98" s="21"/>
      <c r="C98" s="22"/>
      <c r="D98" s="23"/>
      <c r="E98" s="23"/>
      <c r="F98" s="24"/>
      <c r="G98" s="25"/>
      <c r="H98" s="25"/>
      <c r="I98" s="22"/>
      <c r="J98" s="26"/>
    </row>
  </sheetData>
  <mergeCells count="4">
    <mergeCell ref="A1:J1"/>
    <mergeCell ref="C3:E3"/>
    <mergeCell ref="F3:H3"/>
    <mergeCell ref="I3:J3"/>
  </mergeCells>
  <conditionalFormatting sqref="C1:E1048576">
    <cfRule type="cellIs" dxfId="9" priority="4" operator="equal">
      <formula>6135</formula>
    </cfRule>
  </conditionalFormatting>
  <conditionalFormatting sqref="F1:H1048576">
    <cfRule type="cellIs" dxfId="8" priority="3" operator="equal">
      <formula>6135</formula>
    </cfRule>
  </conditionalFormatting>
  <conditionalFormatting sqref="C1:H1048576">
    <cfRule type="cellIs" dxfId="7" priority="1" operator="equal">
      <formula>$M$3</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44"/>
  <sheetViews>
    <sheetView topLeftCell="E1" zoomScale="91" zoomScaleNormal="70" workbookViewId="0">
      <selection activeCell="E13" sqref="E13"/>
    </sheetView>
  </sheetViews>
  <sheetFormatPr defaultColWidth="8.85546875" defaultRowHeight="15"/>
  <cols>
    <col min="1" max="2" width="9.7109375" customWidth="1"/>
    <col min="5" max="6" width="16.7109375" customWidth="1"/>
    <col min="7" max="7" width="12.42578125" customWidth="1"/>
    <col min="8" max="9" width="9.140625" customWidth="1"/>
    <col min="10" max="11" width="9.28515625" customWidth="1"/>
    <col min="12" max="12" width="9.42578125" customWidth="1"/>
    <col min="13" max="13" width="9.28515625" customWidth="1"/>
    <col min="14" max="15" width="12.85546875" customWidth="1"/>
  </cols>
  <sheetData>
    <row r="1" spans="1:27" ht="14.45" customHeight="1">
      <c r="A1" s="160" t="s">
        <v>150</v>
      </c>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row>
    <row r="2" spans="1:27">
      <c r="A2" s="160"/>
      <c r="B2" s="160"/>
      <c r="C2" s="160"/>
      <c r="D2" s="160"/>
      <c r="E2" s="160"/>
      <c r="F2" s="160"/>
      <c r="G2" s="160"/>
      <c r="H2" s="160"/>
      <c r="I2" s="160"/>
      <c r="J2" s="160"/>
      <c r="K2" s="160"/>
      <c r="L2" s="160"/>
      <c r="M2" s="160"/>
      <c r="N2" s="160"/>
      <c r="O2" s="160"/>
      <c r="P2" s="160"/>
      <c r="Q2" s="160"/>
      <c r="R2" s="160"/>
      <c r="S2" s="160"/>
      <c r="T2" s="160"/>
      <c r="U2" s="160"/>
      <c r="V2" s="160"/>
      <c r="W2" s="160"/>
      <c r="X2" s="160"/>
      <c r="Y2" s="160"/>
      <c r="Z2" s="160"/>
      <c r="AA2" s="160"/>
    </row>
    <row r="3" spans="1:27">
      <c r="A3" s="149" t="s">
        <v>0</v>
      </c>
      <c r="B3" s="149"/>
      <c r="C3" s="149"/>
      <c r="D3" s="1"/>
      <c r="E3" s="1"/>
      <c r="F3" s="1"/>
      <c r="G3" s="149" t="s">
        <v>9</v>
      </c>
      <c r="H3" s="149"/>
      <c r="I3" s="149"/>
      <c r="J3" s="149"/>
      <c r="K3" s="149"/>
      <c r="L3" s="149"/>
      <c r="M3" s="149"/>
      <c r="N3" s="136" t="s">
        <v>1</v>
      </c>
      <c r="O3" s="136"/>
      <c r="P3" s="136"/>
      <c r="Q3" s="136"/>
      <c r="R3" s="136"/>
      <c r="S3" s="136"/>
      <c r="T3" s="136"/>
      <c r="U3" s="136"/>
      <c r="V3" s="136"/>
      <c r="W3" s="136"/>
      <c r="X3" s="136"/>
      <c r="Y3" s="136" t="s">
        <v>2</v>
      </c>
      <c r="Z3" s="136"/>
      <c r="AA3" s="136"/>
    </row>
    <row r="4" spans="1:27" ht="15.75" thickBot="1">
      <c r="A4" s="2" t="s">
        <v>3</v>
      </c>
      <c r="B4" s="2" t="s">
        <v>18</v>
      </c>
      <c r="C4" s="5" t="s">
        <v>22</v>
      </c>
      <c r="D4" s="2" t="s">
        <v>113</v>
      </c>
      <c r="E4" s="2" t="s">
        <v>132</v>
      </c>
      <c r="F4" s="2" t="s">
        <v>133</v>
      </c>
      <c r="G4" s="2" t="s">
        <v>10</v>
      </c>
      <c r="H4" s="2" t="s">
        <v>11</v>
      </c>
      <c r="I4" s="2" t="s">
        <v>12</v>
      </c>
      <c r="J4" s="2" t="s">
        <v>13</v>
      </c>
      <c r="K4" s="2" t="s">
        <v>14</v>
      </c>
      <c r="L4" s="2" t="s">
        <v>15</v>
      </c>
      <c r="M4" s="2" t="s">
        <v>16</v>
      </c>
      <c r="N4" s="3" t="s">
        <v>130</v>
      </c>
      <c r="O4" s="2" t="s">
        <v>129</v>
      </c>
      <c r="P4" s="2" t="s">
        <v>11</v>
      </c>
      <c r="Q4" s="2" t="s">
        <v>12</v>
      </c>
      <c r="R4" s="2" t="s">
        <v>13</v>
      </c>
      <c r="S4" s="2" t="s">
        <v>14</v>
      </c>
      <c r="T4" s="2" t="s">
        <v>15</v>
      </c>
      <c r="U4" s="2" t="s">
        <v>16</v>
      </c>
      <c r="V4" s="2" t="s">
        <v>23</v>
      </c>
      <c r="W4" s="2" t="s">
        <v>128</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610</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746</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919</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1246</v>
      </c>
      <c r="E9" s="75">
        <v>4</v>
      </c>
      <c r="F9" s="75">
        <v>4</v>
      </c>
      <c r="G9">
        <v>4</v>
      </c>
      <c r="H9">
        <v>4</v>
      </c>
      <c r="I9">
        <v>4</v>
      </c>
      <c r="J9">
        <v>4</v>
      </c>
      <c r="K9">
        <v>4</v>
      </c>
      <c r="L9">
        <v>4</v>
      </c>
      <c r="M9">
        <v>4</v>
      </c>
      <c r="N9">
        <v>4</v>
      </c>
      <c r="O9">
        <v>4</v>
      </c>
      <c r="P9">
        <v>4</v>
      </c>
      <c r="Q9">
        <v>4</v>
      </c>
      <c r="R9">
        <v>4</v>
      </c>
      <c r="S9">
        <v>4</v>
      </c>
      <c r="T9">
        <v>4</v>
      </c>
      <c r="U9">
        <v>4</v>
      </c>
    </row>
    <row r="10" spans="1:27">
      <c r="A10">
        <f>'Scouting Output'!$A8</f>
        <v>1285</v>
      </c>
      <c r="E10" s="75">
        <v>5</v>
      </c>
      <c r="N10">
        <v>5</v>
      </c>
      <c r="O10">
        <v>5</v>
      </c>
    </row>
    <row r="11" spans="1:27">
      <c r="A11">
        <f>'Scouting Output'!$A9</f>
        <v>1334</v>
      </c>
      <c r="E11" s="75">
        <v>6</v>
      </c>
      <c r="N11">
        <v>6</v>
      </c>
      <c r="O11">
        <v>6</v>
      </c>
    </row>
    <row r="12" spans="1:27">
      <c r="A12">
        <f>'Scouting Output'!$A10</f>
        <v>2200</v>
      </c>
      <c r="E12" s="75">
        <v>7</v>
      </c>
      <c r="N12">
        <v>7</v>
      </c>
      <c r="O12">
        <v>7</v>
      </c>
    </row>
    <row r="13" spans="1:27">
      <c r="A13">
        <f>'Scouting Output'!$A11</f>
        <v>2386</v>
      </c>
      <c r="E13" s="75">
        <v>8</v>
      </c>
      <c r="N13">
        <v>8</v>
      </c>
      <c r="O13">
        <v>8</v>
      </c>
    </row>
    <row r="14" spans="1:27">
      <c r="A14">
        <f>'Scouting Output'!$A12</f>
        <v>2706</v>
      </c>
    </row>
    <row r="15" spans="1:27">
      <c r="A15">
        <f>'Scouting Output'!$A13</f>
        <v>2708</v>
      </c>
      <c r="G15" t="s">
        <v>144</v>
      </c>
    </row>
    <row r="16" spans="1:27">
      <c r="A16">
        <f>'Scouting Output'!$A14</f>
        <v>2852</v>
      </c>
    </row>
    <row r="17" spans="1:1">
      <c r="A17">
        <f>'Scouting Output'!$A15</f>
        <v>2994</v>
      </c>
    </row>
    <row r="18" spans="1:1">
      <c r="A18">
        <f>'Scouting Output'!$A16</f>
        <v>3571</v>
      </c>
    </row>
    <row r="19" spans="1:1">
      <c r="A19">
        <f>'Scouting Output'!$A17</f>
        <v>4015</v>
      </c>
    </row>
    <row r="20" spans="1:1">
      <c r="A20">
        <f>'Scouting Output'!$A18</f>
        <v>4152</v>
      </c>
    </row>
    <row r="21" spans="1:1">
      <c r="A21">
        <f>'Scouting Output'!$A19</f>
        <v>4252</v>
      </c>
    </row>
    <row r="22" spans="1:1">
      <c r="A22">
        <f>'Scouting Output'!$A20</f>
        <v>4308</v>
      </c>
    </row>
    <row r="23" spans="1:1">
      <c r="A23">
        <f>'Scouting Output'!$A21</f>
        <v>4476</v>
      </c>
    </row>
    <row r="24" spans="1:1">
      <c r="A24">
        <f>'Scouting Output'!$A22</f>
        <v>4519</v>
      </c>
    </row>
    <row r="25" spans="1:1">
      <c r="A25">
        <f>'Scouting Output'!$A23</f>
        <v>4525</v>
      </c>
    </row>
    <row r="26" spans="1:1">
      <c r="A26">
        <f>'Scouting Output'!$A24</f>
        <v>4704</v>
      </c>
    </row>
    <row r="27" spans="1:1">
      <c r="A27">
        <f>'Scouting Output'!$A25</f>
        <v>4783</v>
      </c>
    </row>
    <row r="28" spans="1:1">
      <c r="A28">
        <f>'Scouting Output'!$A26</f>
        <v>4907</v>
      </c>
    </row>
    <row r="29" spans="1:1">
      <c r="A29">
        <f>'Scouting Output'!$A27</f>
        <v>4936</v>
      </c>
    </row>
    <row r="30" spans="1:1">
      <c r="A30">
        <f>'Scouting Output'!$A28</f>
        <v>4939</v>
      </c>
    </row>
    <row r="31" spans="1:1">
      <c r="A31">
        <f>'Scouting Output'!$A29</f>
        <v>4946</v>
      </c>
    </row>
    <row r="32" spans="1:1">
      <c r="A32">
        <f>'Scouting Output'!$A30</f>
        <v>4951</v>
      </c>
    </row>
    <row r="33" spans="1:1">
      <c r="A33">
        <f>'Scouting Output'!$A31</f>
        <v>5024</v>
      </c>
    </row>
    <row r="34" spans="1:1">
      <c r="A34">
        <f>'Scouting Output'!$A32</f>
        <v>5031</v>
      </c>
    </row>
    <row r="35" spans="1:1">
      <c r="A35">
        <f>'Scouting Output'!$A33</f>
        <v>5036</v>
      </c>
    </row>
    <row r="36" spans="1:1">
      <c r="A36">
        <f>'Scouting Output'!$A34</f>
        <v>5039</v>
      </c>
    </row>
    <row r="37" spans="1:1">
      <c r="A37">
        <f>'Scouting Output'!$A35</f>
        <v>5076</v>
      </c>
    </row>
    <row r="38" spans="1:1">
      <c r="A38">
        <f>'Scouting Output'!$A36</f>
        <v>5406</v>
      </c>
    </row>
    <row r="39" spans="1:1">
      <c r="A39">
        <f>'Scouting Output'!$A37</f>
        <v>5409</v>
      </c>
    </row>
    <row r="40" spans="1:1">
      <c r="A40">
        <f>'Scouting Output'!$A38</f>
        <v>5426</v>
      </c>
    </row>
    <row r="41" spans="1:1">
      <c r="A41">
        <f>'Scouting Output'!$A39</f>
        <v>5719</v>
      </c>
    </row>
    <row r="42" spans="1:1">
      <c r="A42">
        <f>'Scouting Output'!$A40</f>
        <v>5885</v>
      </c>
    </row>
    <row r="43" spans="1:1">
      <c r="A43">
        <f>'Scouting Output'!$A41</f>
        <v>5911</v>
      </c>
    </row>
    <row r="44" spans="1:1">
      <c r="A44">
        <f>'Scouting Output'!$A42</f>
        <v>6070</v>
      </c>
    </row>
  </sheetData>
  <mergeCells count="5">
    <mergeCell ref="A3:C3"/>
    <mergeCell ref="G3:M3"/>
    <mergeCell ref="N3:X3"/>
    <mergeCell ref="A1:AA2"/>
    <mergeCell ref="Y3:AA3"/>
  </mergeCell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C59" sqref="C59"/>
    </sheetView>
  </sheetViews>
  <sheetFormatPr defaultColWidth="11" defaultRowHeight="15"/>
  <cols>
    <col min="1" max="2" width="5.42578125" customWidth="1"/>
    <col min="3" max="3" width="12.85546875" customWidth="1"/>
    <col min="11" max="11" width="12" customWidth="1"/>
    <col min="12" max="12" width="14.7109375" customWidth="1"/>
  </cols>
  <sheetData>
    <row r="1" spans="1:12">
      <c r="A1" t="s">
        <v>145</v>
      </c>
    </row>
    <row r="2" spans="1:12">
      <c r="A2" s="110" t="s">
        <v>146</v>
      </c>
      <c r="B2" s="110"/>
      <c r="C2" s="110"/>
    </row>
    <row r="3" spans="1:12">
      <c r="A3" s="111" t="s">
        <v>147</v>
      </c>
      <c r="B3" s="111"/>
      <c r="C3" s="111"/>
    </row>
    <row r="4" spans="1:12">
      <c r="A4" s="112" t="s">
        <v>148</v>
      </c>
      <c r="B4" s="112"/>
      <c r="C4" s="112"/>
    </row>
    <row r="6" spans="1:12">
      <c r="A6" t="s">
        <v>164</v>
      </c>
    </row>
    <row r="7" spans="1:12" ht="17.100000000000001" customHeight="1">
      <c r="B7" t="s">
        <v>165</v>
      </c>
    </row>
    <row r="8" spans="1:12" ht="18.2" customHeight="1">
      <c r="B8" t="s">
        <v>166</v>
      </c>
    </row>
    <row r="9" spans="1:12" ht="18.600000000000001" customHeight="1">
      <c r="B9" t="s">
        <v>167</v>
      </c>
    </row>
    <row r="10" spans="1:12" ht="17.45" customHeight="1">
      <c r="B10" t="s">
        <v>168</v>
      </c>
    </row>
    <row r="12" spans="1:12">
      <c r="A12" s="30" t="s">
        <v>169</v>
      </c>
    </row>
    <row r="13" spans="1:12" ht="15.2" customHeight="1">
      <c r="B13" t="s">
        <v>170</v>
      </c>
    </row>
    <row r="14" spans="1:12" ht="17.45" customHeight="1">
      <c r="B14" t="s">
        <v>171</v>
      </c>
    </row>
    <row r="15" spans="1:12">
      <c r="B15" t="s">
        <v>193</v>
      </c>
    </row>
    <row r="16" spans="1:12" ht="32.1" customHeight="1">
      <c r="B16" s="161" t="s">
        <v>172</v>
      </c>
      <c r="C16" s="161"/>
      <c r="D16" s="161"/>
      <c r="E16" s="161"/>
      <c r="F16" s="161"/>
      <c r="G16" s="161"/>
      <c r="H16" s="161"/>
      <c r="I16" s="161"/>
      <c r="J16" s="161"/>
      <c r="L16" s="115" t="s">
        <v>189</v>
      </c>
    </row>
    <row r="19" spans="1:12">
      <c r="A19" s="30" t="s">
        <v>153</v>
      </c>
    </row>
    <row r="20" spans="1:12">
      <c r="B20" t="s">
        <v>151</v>
      </c>
    </row>
    <row r="21" spans="1:12">
      <c r="B21" t="s">
        <v>152</v>
      </c>
    </row>
    <row r="22" spans="1:12">
      <c r="B22" t="s">
        <v>154</v>
      </c>
    </row>
    <row r="23" spans="1:12">
      <c r="B23" t="s">
        <v>194</v>
      </c>
    </row>
    <row r="24" spans="1:12">
      <c r="B24" t="s">
        <v>195</v>
      </c>
    </row>
    <row r="25" spans="1:12">
      <c r="B25" t="s">
        <v>155</v>
      </c>
    </row>
    <row r="27" spans="1:12">
      <c r="A27" s="30" t="s">
        <v>149</v>
      </c>
    </row>
    <row r="28" spans="1:12" ht="46.5" customHeight="1">
      <c r="B28" s="161" t="s">
        <v>196</v>
      </c>
      <c r="C28" s="161"/>
      <c r="D28" s="161"/>
      <c r="E28" s="161"/>
      <c r="F28" s="161"/>
      <c r="G28" s="161"/>
      <c r="H28" s="161"/>
      <c r="I28" s="161"/>
      <c r="J28" s="161"/>
      <c r="K28" s="161"/>
      <c r="L28" s="161"/>
    </row>
    <row r="29" spans="1:12" ht="21" customHeight="1">
      <c r="B29" t="s">
        <v>173</v>
      </c>
    </row>
    <row r="32" spans="1:12">
      <c r="A32" s="30" t="s">
        <v>156</v>
      </c>
    </row>
    <row r="33" spans="1:12">
      <c r="B33" t="s">
        <v>174</v>
      </c>
    </row>
    <row r="34" spans="1:12" ht="18.2" customHeight="1">
      <c r="B34" t="s">
        <v>175</v>
      </c>
    </row>
    <row r="35" spans="1:12" ht="32.1" customHeight="1">
      <c r="B35" s="137" t="s">
        <v>176</v>
      </c>
      <c r="C35" s="137"/>
      <c r="D35" s="137"/>
      <c r="E35" s="137"/>
      <c r="F35" s="137"/>
      <c r="G35" s="137"/>
      <c r="H35" s="137"/>
      <c r="I35" s="137"/>
      <c r="J35" s="137"/>
      <c r="K35" s="137"/>
      <c r="L35" s="137"/>
    </row>
    <row r="38" spans="1:12">
      <c r="A38" s="30" t="s">
        <v>157</v>
      </c>
    </row>
    <row r="39" spans="1:12" ht="16.7" customHeight="1">
      <c r="A39" s="30"/>
      <c r="B39" t="s">
        <v>177</v>
      </c>
    </row>
    <row r="40" spans="1:12" ht="15.2" customHeight="1">
      <c r="B40" t="s">
        <v>179</v>
      </c>
    </row>
    <row r="41" spans="1:12" ht="16.350000000000001" customHeight="1">
      <c r="B41" t="s">
        <v>192</v>
      </c>
    </row>
    <row r="42" spans="1:12" ht="15.2" customHeight="1">
      <c r="B42" t="s">
        <v>191</v>
      </c>
    </row>
    <row r="45" spans="1:12">
      <c r="A45" s="30" t="s">
        <v>158</v>
      </c>
    </row>
    <row r="46" spans="1:12">
      <c r="B46" s="109" t="s">
        <v>159</v>
      </c>
    </row>
    <row r="47" spans="1:12">
      <c r="C47" t="s">
        <v>183</v>
      </c>
    </row>
    <row r="48" spans="1:12" ht="16.5" customHeight="1">
      <c r="C48" t="s">
        <v>184</v>
      </c>
    </row>
    <row r="49" spans="2:13" ht="30.95" customHeight="1">
      <c r="C49" s="137" t="s">
        <v>185</v>
      </c>
      <c r="D49" s="137"/>
      <c r="E49" s="137"/>
      <c r="F49" s="137"/>
      <c r="G49" s="137"/>
      <c r="H49" s="137"/>
      <c r="I49" s="137"/>
      <c r="J49" s="137"/>
      <c r="K49" s="137"/>
      <c r="L49" s="137"/>
      <c r="M49" s="137"/>
    </row>
    <row r="52" spans="2:13">
      <c r="B52" s="109" t="s">
        <v>160</v>
      </c>
    </row>
    <row r="53" spans="2:13" ht="14.85" customHeight="1">
      <c r="C53" t="s">
        <v>186</v>
      </c>
    </row>
    <row r="54" spans="2:13">
      <c r="C54" t="s">
        <v>187</v>
      </c>
    </row>
    <row r="56" spans="2:13">
      <c r="B56" s="109" t="s">
        <v>161</v>
      </c>
    </row>
    <row r="57" spans="2:13">
      <c r="C57" t="s">
        <v>188</v>
      </c>
    </row>
    <row r="58" spans="2:13">
      <c r="C58" t="s">
        <v>290</v>
      </c>
    </row>
    <row r="60" spans="2:13">
      <c r="B60" s="109" t="s">
        <v>162</v>
      </c>
    </row>
    <row r="61" spans="2:13">
      <c r="C61" t="s">
        <v>181</v>
      </c>
    </row>
    <row r="62" spans="2:13">
      <c r="C62" t="s">
        <v>182</v>
      </c>
    </row>
    <row r="63" spans="2:13">
      <c r="C63" s="114" t="s">
        <v>180</v>
      </c>
    </row>
    <row r="65" spans="1:13" ht="33.75">
      <c r="A65" s="162" t="s">
        <v>163</v>
      </c>
      <c r="B65" s="162"/>
      <c r="C65" s="162"/>
      <c r="D65" s="162"/>
      <c r="E65" s="162"/>
      <c r="F65" s="162"/>
      <c r="G65" s="162"/>
      <c r="H65" s="162"/>
      <c r="I65" s="162"/>
      <c r="J65" s="162"/>
      <c r="K65" s="162"/>
      <c r="L65" s="162"/>
      <c r="M65" s="162"/>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2"/>
  <sheetViews>
    <sheetView showGridLines="0" view="pageLayout" zoomScale="150" zoomScaleNormal="25" zoomScalePageLayoutView="150" workbookViewId="0">
      <selection activeCell="C5" sqref="C5"/>
    </sheetView>
  </sheetViews>
  <sheetFormatPr defaultColWidth="11.42578125" defaultRowHeight="12.75"/>
  <cols>
    <col min="1" max="1" width="0.42578125" style="37" customWidth="1"/>
    <col min="2" max="2" width="6.7109375" style="37" customWidth="1"/>
    <col min="3" max="10" width="3.28515625" style="37" customWidth="1"/>
    <col min="11" max="11" width="7" style="37" customWidth="1"/>
    <col min="12" max="12" width="0.42578125" style="37" customWidth="1"/>
    <col min="13" max="13" width="0.7109375" style="37" customWidth="1"/>
    <col min="14" max="14" width="0.42578125" style="37" customWidth="1"/>
    <col min="15" max="15" width="6.28515625" style="37" customWidth="1"/>
    <col min="16" max="23" width="3.28515625" style="37" customWidth="1"/>
    <col min="24" max="24" width="7.42578125" style="37" customWidth="1"/>
    <col min="25" max="25" width="0.42578125" style="37" customWidth="1"/>
    <col min="26" max="26" width="3.42578125" style="37" customWidth="1"/>
    <col min="27" max="27" width="3.28515625" style="37" customWidth="1"/>
    <col min="28" max="29" width="4.42578125" style="37" customWidth="1"/>
    <col min="30" max="30" width="1.7109375" style="37" customWidth="1"/>
    <col min="31" max="16384" width="11.42578125" style="37"/>
  </cols>
  <sheetData>
    <row r="1" spans="1:31" ht="6" customHeight="1"/>
    <row r="2" spans="1:31" ht="2.1" customHeight="1">
      <c r="A2" s="38"/>
      <c r="B2" s="38"/>
      <c r="C2" s="38"/>
      <c r="D2" s="38"/>
      <c r="E2" s="38"/>
      <c r="F2" s="38"/>
      <c r="G2" s="38"/>
      <c r="H2" s="38"/>
      <c r="I2" s="38"/>
      <c r="J2" s="38"/>
      <c r="K2" s="38"/>
      <c r="L2" s="38"/>
      <c r="N2" s="38"/>
      <c r="O2" s="38"/>
      <c r="P2" s="38"/>
      <c r="Q2" s="38"/>
      <c r="R2" s="38"/>
      <c r="S2" s="38"/>
      <c r="T2" s="38"/>
      <c r="U2" s="38"/>
      <c r="V2" s="38"/>
      <c r="W2" s="38"/>
      <c r="X2" s="38"/>
      <c r="Y2" s="38"/>
    </row>
    <row r="3" spans="1:31" ht="19.7" customHeight="1">
      <c r="A3" s="39"/>
      <c r="B3" s="163" t="s">
        <v>103</v>
      </c>
      <c r="C3" s="164"/>
      <c r="D3" s="165"/>
      <c r="E3" s="95" t="s">
        <v>20</v>
      </c>
      <c r="F3" s="95" t="s">
        <v>104</v>
      </c>
      <c r="G3" s="163" t="s">
        <v>105</v>
      </c>
      <c r="H3" s="164"/>
      <c r="I3" s="164"/>
      <c r="J3" s="165"/>
      <c r="K3" s="96" t="s">
        <v>6</v>
      </c>
      <c r="L3" s="45"/>
      <c r="N3" s="40"/>
      <c r="O3" s="163" t="s">
        <v>103</v>
      </c>
      <c r="P3" s="164"/>
      <c r="Q3" s="165"/>
      <c r="R3" s="95" t="s">
        <v>20</v>
      </c>
      <c r="S3" s="95" t="s">
        <v>104</v>
      </c>
      <c r="T3" s="163" t="s">
        <v>105</v>
      </c>
      <c r="U3" s="164"/>
      <c r="V3" s="164"/>
      <c r="W3" s="165"/>
      <c r="X3" s="96" t="s">
        <v>6</v>
      </c>
      <c r="Y3" s="38"/>
      <c r="Z3" s="41"/>
      <c r="AA3" s="41"/>
      <c r="AB3" s="41"/>
      <c r="AC3" s="41"/>
      <c r="AD3" s="41"/>
      <c r="AE3" s="41"/>
    </row>
    <row r="4" spans="1:31" ht="15.95" customHeight="1">
      <c r="A4" s="39"/>
      <c r="B4" s="166" t="s">
        <v>106</v>
      </c>
      <c r="C4" s="167"/>
      <c r="D4" s="168"/>
      <c r="E4" s="70" t="s">
        <v>111</v>
      </c>
      <c r="F4" s="107" t="s">
        <v>112</v>
      </c>
      <c r="G4" s="42" t="s">
        <v>107</v>
      </c>
      <c r="H4" s="43" t="s">
        <v>108</v>
      </c>
      <c r="I4" s="43" t="s">
        <v>109</v>
      </c>
      <c r="J4" s="44" t="s">
        <v>110</v>
      </c>
      <c r="K4" s="97" t="s">
        <v>5</v>
      </c>
      <c r="L4" s="45"/>
      <c r="N4" s="94"/>
      <c r="O4" s="166" t="s">
        <v>106</v>
      </c>
      <c r="P4" s="167"/>
      <c r="Q4" s="168"/>
      <c r="R4" s="70" t="s">
        <v>111</v>
      </c>
      <c r="S4" s="107" t="s">
        <v>112</v>
      </c>
      <c r="T4" s="42" t="s">
        <v>107</v>
      </c>
      <c r="U4" s="43" t="s">
        <v>108</v>
      </c>
      <c r="V4" s="43" t="s">
        <v>109</v>
      </c>
      <c r="W4" s="44" t="s">
        <v>110</v>
      </c>
      <c r="X4" s="97" t="s">
        <v>5</v>
      </c>
      <c r="Y4" s="38"/>
    </row>
    <row r="5" spans="1:31" ht="20.100000000000001" customHeight="1" thickBot="1">
      <c r="A5" s="39"/>
      <c r="B5" s="98" t="s">
        <v>113</v>
      </c>
      <c r="C5" s="72">
        <v>1</v>
      </c>
      <c r="D5" s="73">
        <v>2</v>
      </c>
      <c r="E5" s="71"/>
      <c r="F5" s="108"/>
      <c r="G5" s="60"/>
      <c r="H5" s="61"/>
      <c r="I5" s="61"/>
      <c r="J5" s="62"/>
      <c r="K5" s="97" t="s">
        <v>114</v>
      </c>
      <c r="L5" s="45"/>
      <c r="N5" s="45"/>
      <c r="O5" s="98" t="s">
        <v>113</v>
      </c>
      <c r="P5" s="72">
        <v>1</v>
      </c>
      <c r="Q5" s="73">
        <v>2</v>
      </c>
      <c r="R5" s="71"/>
      <c r="S5" s="108"/>
      <c r="T5" s="60"/>
      <c r="U5" s="61"/>
      <c r="V5" s="61"/>
      <c r="W5" s="62"/>
      <c r="X5" s="97" t="s">
        <v>114</v>
      </c>
      <c r="Y5" s="38"/>
    </row>
    <row r="6" spans="1:31" ht="15.95" customHeight="1">
      <c r="A6" s="39"/>
      <c r="B6" s="99" t="s">
        <v>115</v>
      </c>
      <c r="C6" s="169" t="s">
        <v>117</v>
      </c>
      <c r="D6" s="169"/>
      <c r="E6" s="169"/>
      <c r="F6" s="169"/>
      <c r="G6" s="169" t="s">
        <v>116</v>
      </c>
      <c r="H6" s="170"/>
      <c r="I6" s="170"/>
      <c r="J6" s="170"/>
      <c r="K6" s="97" t="s">
        <v>118</v>
      </c>
      <c r="L6" s="45"/>
      <c r="N6" s="45"/>
      <c r="O6" s="99" t="s">
        <v>115</v>
      </c>
      <c r="P6" s="169" t="s">
        <v>117</v>
      </c>
      <c r="Q6" s="169"/>
      <c r="R6" s="169"/>
      <c r="S6" s="169"/>
      <c r="T6" s="169" t="s">
        <v>116</v>
      </c>
      <c r="U6" s="170"/>
      <c r="V6" s="170"/>
      <c r="W6" s="170"/>
      <c r="X6" s="97" t="s">
        <v>118</v>
      </c>
      <c r="Y6" s="38"/>
    </row>
    <row r="7" spans="1:31" ht="15.95" customHeight="1">
      <c r="A7" s="39"/>
      <c r="B7" s="100" t="s">
        <v>119</v>
      </c>
      <c r="C7" s="42">
        <v>1</v>
      </c>
      <c r="D7" s="43">
        <v>2</v>
      </c>
      <c r="E7" s="43">
        <v>3</v>
      </c>
      <c r="F7" s="44">
        <v>4</v>
      </c>
      <c r="G7" s="42">
        <v>1</v>
      </c>
      <c r="H7" s="43">
        <v>2</v>
      </c>
      <c r="I7" s="43">
        <v>3</v>
      </c>
      <c r="J7" s="44">
        <v>4</v>
      </c>
      <c r="K7" s="101" t="s">
        <v>120</v>
      </c>
      <c r="L7" s="45"/>
      <c r="N7" s="45"/>
      <c r="O7" s="100" t="s">
        <v>119</v>
      </c>
      <c r="P7" s="42">
        <v>1</v>
      </c>
      <c r="Q7" s="43">
        <v>2</v>
      </c>
      <c r="R7" s="43">
        <v>3</v>
      </c>
      <c r="S7" s="44">
        <v>4</v>
      </c>
      <c r="T7" s="42">
        <v>1</v>
      </c>
      <c r="U7" s="43">
        <v>2</v>
      </c>
      <c r="V7" s="43">
        <v>3</v>
      </c>
      <c r="W7" s="44">
        <v>4</v>
      </c>
      <c r="X7" s="101" t="s">
        <v>120</v>
      </c>
      <c r="Y7" s="38"/>
    </row>
    <row r="8" spans="1:31" ht="15.95" customHeight="1">
      <c r="A8" s="39"/>
      <c r="B8" s="102" t="s">
        <v>121</v>
      </c>
      <c r="C8" s="46">
        <v>1</v>
      </c>
      <c r="D8" s="47">
        <v>2</v>
      </c>
      <c r="E8" s="47">
        <v>3</v>
      </c>
      <c r="F8" s="48">
        <v>4</v>
      </c>
      <c r="G8" s="46">
        <v>1</v>
      </c>
      <c r="H8" s="47">
        <v>2</v>
      </c>
      <c r="I8" s="47">
        <v>3</v>
      </c>
      <c r="J8" s="48">
        <v>4</v>
      </c>
      <c r="K8" s="96" t="s">
        <v>122</v>
      </c>
      <c r="L8" s="45"/>
      <c r="N8" s="45"/>
      <c r="O8" s="102" t="s">
        <v>121</v>
      </c>
      <c r="P8" s="46">
        <v>1</v>
      </c>
      <c r="Q8" s="47">
        <v>2</v>
      </c>
      <c r="R8" s="47">
        <v>3</v>
      </c>
      <c r="S8" s="48">
        <v>4</v>
      </c>
      <c r="T8" s="46">
        <v>1</v>
      </c>
      <c r="U8" s="47">
        <v>2</v>
      </c>
      <c r="V8" s="47">
        <v>3</v>
      </c>
      <c r="W8" s="48">
        <v>4</v>
      </c>
      <c r="X8" s="96" t="s">
        <v>122</v>
      </c>
      <c r="Y8" s="38"/>
    </row>
    <row r="9" spans="1:31" ht="15.95" customHeight="1">
      <c r="A9" s="53"/>
      <c r="B9" s="103" t="s">
        <v>123</v>
      </c>
      <c r="C9" s="49">
        <v>1</v>
      </c>
      <c r="D9" s="50">
        <v>2</v>
      </c>
      <c r="E9" s="50">
        <v>3</v>
      </c>
      <c r="F9" s="51">
        <v>4</v>
      </c>
      <c r="G9" s="49">
        <v>1</v>
      </c>
      <c r="H9" s="50">
        <v>2</v>
      </c>
      <c r="I9" s="50">
        <v>3</v>
      </c>
      <c r="J9" s="51">
        <v>4</v>
      </c>
      <c r="K9" s="101" t="s">
        <v>124</v>
      </c>
      <c r="L9" s="45"/>
      <c r="N9" s="40"/>
      <c r="O9" s="103" t="s">
        <v>123</v>
      </c>
      <c r="P9" s="49">
        <v>1</v>
      </c>
      <c r="Q9" s="50">
        <v>2</v>
      </c>
      <c r="R9" s="50">
        <v>3</v>
      </c>
      <c r="S9" s="51">
        <v>4</v>
      </c>
      <c r="T9" s="49">
        <v>1</v>
      </c>
      <c r="U9" s="50">
        <v>2</v>
      </c>
      <c r="V9" s="50">
        <v>3</v>
      </c>
      <c r="W9" s="51">
        <v>4</v>
      </c>
      <c r="X9" s="101" t="s">
        <v>124</v>
      </c>
      <c r="Y9" s="38"/>
    </row>
    <row r="10" spans="1:31" ht="15.95" customHeight="1">
      <c r="A10" s="38"/>
      <c r="B10" s="171" t="s">
        <v>125</v>
      </c>
      <c r="C10" s="63">
        <v>1</v>
      </c>
      <c r="D10" s="64">
        <v>2</v>
      </c>
      <c r="E10" s="43">
        <v>3</v>
      </c>
      <c r="F10" s="44">
        <v>4</v>
      </c>
      <c r="G10" s="42">
        <v>1</v>
      </c>
      <c r="H10" s="43">
        <v>2</v>
      </c>
      <c r="I10" s="43">
        <v>3</v>
      </c>
      <c r="J10" s="44">
        <v>4</v>
      </c>
      <c r="K10" s="96" t="s">
        <v>122</v>
      </c>
      <c r="L10" s="94"/>
      <c r="N10" s="38"/>
      <c r="O10" s="171" t="s">
        <v>125</v>
      </c>
      <c r="P10" s="63">
        <v>1</v>
      </c>
      <c r="Q10" s="64">
        <v>2</v>
      </c>
      <c r="R10" s="43">
        <v>3</v>
      </c>
      <c r="S10" s="44">
        <v>4</v>
      </c>
      <c r="T10" s="42">
        <v>1</v>
      </c>
      <c r="U10" s="43">
        <v>2</v>
      </c>
      <c r="V10" s="43">
        <v>3</v>
      </c>
      <c r="W10" s="44">
        <v>4</v>
      </c>
      <c r="X10" s="96" t="s">
        <v>122</v>
      </c>
      <c r="Y10" s="38"/>
    </row>
    <row r="11" spans="1:31" ht="15.95" customHeight="1" thickBot="1">
      <c r="A11" s="56"/>
      <c r="B11" s="172"/>
      <c r="C11" s="65">
        <v>5</v>
      </c>
      <c r="D11" s="66">
        <v>6</v>
      </c>
      <c r="E11" s="61">
        <v>7</v>
      </c>
      <c r="F11" s="62">
        <v>8</v>
      </c>
      <c r="G11" s="60">
        <v>5</v>
      </c>
      <c r="H11" s="61">
        <v>6</v>
      </c>
      <c r="I11" s="61">
        <v>7</v>
      </c>
      <c r="J11" s="62">
        <v>8</v>
      </c>
      <c r="K11" s="101" t="s">
        <v>126</v>
      </c>
      <c r="L11" s="40"/>
      <c r="N11" s="38"/>
      <c r="O11" s="172"/>
      <c r="P11" s="65">
        <v>5</v>
      </c>
      <c r="Q11" s="66">
        <v>6</v>
      </c>
      <c r="R11" s="61">
        <v>7</v>
      </c>
      <c r="S11" s="62">
        <v>8</v>
      </c>
      <c r="T11" s="60">
        <v>5</v>
      </c>
      <c r="U11" s="61">
        <v>6</v>
      </c>
      <c r="V11" s="61">
        <v>7</v>
      </c>
      <c r="W11" s="62">
        <v>8</v>
      </c>
      <c r="X11" s="101" t="s">
        <v>126</v>
      </c>
      <c r="Y11" s="38"/>
    </row>
    <row r="12" spans="1:31" ht="15.95" customHeight="1">
      <c r="A12" s="38"/>
      <c r="B12" s="54" t="s">
        <v>127</v>
      </c>
      <c r="C12" s="67">
        <v>1</v>
      </c>
      <c r="D12" s="68">
        <v>2</v>
      </c>
      <c r="E12" s="68">
        <v>3</v>
      </c>
      <c r="F12" s="173" t="s">
        <v>128</v>
      </c>
      <c r="G12" s="173"/>
      <c r="H12" s="68">
        <v>2</v>
      </c>
      <c r="I12" s="68">
        <v>3</v>
      </c>
      <c r="J12" s="69"/>
      <c r="K12" s="104" t="s">
        <v>122</v>
      </c>
      <c r="L12" s="38"/>
      <c r="N12" s="38"/>
      <c r="O12" s="54" t="s">
        <v>127</v>
      </c>
      <c r="P12" s="67">
        <v>1</v>
      </c>
      <c r="Q12" s="68">
        <v>2</v>
      </c>
      <c r="R12" s="68">
        <v>3</v>
      </c>
      <c r="S12" s="173" t="s">
        <v>128</v>
      </c>
      <c r="T12" s="173"/>
      <c r="U12" s="68">
        <v>2</v>
      </c>
      <c r="V12" s="68">
        <v>3</v>
      </c>
      <c r="W12" s="69"/>
      <c r="X12" s="104" t="s">
        <v>122</v>
      </c>
      <c r="Y12" s="38"/>
    </row>
    <row r="13" spans="1:31" ht="2.1" customHeight="1">
      <c r="A13" s="38"/>
      <c r="B13" s="38"/>
      <c r="C13" s="38"/>
      <c r="D13" s="38"/>
      <c r="E13" s="38"/>
      <c r="F13" s="38"/>
      <c r="G13" s="38"/>
      <c r="H13" s="38"/>
      <c r="I13" s="38"/>
      <c r="J13" s="38"/>
      <c r="K13" s="38"/>
      <c r="L13" s="38"/>
      <c r="N13" s="38"/>
      <c r="O13" s="38"/>
      <c r="P13" s="38"/>
      <c r="Q13" s="38"/>
      <c r="R13" s="38"/>
      <c r="S13" s="38"/>
      <c r="T13" s="38"/>
      <c r="U13" s="38"/>
      <c r="V13" s="38"/>
      <c r="W13" s="38"/>
      <c r="X13" s="38"/>
      <c r="Y13" s="38"/>
    </row>
    <row r="14" spans="1:31" ht="3" customHeight="1">
      <c r="Y14" s="38"/>
    </row>
    <row r="15" spans="1:31" ht="3" customHeight="1">
      <c r="A15" s="38"/>
      <c r="B15" s="38"/>
      <c r="C15" s="38"/>
      <c r="D15" s="38"/>
      <c r="E15" s="38"/>
      <c r="F15" s="38"/>
      <c r="G15" s="38"/>
      <c r="H15" s="38"/>
      <c r="I15" s="38"/>
      <c r="J15" s="38"/>
      <c r="K15" s="38"/>
      <c r="L15" s="38"/>
      <c r="N15" s="38"/>
      <c r="O15" s="38"/>
      <c r="P15" s="38"/>
      <c r="Q15" s="38"/>
      <c r="R15" s="38"/>
      <c r="S15" s="38"/>
      <c r="T15" s="38"/>
      <c r="U15" s="38"/>
      <c r="V15" s="38"/>
      <c r="W15" s="38"/>
      <c r="X15" s="38"/>
      <c r="Y15" s="38"/>
    </row>
    <row r="16" spans="1:31" ht="19.7" customHeight="1">
      <c r="A16" s="39"/>
      <c r="B16" s="163" t="s">
        <v>103</v>
      </c>
      <c r="C16" s="164"/>
      <c r="D16" s="165"/>
      <c r="E16" s="95" t="s">
        <v>20</v>
      </c>
      <c r="F16" s="95" t="s">
        <v>104</v>
      </c>
      <c r="G16" s="163" t="s">
        <v>105</v>
      </c>
      <c r="H16" s="164"/>
      <c r="I16" s="164"/>
      <c r="J16" s="165"/>
      <c r="K16" s="96" t="s">
        <v>6</v>
      </c>
      <c r="L16" s="45"/>
      <c r="N16" s="40"/>
      <c r="O16" s="163" t="s">
        <v>103</v>
      </c>
      <c r="P16" s="164"/>
      <c r="Q16" s="165"/>
      <c r="R16" s="95" t="s">
        <v>20</v>
      </c>
      <c r="S16" s="95" t="s">
        <v>104</v>
      </c>
      <c r="T16" s="163" t="s">
        <v>105</v>
      </c>
      <c r="U16" s="164"/>
      <c r="V16" s="164"/>
      <c r="W16" s="165"/>
      <c r="X16" s="96" t="s">
        <v>6</v>
      </c>
      <c r="Y16" s="55"/>
    </row>
    <row r="17" spans="1:25" ht="15.95" customHeight="1">
      <c r="A17" s="39"/>
      <c r="B17" s="166" t="s">
        <v>106</v>
      </c>
      <c r="C17" s="167"/>
      <c r="D17" s="168"/>
      <c r="E17" s="70" t="s">
        <v>111</v>
      </c>
      <c r="F17" s="107" t="s">
        <v>112</v>
      </c>
      <c r="G17" s="42" t="s">
        <v>107</v>
      </c>
      <c r="H17" s="43" t="s">
        <v>108</v>
      </c>
      <c r="I17" s="43" t="s">
        <v>109</v>
      </c>
      <c r="J17" s="44" t="s">
        <v>110</v>
      </c>
      <c r="K17" s="97" t="s">
        <v>5</v>
      </c>
      <c r="L17" s="45"/>
      <c r="N17" s="94"/>
      <c r="O17" s="166" t="s">
        <v>106</v>
      </c>
      <c r="P17" s="167"/>
      <c r="Q17" s="168"/>
      <c r="R17" s="70" t="s">
        <v>111</v>
      </c>
      <c r="S17" s="107" t="s">
        <v>112</v>
      </c>
      <c r="T17" s="42" t="s">
        <v>107</v>
      </c>
      <c r="U17" s="43" t="s">
        <v>108</v>
      </c>
      <c r="V17" s="43" t="s">
        <v>109</v>
      </c>
      <c r="W17" s="44" t="s">
        <v>110</v>
      </c>
      <c r="X17" s="97" t="s">
        <v>5</v>
      </c>
      <c r="Y17" s="38"/>
    </row>
    <row r="18" spans="1:25" ht="20.100000000000001" customHeight="1" thickBot="1">
      <c r="A18" s="39"/>
      <c r="B18" s="98" t="s">
        <v>113</v>
      </c>
      <c r="C18" s="72">
        <v>1</v>
      </c>
      <c r="D18" s="73">
        <v>2</v>
      </c>
      <c r="E18" s="71"/>
      <c r="F18" s="108"/>
      <c r="G18" s="60"/>
      <c r="H18" s="61"/>
      <c r="I18" s="61"/>
      <c r="J18" s="62"/>
      <c r="K18" s="97" t="s">
        <v>114</v>
      </c>
      <c r="L18" s="45"/>
      <c r="N18" s="45"/>
      <c r="O18" s="98" t="s">
        <v>113</v>
      </c>
      <c r="P18" s="72">
        <v>1</v>
      </c>
      <c r="Q18" s="73">
        <v>2</v>
      </c>
      <c r="R18" s="71"/>
      <c r="S18" s="108"/>
      <c r="T18" s="60"/>
      <c r="U18" s="61"/>
      <c r="V18" s="61"/>
      <c r="W18" s="62"/>
      <c r="X18" s="97" t="s">
        <v>114</v>
      </c>
      <c r="Y18" s="38"/>
    </row>
    <row r="19" spans="1:25" ht="15.95" customHeight="1">
      <c r="A19" s="39"/>
      <c r="B19" s="99" t="s">
        <v>115</v>
      </c>
      <c r="C19" s="169" t="s">
        <v>117</v>
      </c>
      <c r="D19" s="169"/>
      <c r="E19" s="169"/>
      <c r="F19" s="169"/>
      <c r="G19" s="169" t="s">
        <v>116</v>
      </c>
      <c r="H19" s="170"/>
      <c r="I19" s="170"/>
      <c r="J19" s="170"/>
      <c r="K19" s="97" t="s">
        <v>118</v>
      </c>
      <c r="L19" s="45"/>
      <c r="N19" s="45"/>
      <c r="O19" s="99" t="s">
        <v>115</v>
      </c>
      <c r="P19" s="169" t="s">
        <v>117</v>
      </c>
      <c r="Q19" s="169"/>
      <c r="R19" s="169"/>
      <c r="S19" s="169"/>
      <c r="T19" s="169" t="s">
        <v>116</v>
      </c>
      <c r="U19" s="170"/>
      <c r="V19" s="170"/>
      <c r="W19" s="170"/>
      <c r="X19" s="97" t="s">
        <v>118</v>
      </c>
      <c r="Y19" s="55"/>
    </row>
    <row r="20" spans="1:25" ht="15.95" customHeight="1">
      <c r="A20" s="39"/>
      <c r="B20" s="100" t="s">
        <v>119</v>
      </c>
      <c r="C20" s="42">
        <v>1</v>
      </c>
      <c r="D20" s="43">
        <v>2</v>
      </c>
      <c r="E20" s="43">
        <v>3</v>
      </c>
      <c r="F20" s="44">
        <v>4</v>
      </c>
      <c r="G20" s="42">
        <v>1</v>
      </c>
      <c r="H20" s="43">
        <v>2</v>
      </c>
      <c r="I20" s="43">
        <v>3</v>
      </c>
      <c r="J20" s="44">
        <v>4</v>
      </c>
      <c r="K20" s="101" t="s">
        <v>120</v>
      </c>
      <c r="L20" s="45"/>
      <c r="N20" s="45"/>
      <c r="O20" s="100" t="s">
        <v>119</v>
      </c>
      <c r="P20" s="42">
        <v>1</v>
      </c>
      <c r="Q20" s="43">
        <v>2</v>
      </c>
      <c r="R20" s="43">
        <v>3</v>
      </c>
      <c r="S20" s="44">
        <v>4</v>
      </c>
      <c r="T20" s="42">
        <v>1</v>
      </c>
      <c r="U20" s="43">
        <v>2</v>
      </c>
      <c r="V20" s="43">
        <v>3</v>
      </c>
      <c r="W20" s="44">
        <v>4</v>
      </c>
      <c r="X20" s="101" t="s">
        <v>120</v>
      </c>
      <c r="Y20" s="38"/>
    </row>
    <row r="21" spans="1:25" ht="15.95" customHeight="1">
      <c r="A21" s="39"/>
      <c r="B21" s="102" t="s">
        <v>121</v>
      </c>
      <c r="C21" s="46">
        <v>1</v>
      </c>
      <c r="D21" s="47">
        <v>2</v>
      </c>
      <c r="E21" s="47">
        <v>3</v>
      </c>
      <c r="F21" s="48">
        <v>4</v>
      </c>
      <c r="G21" s="46">
        <v>1</v>
      </c>
      <c r="H21" s="47">
        <v>2</v>
      </c>
      <c r="I21" s="47">
        <v>3</v>
      </c>
      <c r="J21" s="48">
        <v>4</v>
      </c>
      <c r="K21" s="96" t="s">
        <v>122</v>
      </c>
      <c r="L21" s="45"/>
      <c r="N21" s="45"/>
      <c r="O21" s="102" t="s">
        <v>121</v>
      </c>
      <c r="P21" s="46">
        <v>1</v>
      </c>
      <c r="Q21" s="47">
        <v>2</v>
      </c>
      <c r="R21" s="47">
        <v>3</v>
      </c>
      <c r="S21" s="48">
        <v>4</v>
      </c>
      <c r="T21" s="46">
        <v>1</v>
      </c>
      <c r="U21" s="47">
        <v>2</v>
      </c>
      <c r="V21" s="47">
        <v>3</v>
      </c>
      <c r="W21" s="48">
        <v>4</v>
      </c>
      <c r="X21" s="96" t="s">
        <v>122</v>
      </c>
      <c r="Y21" s="38"/>
    </row>
    <row r="22" spans="1:25" ht="15.95" customHeight="1">
      <c r="A22" s="39"/>
      <c r="B22" s="103" t="s">
        <v>123</v>
      </c>
      <c r="C22" s="49">
        <v>1</v>
      </c>
      <c r="D22" s="50">
        <v>2</v>
      </c>
      <c r="E22" s="50">
        <v>3</v>
      </c>
      <c r="F22" s="51">
        <v>4</v>
      </c>
      <c r="G22" s="49">
        <v>1</v>
      </c>
      <c r="H22" s="50">
        <v>2</v>
      </c>
      <c r="I22" s="50">
        <v>3</v>
      </c>
      <c r="J22" s="51">
        <v>4</v>
      </c>
      <c r="K22" s="101" t="s">
        <v>124</v>
      </c>
      <c r="L22" s="40"/>
      <c r="N22" s="40"/>
      <c r="O22" s="103" t="s">
        <v>123</v>
      </c>
      <c r="P22" s="49">
        <v>1</v>
      </c>
      <c r="Q22" s="50">
        <v>2</v>
      </c>
      <c r="R22" s="50">
        <v>3</v>
      </c>
      <c r="S22" s="51">
        <v>4</v>
      </c>
      <c r="T22" s="49">
        <v>1</v>
      </c>
      <c r="U22" s="50">
        <v>2</v>
      </c>
      <c r="V22" s="50">
        <v>3</v>
      </c>
      <c r="W22" s="51">
        <v>4</v>
      </c>
      <c r="X22" s="101" t="s">
        <v>124</v>
      </c>
      <c r="Y22" s="38"/>
    </row>
    <row r="23" spans="1:25" ht="15.95" customHeight="1">
      <c r="A23" s="52"/>
      <c r="B23" s="171" t="s">
        <v>125</v>
      </c>
      <c r="C23" s="63">
        <v>1</v>
      </c>
      <c r="D23" s="64">
        <v>2</v>
      </c>
      <c r="E23" s="43">
        <v>3</v>
      </c>
      <c r="F23" s="44">
        <v>4</v>
      </c>
      <c r="G23" s="42">
        <v>1</v>
      </c>
      <c r="H23" s="43">
        <v>2</v>
      </c>
      <c r="I23" s="43">
        <v>3</v>
      </c>
      <c r="J23" s="44">
        <v>4</v>
      </c>
      <c r="K23" s="96" t="s">
        <v>122</v>
      </c>
      <c r="L23" s="38"/>
      <c r="N23" s="38"/>
      <c r="O23" s="171" t="s">
        <v>125</v>
      </c>
      <c r="P23" s="63">
        <v>1</v>
      </c>
      <c r="Q23" s="64">
        <v>2</v>
      </c>
      <c r="R23" s="43">
        <v>3</v>
      </c>
      <c r="S23" s="44">
        <v>4</v>
      </c>
      <c r="T23" s="42">
        <v>1</v>
      </c>
      <c r="U23" s="43">
        <v>2</v>
      </c>
      <c r="V23" s="43">
        <v>3</v>
      </c>
      <c r="W23" s="44">
        <v>4</v>
      </c>
      <c r="X23" s="96" t="s">
        <v>122</v>
      </c>
      <c r="Y23" s="38"/>
    </row>
    <row r="24" spans="1:25" ht="15.95" customHeight="1" thickBot="1">
      <c r="A24" s="53"/>
      <c r="B24" s="172"/>
      <c r="C24" s="65">
        <v>5</v>
      </c>
      <c r="D24" s="66">
        <v>6</v>
      </c>
      <c r="E24" s="61">
        <v>7</v>
      </c>
      <c r="F24" s="62">
        <v>8</v>
      </c>
      <c r="G24" s="60">
        <v>5</v>
      </c>
      <c r="H24" s="61">
        <v>6</v>
      </c>
      <c r="I24" s="61">
        <v>7</v>
      </c>
      <c r="J24" s="62">
        <v>8</v>
      </c>
      <c r="K24" s="101" t="s">
        <v>126</v>
      </c>
      <c r="L24" s="38"/>
      <c r="N24" s="38"/>
      <c r="O24" s="172"/>
      <c r="P24" s="65">
        <v>5</v>
      </c>
      <c r="Q24" s="66">
        <v>6</v>
      </c>
      <c r="R24" s="61">
        <v>7</v>
      </c>
      <c r="S24" s="62">
        <v>8</v>
      </c>
      <c r="T24" s="60">
        <v>5</v>
      </c>
      <c r="U24" s="61">
        <v>6</v>
      </c>
      <c r="V24" s="61">
        <v>7</v>
      </c>
      <c r="W24" s="62">
        <v>8</v>
      </c>
      <c r="X24" s="101" t="s">
        <v>126</v>
      </c>
      <c r="Y24" s="38"/>
    </row>
    <row r="25" spans="1:25" ht="15.95" customHeight="1" thickBot="1">
      <c r="A25" s="57"/>
      <c r="B25" s="54" t="s">
        <v>127</v>
      </c>
      <c r="C25" s="67">
        <v>1</v>
      </c>
      <c r="D25" s="68">
        <v>2</v>
      </c>
      <c r="E25" s="68">
        <v>3</v>
      </c>
      <c r="F25" s="173" t="s">
        <v>128</v>
      </c>
      <c r="G25" s="173"/>
      <c r="H25" s="68">
        <v>2</v>
      </c>
      <c r="I25" s="68">
        <v>3</v>
      </c>
      <c r="J25" s="69"/>
      <c r="K25" s="104" t="s">
        <v>122</v>
      </c>
      <c r="L25" s="57"/>
      <c r="N25" s="57"/>
      <c r="O25" s="54" t="s">
        <v>127</v>
      </c>
      <c r="P25" s="67">
        <v>1</v>
      </c>
      <c r="Q25" s="68">
        <v>2</v>
      </c>
      <c r="R25" s="68">
        <v>3</v>
      </c>
      <c r="S25" s="173" t="s">
        <v>128</v>
      </c>
      <c r="T25" s="173"/>
      <c r="U25" s="68">
        <v>2</v>
      </c>
      <c r="V25" s="68">
        <v>3</v>
      </c>
      <c r="W25" s="69"/>
      <c r="X25" s="104" t="s">
        <v>122</v>
      </c>
      <c r="Y25" s="57"/>
    </row>
    <row r="26" spans="1:25" ht="3" customHeight="1" thickTop="1">
      <c r="A26" s="38"/>
      <c r="B26" s="38"/>
      <c r="C26" s="38"/>
      <c r="D26" s="38"/>
      <c r="E26" s="38"/>
      <c r="F26" s="38"/>
      <c r="G26" s="38"/>
      <c r="H26" s="38"/>
      <c r="I26" s="38"/>
      <c r="J26" s="38"/>
      <c r="K26" s="38"/>
      <c r="L26" s="38"/>
      <c r="N26" s="38"/>
      <c r="O26" s="38"/>
      <c r="P26" s="38"/>
      <c r="Q26" s="38"/>
      <c r="R26" s="38"/>
      <c r="S26" s="38"/>
      <c r="T26" s="38"/>
      <c r="U26" s="38"/>
      <c r="V26" s="38"/>
      <c r="W26" s="38"/>
      <c r="X26" s="38"/>
      <c r="Y26" s="38"/>
    </row>
    <row r="27" spans="1:25" ht="4.3499999999999996" customHeight="1"/>
    <row r="28" spans="1:25" ht="3" customHeight="1">
      <c r="A28" s="38"/>
      <c r="B28" s="38"/>
      <c r="C28" s="38"/>
      <c r="D28" s="38"/>
      <c r="E28" s="38"/>
      <c r="F28" s="38"/>
      <c r="G28" s="38"/>
      <c r="H28" s="38"/>
      <c r="I28" s="38"/>
      <c r="J28" s="38"/>
      <c r="K28" s="38"/>
      <c r="L28" s="38"/>
      <c r="N28" s="38"/>
      <c r="O28" s="38"/>
      <c r="P28" s="38"/>
      <c r="Q28" s="38"/>
      <c r="R28" s="38"/>
      <c r="S28" s="38"/>
      <c r="T28" s="38"/>
      <c r="U28" s="38"/>
      <c r="V28" s="38"/>
      <c r="W28" s="38"/>
      <c r="X28" s="38"/>
      <c r="Y28" s="38"/>
    </row>
    <row r="29" spans="1:25" ht="19.7" customHeight="1">
      <c r="A29" s="39"/>
      <c r="B29" s="163" t="s">
        <v>103</v>
      </c>
      <c r="C29" s="164"/>
      <c r="D29" s="165"/>
      <c r="E29" s="95" t="s">
        <v>20</v>
      </c>
      <c r="F29" s="95" t="s">
        <v>104</v>
      </c>
      <c r="G29" s="163" t="s">
        <v>105</v>
      </c>
      <c r="H29" s="164"/>
      <c r="I29" s="164"/>
      <c r="J29" s="165"/>
      <c r="K29" s="96" t="s">
        <v>6</v>
      </c>
      <c r="L29" s="45"/>
      <c r="N29" s="40"/>
      <c r="O29" s="163" t="s">
        <v>103</v>
      </c>
      <c r="P29" s="164"/>
      <c r="Q29" s="165"/>
      <c r="R29" s="95" t="s">
        <v>20</v>
      </c>
      <c r="S29" s="95" t="s">
        <v>104</v>
      </c>
      <c r="T29" s="163" t="s">
        <v>105</v>
      </c>
      <c r="U29" s="164"/>
      <c r="V29" s="164"/>
      <c r="W29" s="165"/>
      <c r="X29" s="96" t="s">
        <v>6</v>
      </c>
      <c r="Y29" s="55"/>
    </row>
    <row r="30" spans="1:25" ht="15.95" customHeight="1">
      <c r="A30" s="39"/>
      <c r="B30" s="166" t="s">
        <v>106</v>
      </c>
      <c r="C30" s="167"/>
      <c r="D30" s="168"/>
      <c r="E30" s="70" t="s">
        <v>111</v>
      </c>
      <c r="F30" s="107" t="s">
        <v>112</v>
      </c>
      <c r="G30" s="42" t="s">
        <v>107</v>
      </c>
      <c r="H30" s="43" t="s">
        <v>108</v>
      </c>
      <c r="I30" s="43" t="s">
        <v>109</v>
      </c>
      <c r="J30" s="44" t="s">
        <v>110</v>
      </c>
      <c r="K30" s="97" t="s">
        <v>5</v>
      </c>
      <c r="L30" s="45"/>
      <c r="N30" s="94"/>
      <c r="O30" s="166" t="s">
        <v>106</v>
      </c>
      <c r="P30" s="167"/>
      <c r="Q30" s="168"/>
      <c r="R30" s="70" t="s">
        <v>111</v>
      </c>
      <c r="S30" s="107" t="s">
        <v>112</v>
      </c>
      <c r="T30" s="42" t="s">
        <v>107</v>
      </c>
      <c r="U30" s="43" t="s">
        <v>108</v>
      </c>
      <c r="V30" s="43" t="s">
        <v>109</v>
      </c>
      <c r="W30" s="44" t="s">
        <v>110</v>
      </c>
      <c r="X30" s="97" t="s">
        <v>5</v>
      </c>
      <c r="Y30" s="38"/>
    </row>
    <row r="31" spans="1:25" ht="20.100000000000001" customHeight="1" thickBot="1">
      <c r="A31" s="39"/>
      <c r="B31" s="98" t="s">
        <v>113</v>
      </c>
      <c r="C31" s="72">
        <v>1</v>
      </c>
      <c r="D31" s="73">
        <v>2</v>
      </c>
      <c r="E31" s="71"/>
      <c r="F31" s="108"/>
      <c r="G31" s="60"/>
      <c r="H31" s="61"/>
      <c r="I31" s="61"/>
      <c r="J31" s="62"/>
      <c r="K31" s="97" t="s">
        <v>114</v>
      </c>
      <c r="L31" s="45"/>
      <c r="N31" s="45"/>
      <c r="O31" s="98" t="s">
        <v>113</v>
      </c>
      <c r="P31" s="72">
        <v>1</v>
      </c>
      <c r="Q31" s="73">
        <v>2</v>
      </c>
      <c r="R31" s="71"/>
      <c r="S31" s="108"/>
      <c r="T31" s="60"/>
      <c r="U31" s="61"/>
      <c r="V31" s="61"/>
      <c r="W31" s="62"/>
      <c r="X31" s="97" t="s">
        <v>114</v>
      </c>
      <c r="Y31" s="38"/>
    </row>
    <row r="32" spans="1:25" ht="15.95" customHeight="1">
      <c r="A32" s="39"/>
      <c r="B32" s="99" t="s">
        <v>115</v>
      </c>
      <c r="C32" s="169" t="s">
        <v>117</v>
      </c>
      <c r="D32" s="169"/>
      <c r="E32" s="169"/>
      <c r="F32" s="169"/>
      <c r="G32" s="169" t="s">
        <v>116</v>
      </c>
      <c r="H32" s="170"/>
      <c r="I32" s="170"/>
      <c r="J32" s="170"/>
      <c r="K32" s="97" t="s">
        <v>118</v>
      </c>
      <c r="L32" s="45"/>
      <c r="N32" s="45"/>
      <c r="O32" s="99" t="s">
        <v>115</v>
      </c>
      <c r="P32" s="169" t="s">
        <v>117</v>
      </c>
      <c r="Q32" s="169"/>
      <c r="R32" s="169"/>
      <c r="S32" s="169"/>
      <c r="T32" s="169" t="s">
        <v>116</v>
      </c>
      <c r="U32" s="170"/>
      <c r="V32" s="170"/>
      <c r="W32" s="170"/>
      <c r="X32" s="97" t="s">
        <v>118</v>
      </c>
      <c r="Y32" s="55"/>
    </row>
    <row r="33" spans="1:25" ht="15.95" customHeight="1">
      <c r="A33" s="39"/>
      <c r="B33" s="100" t="s">
        <v>119</v>
      </c>
      <c r="C33" s="42">
        <v>1</v>
      </c>
      <c r="D33" s="43">
        <v>2</v>
      </c>
      <c r="E33" s="43">
        <v>3</v>
      </c>
      <c r="F33" s="44">
        <v>4</v>
      </c>
      <c r="G33" s="42">
        <v>1</v>
      </c>
      <c r="H33" s="43">
        <v>2</v>
      </c>
      <c r="I33" s="43">
        <v>3</v>
      </c>
      <c r="J33" s="44">
        <v>4</v>
      </c>
      <c r="K33" s="101" t="s">
        <v>120</v>
      </c>
      <c r="L33" s="45"/>
      <c r="N33" s="45"/>
      <c r="O33" s="100" t="s">
        <v>119</v>
      </c>
      <c r="P33" s="42">
        <v>1</v>
      </c>
      <c r="Q33" s="43">
        <v>2</v>
      </c>
      <c r="R33" s="43">
        <v>3</v>
      </c>
      <c r="S33" s="44">
        <v>4</v>
      </c>
      <c r="T33" s="42">
        <v>1</v>
      </c>
      <c r="U33" s="43">
        <v>2</v>
      </c>
      <c r="V33" s="43">
        <v>3</v>
      </c>
      <c r="W33" s="44">
        <v>4</v>
      </c>
      <c r="X33" s="101" t="s">
        <v>120</v>
      </c>
      <c r="Y33" s="38"/>
    </row>
    <row r="34" spans="1:25" ht="15.95" customHeight="1">
      <c r="A34" s="39"/>
      <c r="B34" s="102" t="s">
        <v>121</v>
      </c>
      <c r="C34" s="46">
        <v>1</v>
      </c>
      <c r="D34" s="47">
        <v>2</v>
      </c>
      <c r="E34" s="47">
        <v>3</v>
      </c>
      <c r="F34" s="48">
        <v>4</v>
      </c>
      <c r="G34" s="46">
        <v>1</v>
      </c>
      <c r="H34" s="47">
        <v>2</v>
      </c>
      <c r="I34" s="47">
        <v>3</v>
      </c>
      <c r="J34" s="48">
        <v>4</v>
      </c>
      <c r="K34" s="96" t="s">
        <v>122</v>
      </c>
      <c r="L34" s="45"/>
      <c r="N34" s="45"/>
      <c r="O34" s="102" t="s">
        <v>121</v>
      </c>
      <c r="P34" s="46">
        <v>1</v>
      </c>
      <c r="Q34" s="47">
        <v>2</v>
      </c>
      <c r="R34" s="47">
        <v>3</v>
      </c>
      <c r="S34" s="48">
        <v>4</v>
      </c>
      <c r="T34" s="46">
        <v>1</v>
      </c>
      <c r="U34" s="47">
        <v>2</v>
      </c>
      <c r="V34" s="47">
        <v>3</v>
      </c>
      <c r="W34" s="48">
        <v>4</v>
      </c>
      <c r="X34" s="96" t="s">
        <v>122</v>
      </c>
      <c r="Y34" s="38"/>
    </row>
    <row r="35" spans="1:25" ht="15.95" customHeight="1">
      <c r="A35" s="39"/>
      <c r="B35" s="103" t="s">
        <v>123</v>
      </c>
      <c r="C35" s="49">
        <v>1</v>
      </c>
      <c r="D35" s="50">
        <v>2</v>
      </c>
      <c r="E35" s="50">
        <v>3</v>
      </c>
      <c r="F35" s="51">
        <v>4</v>
      </c>
      <c r="G35" s="49">
        <v>1</v>
      </c>
      <c r="H35" s="50">
        <v>2</v>
      </c>
      <c r="I35" s="50">
        <v>3</v>
      </c>
      <c r="J35" s="51">
        <v>4</v>
      </c>
      <c r="K35" s="101" t="s">
        <v>124</v>
      </c>
      <c r="L35" s="40"/>
      <c r="N35" s="40"/>
      <c r="O35" s="103" t="s">
        <v>123</v>
      </c>
      <c r="P35" s="49">
        <v>1</v>
      </c>
      <c r="Q35" s="50">
        <v>2</v>
      </c>
      <c r="R35" s="50">
        <v>3</v>
      </c>
      <c r="S35" s="51">
        <v>4</v>
      </c>
      <c r="T35" s="49">
        <v>1</v>
      </c>
      <c r="U35" s="50">
        <v>2</v>
      </c>
      <c r="V35" s="50">
        <v>3</v>
      </c>
      <c r="W35" s="51">
        <v>4</v>
      </c>
      <c r="X35" s="101" t="s">
        <v>124</v>
      </c>
      <c r="Y35" s="38"/>
    </row>
    <row r="36" spans="1:25" ht="15.95" customHeight="1">
      <c r="A36" s="52"/>
      <c r="B36" s="171" t="s">
        <v>125</v>
      </c>
      <c r="C36" s="63">
        <v>1</v>
      </c>
      <c r="D36" s="64">
        <v>2</v>
      </c>
      <c r="E36" s="43">
        <v>3</v>
      </c>
      <c r="F36" s="44">
        <v>4</v>
      </c>
      <c r="G36" s="42">
        <v>1</v>
      </c>
      <c r="H36" s="43">
        <v>2</v>
      </c>
      <c r="I36" s="43">
        <v>3</v>
      </c>
      <c r="J36" s="44">
        <v>4</v>
      </c>
      <c r="K36" s="96" t="s">
        <v>122</v>
      </c>
      <c r="L36" s="38"/>
      <c r="N36" s="38"/>
      <c r="O36" s="171" t="s">
        <v>125</v>
      </c>
      <c r="P36" s="63">
        <v>1</v>
      </c>
      <c r="Q36" s="64">
        <v>2</v>
      </c>
      <c r="R36" s="43">
        <v>3</v>
      </c>
      <c r="S36" s="44">
        <v>4</v>
      </c>
      <c r="T36" s="42">
        <v>1</v>
      </c>
      <c r="U36" s="43">
        <v>2</v>
      </c>
      <c r="V36" s="43">
        <v>3</v>
      </c>
      <c r="W36" s="44">
        <v>4</v>
      </c>
      <c r="X36" s="96" t="s">
        <v>122</v>
      </c>
      <c r="Y36" s="38"/>
    </row>
    <row r="37" spans="1:25" ht="15.95" customHeight="1" thickBot="1">
      <c r="A37" s="53"/>
      <c r="B37" s="172"/>
      <c r="C37" s="65">
        <v>5</v>
      </c>
      <c r="D37" s="66">
        <v>6</v>
      </c>
      <c r="E37" s="61">
        <v>7</v>
      </c>
      <c r="F37" s="62">
        <v>8</v>
      </c>
      <c r="G37" s="60">
        <v>5</v>
      </c>
      <c r="H37" s="61">
        <v>6</v>
      </c>
      <c r="I37" s="61">
        <v>7</v>
      </c>
      <c r="J37" s="62">
        <v>8</v>
      </c>
      <c r="K37" s="101" t="s">
        <v>126</v>
      </c>
      <c r="L37" s="38"/>
      <c r="N37" s="38"/>
      <c r="O37" s="172"/>
      <c r="P37" s="65">
        <v>5</v>
      </c>
      <c r="Q37" s="66">
        <v>6</v>
      </c>
      <c r="R37" s="61">
        <v>7</v>
      </c>
      <c r="S37" s="62">
        <v>8</v>
      </c>
      <c r="T37" s="60">
        <v>5</v>
      </c>
      <c r="U37" s="61">
        <v>6</v>
      </c>
      <c r="V37" s="61">
        <v>7</v>
      </c>
      <c r="W37" s="62">
        <v>8</v>
      </c>
      <c r="X37" s="101" t="s">
        <v>126</v>
      </c>
      <c r="Y37" s="38"/>
    </row>
    <row r="38" spans="1:25" ht="15.95" customHeight="1">
      <c r="A38" s="38"/>
      <c r="B38" s="54" t="s">
        <v>127</v>
      </c>
      <c r="C38" s="67">
        <v>1</v>
      </c>
      <c r="D38" s="68">
        <v>2</v>
      </c>
      <c r="E38" s="68">
        <v>3</v>
      </c>
      <c r="F38" s="173" t="s">
        <v>128</v>
      </c>
      <c r="G38" s="173"/>
      <c r="H38" s="68">
        <v>2</v>
      </c>
      <c r="I38" s="68">
        <v>3</v>
      </c>
      <c r="J38" s="69"/>
      <c r="K38" s="104" t="s">
        <v>122</v>
      </c>
      <c r="L38" s="38"/>
      <c r="N38" s="38"/>
      <c r="O38" s="54" t="s">
        <v>127</v>
      </c>
      <c r="P38" s="67">
        <v>1</v>
      </c>
      <c r="Q38" s="68">
        <v>2</v>
      </c>
      <c r="R38" s="68">
        <v>3</v>
      </c>
      <c r="S38" s="173" t="s">
        <v>128</v>
      </c>
      <c r="T38" s="173"/>
      <c r="U38" s="68">
        <v>2</v>
      </c>
      <c r="V38" s="68">
        <v>3</v>
      </c>
      <c r="W38" s="69"/>
      <c r="X38" s="104" t="s">
        <v>122</v>
      </c>
      <c r="Y38" s="38"/>
    </row>
    <row r="39" spans="1:25" ht="3" customHeight="1">
      <c r="A39" s="38"/>
      <c r="B39" s="38"/>
      <c r="C39" s="38"/>
      <c r="D39" s="38"/>
      <c r="E39" s="38"/>
      <c r="F39" s="38"/>
      <c r="G39" s="38"/>
      <c r="H39" s="38"/>
      <c r="I39" s="38"/>
      <c r="J39" s="38"/>
      <c r="K39" s="38"/>
      <c r="L39" s="38"/>
      <c r="N39" s="38"/>
      <c r="O39" s="38"/>
      <c r="P39" s="38"/>
      <c r="Q39" s="38"/>
      <c r="R39" s="38"/>
      <c r="S39" s="38"/>
      <c r="T39" s="38"/>
      <c r="U39" s="38"/>
      <c r="V39" s="38"/>
      <c r="W39" s="38"/>
      <c r="X39" s="38"/>
      <c r="Y39" s="38"/>
    </row>
    <row r="40" spans="1:25" ht="3.6" customHeight="1"/>
    <row r="41" spans="1:25" ht="3" customHeight="1">
      <c r="A41" s="38"/>
      <c r="B41" s="38"/>
      <c r="C41" s="38"/>
      <c r="D41" s="38"/>
      <c r="E41" s="38"/>
      <c r="F41" s="38"/>
      <c r="G41" s="38"/>
      <c r="H41" s="38"/>
      <c r="I41" s="38"/>
      <c r="J41" s="38"/>
      <c r="K41" s="38"/>
      <c r="L41" s="38"/>
      <c r="N41" s="38"/>
      <c r="O41" s="38"/>
      <c r="P41" s="38"/>
      <c r="Q41" s="38"/>
      <c r="R41" s="38"/>
      <c r="S41" s="38"/>
      <c r="T41" s="38"/>
      <c r="U41" s="38"/>
      <c r="V41" s="38"/>
      <c r="W41" s="38"/>
      <c r="X41" s="38"/>
      <c r="Y41" s="38"/>
    </row>
    <row r="42" spans="1:25" ht="20.100000000000001" customHeight="1">
      <c r="A42" s="39"/>
      <c r="B42" s="163" t="s">
        <v>103</v>
      </c>
      <c r="C42" s="164"/>
      <c r="D42" s="165"/>
      <c r="E42" s="95" t="s">
        <v>20</v>
      </c>
      <c r="F42" s="95" t="s">
        <v>104</v>
      </c>
      <c r="G42" s="163" t="s">
        <v>105</v>
      </c>
      <c r="H42" s="164"/>
      <c r="I42" s="164"/>
      <c r="J42" s="165"/>
      <c r="K42" s="96" t="s">
        <v>6</v>
      </c>
      <c r="L42" s="45"/>
      <c r="N42" s="40"/>
      <c r="O42" s="163" t="s">
        <v>103</v>
      </c>
      <c r="P42" s="164"/>
      <c r="Q42" s="165"/>
      <c r="R42" s="95" t="s">
        <v>20</v>
      </c>
      <c r="S42" s="95" t="s">
        <v>104</v>
      </c>
      <c r="T42" s="163" t="s">
        <v>105</v>
      </c>
      <c r="U42" s="164"/>
      <c r="V42" s="164"/>
      <c r="W42" s="165"/>
      <c r="X42" s="96" t="s">
        <v>6</v>
      </c>
      <c r="Y42" s="55"/>
    </row>
    <row r="43" spans="1:25" ht="15.95" customHeight="1">
      <c r="A43" s="39"/>
      <c r="B43" s="166" t="s">
        <v>106</v>
      </c>
      <c r="C43" s="167"/>
      <c r="D43" s="168"/>
      <c r="E43" s="70" t="s">
        <v>111</v>
      </c>
      <c r="F43" s="107" t="s">
        <v>112</v>
      </c>
      <c r="G43" s="42" t="s">
        <v>107</v>
      </c>
      <c r="H43" s="43" t="s">
        <v>108</v>
      </c>
      <c r="I43" s="43" t="s">
        <v>109</v>
      </c>
      <c r="J43" s="44" t="s">
        <v>110</v>
      </c>
      <c r="K43" s="97" t="s">
        <v>5</v>
      </c>
      <c r="L43" s="45"/>
      <c r="N43" s="94"/>
      <c r="O43" s="166" t="s">
        <v>106</v>
      </c>
      <c r="P43" s="167"/>
      <c r="Q43" s="168"/>
      <c r="R43" s="70" t="s">
        <v>111</v>
      </c>
      <c r="S43" s="107" t="s">
        <v>112</v>
      </c>
      <c r="T43" s="42" t="s">
        <v>107</v>
      </c>
      <c r="U43" s="43" t="s">
        <v>108</v>
      </c>
      <c r="V43" s="43" t="s">
        <v>109</v>
      </c>
      <c r="W43" s="44" t="s">
        <v>110</v>
      </c>
      <c r="X43" s="97" t="s">
        <v>5</v>
      </c>
      <c r="Y43" s="38"/>
    </row>
    <row r="44" spans="1:25" ht="20.100000000000001" customHeight="1" thickBot="1">
      <c r="A44" s="39"/>
      <c r="B44" s="98" t="s">
        <v>113</v>
      </c>
      <c r="C44" s="72">
        <v>1</v>
      </c>
      <c r="D44" s="73">
        <v>2</v>
      </c>
      <c r="E44" s="71"/>
      <c r="F44" s="108"/>
      <c r="G44" s="60"/>
      <c r="H44" s="61"/>
      <c r="I44" s="61"/>
      <c r="J44" s="62"/>
      <c r="K44" s="97" t="s">
        <v>114</v>
      </c>
      <c r="L44" s="45"/>
      <c r="N44" s="45"/>
      <c r="O44" s="98" t="s">
        <v>113</v>
      </c>
      <c r="P44" s="72">
        <v>1</v>
      </c>
      <c r="Q44" s="73">
        <v>2</v>
      </c>
      <c r="R44" s="71"/>
      <c r="S44" s="108"/>
      <c r="T44" s="60"/>
      <c r="U44" s="61"/>
      <c r="V44" s="61"/>
      <c r="W44" s="62"/>
      <c r="X44" s="97" t="s">
        <v>114</v>
      </c>
      <c r="Y44" s="38"/>
    </row>
    <row r="45" spans="1:25" ht="15.95" customHeight="1">
      <c r="A45" s="39"/>
      <c r="B45" s="99" t="s">
        <v>115</v>
      </c>
      <c r="C45" s="169" t="s">
        <v>117</v>
      </c>
      <c r="D45" s="169"/>
      <c r="E45" s="169"/>
      <c r="F45" s="169"/>
      <c r="G45" s="169" t="s">
        <v>116</v>
      </c>
      <c r="H45" s="170"/>
      <c r="I45" s="170"/>
      <c r="J45" s="170"/>
      <c r="K45" s="97" t="s">
        <v>118</v>
      </c>
      <c r="L45" s="45"/>
      <c r="N45" s="45"/>
      <c r="O45" s="99" t="s">
        <v>115</v>
      </c>
      <c r="P45" s="169" t="s">
        <v>117</v>
      </c>
      <c r="Q45" s="169"/>
      <c r="R45" s="169"/>
      <c r="S45" s="169"/>
      <c r="T45" s="169" t="s">
        <v>116</v>
      </c>
      <c r="U45" s="170"/>
      <c r="V45" s="170"/>
      <c r="W45" s="170"/>
      <c r="X45" s="97" t="s">
        <v>118</v>
      </c>
      <c r="Y45" s="55"/>
    </row>
    <row r="46" spans="1:25" ht="15.95" customHeight="1">
      <c r="A46" s="39"/>
      <c r="B46" s="100" t="s">
        <v>119</v>
      </c>
      <c r="C46" s="42">
        <v>1</v>
      </c>
      <c r="D46" s="43">
        <v>2</v>
      </c>
      <c r="E46" s="43">
        <v>3</v>
      </c>
      <c r="F46" s="44">
        <v>4</v>
      </c>
      <c r="G46" s="42">
        <v>1</v>
      </c>
      <c r="H46" s="43">
        <v>2</v>
      </c>
      <c r="I46" s="43">
        <v>3</v>
      </c>
      <c r="J46" s="44">
        <v>4</v>
      </c>
      <c r="K46" s="101" t="s">
        <v>120</v>
      </c>
      <c r="L46" s="45"/>
      <c r="N46" s="45"/>
      <c r="O46" s="100" t="s">
        <v>119</v>
      </c>
      <c r="P46" s="42">
        <v>1</v>
      </c>
      <c r="Q46" s="43">
        <v>2</v>
      </c>
      <c r="R46" s="43">
        <v>3</v>
      </c>
      <c r="S46" s="44">
        <v>4</v>
      </c>
      <c r="T46" s="42">
        <v>1</v>
      </c>
      <c r="U46" s="43">
        <v>2</v>
      </c>
      <c r="V46" s="43">
        <v>3</v>
      </c>
      <c r="W46" s="44">
        <v>4</v>
      </c>
      <c r="X46" s="101" t="s">
        <v>120</v>
      </c>
      <c r="Y46" s="38"/>
    </row>
    <row r="47" spans="1:25" ht="15.95" customHeight="1">
      <c r="A47" s="39"/>
      <c r="B47" s="102" t="s">
        <v>121</v>
      </c>
      <c r="C47" s="46">
        <v>1</v>
      </c>
      <c r="D47" s="47">
        <v>2</v>
      </c>
      <c r="E47" s="47">
        <v>3</v>
      </c>
      <c r="F47" s="48">
        <v>4</v>
      </c>
      <c r="G47" s="46">
        <v>1</v>
      </c>
      <c r="H47" s="47">
        <v>2</v>
      </c>
      <c r="I47" s="47">
        <v>3</v>
      </c>
      <c r="J47" s="48">
        <v>4</v>
      </c>
      <c r="K47" s="96" t="s">
        <v>122</v>
      </c>
      <c r="L47" s="45"/>
      <c r="N47" s="45"/>
      <c r="O47" s="102" t="s">
        <v>121</v>
      </c>
      <c r="P47" s="46">
        <v>1</v>
      </c>
      <c r="Q47" s="47">
        <v>2</v>
      </c>
      <c r="R47" s="47">
        <v>3</v>
      </c>
      <c r="S47" s="48">
        <v>4</v>
      </c>
      <c r="T47" s="46">
        <v>1</v>
      </c>
      <c r="U47" s="47">
        <v>2</v>
      </c>
      <c r="V47" s="47">
        <v>3</v>
      </c>
      <c r="W47" s="48">
        <v>4</v>
      </c>
      <c r="X47" s="96" t="s">
        <v>122</v>
      </c>
      <c r="Y47" s="38"/>
    </row>
    <row r="48" spans="1:25" ht="15.95" customHeight="1">
      <c r="A48" s="39"/>
      <c r="B48" s="103" t="s">
        <v>123</v>
      </c>
      <c r="C48" s="49">
        <v>1</v>
      </c>
      <c r="D48" s="50">
        <v>2</v>
      </c>
      <c r="E48" s="50">
        <v>3</v>
      </c>
      <c r="F48" s="51">
        <v>4</v>
      </c>
      <c r="G48" s="49">
        <v>1</v>
      </c>
      <c r="H48" s="50">
        <v>2</v>
      </c>
      <c r="I48" s="50">
        <v>3</v>
      </c>
      <c r="J48" s="51">
        <v>4</v>
      </c>
      <c r="K48" s="101" t="s">
        <v>124</v>
      </c>
      <c r="L48" s="40"/>
      <c r="N48" s="40"/>
      <c r="O48" s="103" t="s">
        <v>123</v>
      </c>
      <c r="P48" s="49">
        <v>1</v>
      </c>
      <c r="Q48" s="50">
        <v>2</v>
      </c>
      <c r="R48" s="50">
        <v>3</v>
      </c>
      <c r="S48" s="51">
        <v>4</v>
      </c>
      <c r="T48" s="49">
        <v>1</v>
      </c>
      <c r="U48" s="50">
        <v>2</v>
      </c>
      <c r="V48" s="50">
        <v>3</v>
      </c>
      <c r="W48" s="51">
        <v>4</v>
      </c>
      <c r="X48" s="101" t="s">
        <v>124</v>
      </c>
      <c r="Y48" s="38"/>
    </row>
    <row r="49" spans="1:25" ht="15.95" customHeight="1">
      <c r="A49" s="52"/>
      <c r="B49" s="171" t="s">
        <v>125</v>
      </c>
      <c r="C49" s="63">
        <v>1</v>
      </c>
      <c r="D49" s="64">
        <v>2</v>
      </c>
      <c r="E49" s="43">
        <v>3</v>
      </c>
      <c r="F49" s="44">
        <v>4</v>
      </c>
      <c r="G49" s="42">
        <v>1</v>
      </c>
      <c r="H49" s="43">
        <v>2</v>
      </c>
      <c r="I49" s="43">
        <v>3</v>
      </c>
      <c r="J49" s="44">
        <v>4</v>
      </c>
      <c r="K49" s="96" t="s">
        <v>122</v>
      </c>
      <c r="L49" s="38"/>
      <c r="N49" s="38"/>
      <c r="O49" s="171" t="s">
        <v>125</v>
      </c>
      <c r="P49" s="63">
        <v>1</v>
      </c>
      <c r="Q49" s="64">
        <v>2</v>
      </c>
      <c r="R49" s="43">
        <v>3</v>
      </c>
      <c r="S49" s="44">
        <v>4</v>
      </c>
      <c r="T49" s="42">
        <v>1</v>
      </c>
      <c r="U49" s="43">
        <v>2</v>
      </c>
      <c r="V49" s="43">
        <v>3</v>
      </c>
      <c r="W49" s="44">
        <v>4</v>
      </c>
      <c r="X49" s="96" t="s">
        <v>122</v>
      </c>
      <c r="Y49" s="38"/>
    </row>
    <row r="50" spans="1:25" ht="15.95" customHeight="1" thickBot="1">
      <c r="A50" s="53"/>
      <c r="B50" s="172"/>
      <c r="C50" s="65">
        <v>5</v>
      </c>
      <c r="D50" s="66">
        <v>6</v>
      </c>
      <c r="E50" s="61">
        <v>7</v>
      </c>
      <c r="F50" s="62">
        <v>8</v>
      </c>
      <c r="G50" s="60">
        <v>5</v>
      </c>
      <c r="H50" s="61">
        <v>6</v>
      </c>
      <c r="I50" s="61">
        <v>7</v>
      </c>
      <c r="J50" s="62">
        <v>8</v>
      </c>
      <c r="K50" s="101" t="s">
        <v>126</v>
      </c>
      <c r="L50" s="38"/>
      <c r="N50" s="38"/>
      <c r="O50" s="172"/>
      <c r="P50" s="65">
        <v>5</v>
      </c>
      <c r="Q50" s="66">
        <v>6</v>
      </c>
      <c r="R50" s="61">
        <v>7</v>
      </c>
      <c r="S50" s="62">
        <v>8</v>
      </c>
      <c r="T50" s="60">
        <v>5</v>
      </c>
      <c r="U50" s="61">
        <v>6</v>
      </c>
      <c r="V50" s="61">
        <v>7</v>
      </c>
      <c r="W50" s="62">
        <v>8</v>
      </c>
      <c r="X50" s="101" t="s">
        <v>126</v>
      </c>
      <c r="Y50" s="38"/>
    </row>
    <row r="51" spans="1:25" ht="15.95" customHeight="1">
      <c r="A51" s="38"/>
      <c r="B51" s="54" t="s">
        <v>127</v>
      </c>
      <c r="C51" s="67">
        <v>1</v>
      </c>
      <c r="D51" s="68">
        <v>2</v>
      </c>
      <c r="E51" s="68">
        <v>3</v>
      </c>
      <c r="F51" s="173" t="s">
        <v>128</v>
      </c>
      <c r="G51" s="173"/>
      <c r="H51" s="68">
        <v>2</v>
      </c>
      <c r="I51" s="68">
        <v>3</v>
      </c>
      <c r="J51" s="69"/>
      <c r="K51" s="104" t="s">
        <v>122</v>
      </c>
      <c r="L51" s="38"/>
      <c r="N51" s="38"/>
      <c r="O51" s="54" t="s">
        <v>127</v>
      </c>
      <c r="P51" s="67">
        <v>1</v>
      </c>
      <c r="Q51" s="68">
        <v>2</v>
      </c>
      <c r="R51" s="68">
        <v>3</v>
      </c>
      <c r="S51" s="173" t="s">
        <v>128</v>
      </c>
      <c r="T51" s="173"/>
      <c r="U51" s="68">
        <v>2</v>
      </c>
      <c r="V51" s="68">
        <v>3</v>
      </c>
      <c r="W51" s="69"/>
      <c r="X51" s="104" t="s">
        <v>122</v>
      </c>
      <c r="Y51" s="38"/>
    </row>
    <row r="52" spans="1:25" ht="3" customHeight="1">
      <c r="A52" s="38"/>
      <c r="B52" s="38"/>
      <c r="C52" s="38"/>
      <c r="D52" s="38"/>
      <c r="E52" s="38"/>
      <c r="F52" s="38"/>
      <c r="G52" s="38"/>
      <c r="H52" s="38"/>
      <c r="I52" s="38"/>
      <c r="J52" s="38"/>
      <c r="K52" s="38"/>
      <c r="L52" s="38"/>
      <c r="N52" s="38"/>
      <c r="O52" s="38"/>
      <c r="P52" s="38"/>
      <c r="Q52" s="38"/>
      <c r="R52" s="38"/>
      <c r="S52" s="38"/>
      <c r="T52" s="38"/>
      <c r="U52" s="38"/>
      <c r="V52" s="38"/>
      <c r="W52" s="38"/>
      <c r="X52" s="38"/>
      <c r="Y52" s="38"/>
    </row>
  </sheetData>
  <mergeCells count="56">
    <mergeCell ref="B49:B50"/>
    <mergeCell ref="O49:O50"/>
    <mergeCell ref="F51:G51"/>
    <mergeCell ref="S51:T51"/>
    <mergeCell ref="B43:D43"/>
    <mergeCell ref="O43:Q43"/>
    <mergeCell ref="C45:F45"/>
    <mergeCell ref="G45:J45"/>
    <mergeCell ref="P45:S45"/>
    <mergeCell ref="T45:W45"/>
    <mergeCell ref="B36:B37"/>
    <mergeCell ref="O36:O37"/>
    <mergeCell ref="F38:G38"/>
    <mergeCell ref="S38:T38"/>
    <mergeCell ref="B42:D42"/>
    <mergeCell ref="G42:J42"/>
    <mergeCell ref="O42:Q42"/>
    <mergeCell ref="T42:W42"/>
    <mergeCell ref="T32:W32"/>
    <mergeCell ref="B23:B24"/>
    <mergeCell ref="O23:O24"/>
    <mergeCell ref="F25:G25"/>
    <mergeCell ref="S25:T25"/>
    <mergeCell ref="B29:D29"/>
    <mergeCell ref="G29:J29"/>
    <mergeCell ref="O29:Q29"/>
    <mergeCell ref="T29:W29"/>
    <mergeCell ref="B30:D30"/>
    <mergeCell ref="O30:Q30"/>
    <mergeCell ref="C32:F32"/>
    <mergeCell ref="G32:J32"/>
    <mergeCell ref="P32:S32"/>
    <mergeCell ref="T19:W19"/>
    <mergeCell ref="F12:G12"/>
    <mergeCell ref="S12:T12"/>
    <mergeCell ref="B16:D16"/>
    <mergeCell ref="G16:J16"/>
    <mergeCell ref="O16:Q16"/>
    <mergeCell ref="T16:W16"/>
    <mergeCell ref="B17:D17"/>
    <mergeCell ref="O17:Q17"/>
    <mergeCell ref="C19:F19"/>
    <mergeCell ref="G19:J19"/>
    <mergeCell ref="P19:S19"/>
    <mergeCell ref="C6:F6"/>
    <mergeCell ref="G6:J6"/>
    <mergeCell ref="P6:S6"/>
    <mergeCell ref="T6:W6"/>
    <mergeCell ref="B10:B11"/>
    <mergeCell ref="O10:O11"/>
    <mergeCell ref="T3:W3"/>
    <mergeCell ref="B4:D4"/>
    <mergeCell ref="O4:Q4"/>
    <mergeCell ref="B3:D3"/>
    <mergeCell ref="G3:J3"/>
    <mergeCell ref="O3:Q3"/>
  </mergeCells>
  <pageMargins left="0.7" right="0.7" top="0.75" bottom="0.75" header="0.3" footer="0.3"/>
  <pageSetup orientation="portrait" horizontalDpi="0" verticalDpi="0" copies="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B829-9CA3-4E96-9656-82AFA04AFBC7}">
  <sheetPr codeName="Sheet11"/>
  <dimension ref="C1:AM6"/>
  <sheetViews>
    <sheetView workbookViewId="0">
      <selection activeCell="G7" sqref="G7"/>
    </sheetView>
  </sheetViews>
  <sheetFormatPr defaultRowHeight="15"/>
  <sheetData>
    <row r="1" spans="3:39">
      <c r="C1" s="1"/>
      <c r="D1" s="1"/>
      <c r="E1" s="1"/>
      <c r="F1" s="1"/>
      <c r="G1" s="152" t="s">
        <v>9</v>
      </c>
      <c r="H1" s="149"/>
      <c r="I1" s="149"/>
      <c r="J1" s="149"/>
      <c r="K1" s="149"/>
      <c r="L1" s="149"/>
      <c r="M1" s="149"/>
      <c r="N1" s="149"/>
      <c r="O1" s="149"/>
      <c r="P1" s="153"/>
      <c r="Q1" s="151" t="s">
        <v>1</v>
      </c>
      <c r="R1" s="136"/>
      <c r="S1" s="136"/>
      <c r="T1" s="136"/>
      <c r="U1" s="136"/>
      <c r="V1" s="136"/>
      <c r="W1" s="136"/>
      <c r="X1" s="136"/>
      <c r="Y1" s="136"/>
      <c r="Z1" s="136"/>
      <c r="AA1" s="136"/>
      <c r="AB1" s="136"/>
      <c r="AC1" s="136"/>
      <c r="AD1" s="154"/>
      <c r="AE1" s="151" t="s">
        <v>2</v>
      </c>
      <c r="AF1" s="136"/>
      <c r="AG1" s="136"/>
      <c r="AH1" s="136"/>
      <c r="AI1" s="154"/>
      <c r="AJ1" s="4"/>
      <c r="AL1" s="1"/>
      <c r="AM1" s="1"/>
    </row>
    <row r="2" spans="3:39" ht="15.75" thickBot="1">
      <c r="C2" s="2" t="s">
        <v>240</v>
      </c>
      <c r="D2" s="2" t="s">
        <v>241</v>
      </c>
      <c r="E2" s="2" t="s">
        <v>113</v>
      </c>
      <c r="F2" s="2" t="s">
        <v>134</v>
      </c>
      <c r="G2" s="3" t="s">
        <v>135</v>
      </c>
      <c r="H2" s="2" t="s">
        <v>130</v>
      </c>
      <c r="I2" s="2" t="s">
        <v>129</v>
      </c>
      <c r="J2" s="2" t="s">
        <v>11</v>
      </c>
      <c r="K2" s="2" t="s">
        <v>12</v>
      </c>
      <c r="L2" s="2" t="s">
        <v>136</v>
      </c>
      <c r="M2" s="2" t="s">
        <v>13</v>
      </c>
      <c r="N2" s="2" t="s">
        <v>14</v>
      </c>
      <c r="O2" s="2" t="s">
        <v>15</v>
      </c>
      <c r="P2" s="78" t="s">
        <v>16</v>
      </c>
      <c r="Q2" s="2" t="s">
        <v>134</v>
      </c>
      <c r="R2" s="2" t="s">
        <v>135</v>
      </c>
      <c r="S2" s="2" t="s">
        <v>130</v>
      </c>
      <c r="T2" s="2" t="s">
        <v>129</v>
      </c>
      <c r="U2" s="2" t="s">
        <v>11</v>
      </c>
      <c r="V2" s="2" t="s">
        <v>12</v>
      </c>
      <c r="W2" s="2" t="s">
        <v>136</v>
      </c>
      <c r="X2" s="2" t="s">
        <v>13</v>
      </c>
      <c r="Y2" s="2" t="s">
        <v>14</v>
      </c>
      <c r="Z2" s="2" t="s">
        <v>15</v>
      </c>
      <c r="AA2" s="2" t="s">
        <v>16</v>
      </c>
      <c r="AB2" s="2" t="s">
        <v>17</v>
      </c>
      <c r="AC2" s="2" t="s">
        <v>128</v>
      </c>
      <c r="AD2" s="2" t="s">
        <v>23</v>
      </c>
      <c r="AE2" s="3" t="s">
        <v>5</v>
      </c>
      <c r="AF2" s="2" t="s">
        <v>6</v>
      </c>
      <c r="AG2" s="2" t="s">
        <v>118</v>
      </c>
      <c r="AH2" s="2" t="s">
        <v>7</v>
      </c>
      <c r="AI2" s="2" t="s">
        <v>141</v>
      </c>
      <c r="AJ2" s="3" t="s">
        <v>8</v>
      </c>
      <c r="AK2" s="1" t="s">
        <v>237</v>
      </c>
      <c r="AL2" s="1" t="s">
        <v>238</v>
      </c>
      <c r="AM2" s="1" t="s">
        <v>239</v>
      </c>
    </row>
    <row r="3" spans="3:39">
      <c r="C3">
        <f>PRODUCT($E3,3)+PRODUCT(SUM($H3:$K3),2)+PRODUCT(SUM($M3:$P3),3)+PRODUCT(SUM($S3:$V3),2)+PRODUCT(SUM($X3:$AA3), 3)+IF($AC3 &gt; 2, PRODUCT(SUM($AC3, -1),6), PRODUCT($AC3,3)) + IF($AD3 &gt; 2, PRODUCT(SUM($AD3, -1),6), PRODUCT($AD3,3)) + PRODUCT($AH3, -1)</f>
        <v>0</v>
      </c>
      <c r="D3">
        <f>PRODUCT(SUM($H3:$I3), 2) + PRODUCT(SUM($M3:$N3),3) + PRODUCT(SUM($S3:$T3), 2) + PRODUCT(SUM($X3:$Y3), 3)</f>
        <v>0</v>
      </c>
      <c r="E3">
        <f>IF( COUNTIF('Raw Data'!$A$3:$A$2927,$A3)=0,0,SUMIF('Raw Data'!$A$3:$A$2927, $A3,'Raw Data'!D$3:D$2927) / COUNTIF('Raw Data'!$A$3:$A$2927,$A3))</f>
        <v>0</v>
      </c>
      <c r="F3">
        <f t="array" ref="F3">MAX(IF('Raw Data'!$A$3:$A$927=$A3, 'Raw Data'!$O$3:$O$927))</f>
        <v>0</v>
      </c>
      <c r="G3">
        <f t="array" ref="G3">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0</v>
      </c>
      <c r="R3">
        <f t="array" ref="R3">MAX(IF('Raw Data'!$A$3:$A$927=$A3, 'Raw Data'!$T$3:$T$927))</f>
        <v>0</v>
      </c>
      <c r="S3" s="118">
        <f>IF( COUNTIF('Raw Data'!$A$3:$A$2927,$A3)=0,0,SUMIF('Raw Data'!$A$3:$A$2927, $A3,'Raw Data'!P$3:P$2927) / COUNTIF('Raw Data'!$A$3:$A$2927,$A3))</f>
        <v>0</v>
      </c>
      <c r="T3">
        <f>IF( COUNTIF('Raw Data'!$A$3:$A$2927,$A3)=0,0,SUMIF('Raw Data'!$A$3:$A$2927, $A3,'Raw Data'!Q$3:Q$2927) / COUNTIF('Raw Data'!$A$3:$A$2927,$A3))</f>
        <v>0</v>
      </c>
      <c r="U3">
        <f>IF( COUNTIF('Raw Data'!$A$3:$A$2927,$A3)=0,0,SUMIF('Raw Data'!$A$3:$A$2927, $A3,'Raw Data'!R$3:R$2927) / COUNTIF('Raw Data'!$A$3:$A$2927,$A3))</f>
        <v>0</v>
      </c>
      <c r="V3">
        <f>IF( COUNTIF('Raw Data'!$A$3:$A$2927,$A3)=0,0,SUMIF('Raw Data'!$A$3:$A$2927, $A3,'Raw Data'!S$3:S$2927) / COUNTIF('Raw Data'!$A$3:$A$2927,$A3))</f>
        <v>0</v>
      </c>
      <c r="W3">
        <f t="array" ref="W3">MAX(IF('Raw Data'!$A$3:$A$927=$A3, 'Raw Data'!$Y$3:$Y$927))</f>
        <v>0</v>
      </c>
      <c r="X3">
        <f>IF( COUNTIF('Raw Data'!$A$3:$A$2927,$A3)=0,0,SUMIF('Raw Data'!$A$3:$A$2927, $A3,'Raw Data'!U$3:U$2927) / COUNTIF('Raw Data'!$A$3:$A$2927,$A3))</f>
        <v>0</v>
      </c>
      <c r="Y3">
        <f>IF( COUNTIF('Raw Data'!$A$3:$A$2927,$A3)=0,0,SUMIF('Raw Data'!$A$3:$A$2927, $A3,'Raw Data'!V$3:V$2927) / COUNTIF('Raw Data'!$A$3:$A$2927,$A3))</f>
        <v>0</v>
      </c>
      <c r="Z3">
        <f>IF( COUNTIF('Raw Data'!$A$3:$A$2927,$A3)=0,0,SUMIF('Raw Data'!$A$3:$A$2927, $A3,'Raw Data'!W$3:W$2927) / COUNTIF('Raw Data'!$A$3:$A$2927,$A3))</f>
        <v>0</v>
      </c>
      <c r="AA3">
        <f>IF( COUNTIF('Raw Data'!$A$3:$A$2927,$A3)=0,0,SUMIF('Raw Data'!$A$3:$A$2927, $A3,'Raw Data'!X$3:X$2927) / COUNTIF('Raw Data'!$A$3:$A$2927,$A3))</f>
        <v>0</v>
      </c>
      <c r="AB3">
        <f>IF( COUNTIF('Raw Data'!$A$3:$A$2927,$A3)=0,0,SUMIF('Raw Data'!$A$3:$A$2927, $A3,'Raw Data'!AA$3:AA$2927) / COUNTIF('Raw Data'!$A$3:$A$2927,$A3))</f>
        <v>0</v>
      </c>
      <c r="AC3">
        <f>IF( COUNTIF('Raw Data'!$A$3:$A$2927,$A3)=0,0,SUMIF('Raw Data'!$A$3:$A$2927, $A3,'Raw Data'!AB$3:AB$2927) / COUNTIF('Raw Data'!$A$3:$A$2927,$A3))</f>
        <v>0</v>
      </c>
      <c r="AD3">
        <f>IF( COUNTIF('Raw Data'!$A$3:$A$2927,$A3)=0,0,SUMIF('Raw Data'!$A$3:$A$2927, $A3,'Raw Data'!AC$3:AC$2927) / COUNTIF('Raw Data'!$A$3:$A$2927,$A3))</f>
        <v>0</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0</v>
      </c>
      <c r="AJ3" s="116">
        <f>COUNTIF('Raw Data'!A$3:A$2927, $A3)</f>
        <v>0</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-21</v>
      </c>
      <c r="AL3">
        <f t="shared" ref="AL3" si="0">SUM(hHatch * SUM($H3:$K3), hHatch * SUM($S3:$V3), hRocket23 * SUM($J3:$K3), hRocket23 * SUM($U3:$V3), hSandstorm * SUM($H3:$K3), hPenalty * $AH3, hDropHatch * $AI3,hTippedBroke * SUM($AE3:$AF3), IF($E3 &lt; hNoAutoThreshold, hNoAuto), IF($AG3 &gt; hFloorHatchThreshold, hFloorHatch))</f>
        <v>-1.5</v>
      </c>
      <c r="AM3">
        <f t="shared" ref="AM3" si="1">SUM(cCargo * SUM($M3:$P3), cCargo *SUM( $X3:$AA3), cRocket23 * SUM($O3:$P3, $Z3:$AA3),cSandstorm * SUM($M3:$P3), cPenalty * $AH3, cTippedBroke * SUM($AE3:$AF3), IF($E3 &lt; cNoAutoThreshold, cNoAuto, 0))</f>
        <v>-1</v>
      </c>
    </row>
    <row r="5" spans="3:39">
      <c r="C5" t="s">
        <v>307</v>
      </c>
      <c r="D5">
        <f>'Scouting Output'!AK6</f>
        <v>-21</v>
      </c>
      <c r="E5">
        <f>'Scouting Output'!AL6</f>
        <v>-1.5</v>
      </c>
      <c r="F5" t="s">
        <v>312</v>
      </c>
      <c r="G5" t="s">
        <v>325</v>
      </c>
    </row>
    <row r="6" spans="3:39">
      <c r="C6">
        <f>IFERROR(VLOOKUP($A3,'Scouting Output'!$A$3:$AM$100,37,FALSE), -999)</f>
        <v>-999</v>
      </c>
      <c r="D6">
        <f>IFERROR(VLOOKUP($A3,'Scouting Output'!$A$3:$AM$100,38,FALSE), -999)</f>
        <v>-999</v>
      </c>
      <c r="E6">
        <f>IFERROR(VLOOKUP($A3,'Scouting Output'!$A$3:$AM$100,39,FALSE), -999)</f>
        <v>-999</v>
      </c>
      <c r="F6">
        <f>IFERROR(VLOOKUP($A3, 'Scouting Output'!$A$3:$AM100, 30, FALSE), -999)</f>
        <v>-999</v>
      </c>
      <c r="G6">
        <f>IFERROR(VLOOKUP($A3, 'Scouting Output'!$A$3:$AM$100, 3, FALSE), -999)</f>
        <v>-999</v>
      </c>
    </row>
  </sheetData>
  <mergeCells count="3">
    <mergeCell ref="G1:P1"/>
    <mergeCell ref="Q1:AD1"/>
    <mergeCell ref="AE1:AI1"/>
  </mergeCells>
  <conditionalFormatting sqref="C3:AM3">
    <cfRule type="expression" dxfId="6" priority="7">
      <formula>IF($AJ3=0,TRUE,FALSE)</formula>
    </cfRule>
  </conditionalFormatting>
  <conditionalFormatting sqref="F1:F3">
    <cfRule type="cellIs" dxfId="5" priority="5" operator="greaterThan">
      <formula>$AQ$20</formula>
    </cfRule>
    <cfRule type="cellIs" dxfId="4" priority="6" operator="greaterThan">
      <formula>$AQ$20</formula>
    </cfRule>
  </conditionalFormatting>
  <conditionalFormatting sqref="C5:E6">
    <cfRule type="cellIs" dxfId="3" priority="1" operator="lessThan">
      <formula>0</formula>
    </cfRule>
  </conditionalFormatting>
  <conditionalFormatting sqref="C5:G6">
    <cfRule type="expression" dxfId="2" priority="4">
      <formula>IF($A5=$I$2,TRUE,FALSE)</formula>
    </cfRule>
  </conditionalFormatting>
  <conditionalFormatting sqref="F6:G6">
    <cfRule type="cellIs" dxfId="1" priority="2" operator="between">
      <formula>1.45</formula>
      <formula>2.45</formula>
    </cfRule>
  </conditionalFormatting>
  <conditionalFormatting sqref="F6">
    <cfRule type="cellIs" dxfId="0" priority="3" operator="greaterThan">
      <formula>2.45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35</vt:i4>
      </vt:variant>
    </vt:vector>
  </HeadingPairs>
  <TitlesOfParts>
    <vt:vector size="47" baseType="lpstr">
      <vt:lpstr>Raw Data</vt:lpstr>
      <vt:lpstr>Next Match Alliances</vt:lpstr>
      <vt:lpstr>Abbreviated NMA</vt:lpstr>
      <vt:lpstr>Scouting Output</vt:lpstr>
      <vt:lpstr>pick list (2)</vt:lpstr>
      <vt:lpstr>pick list</vt:lpstr>
      <vt:lpstr>Data Spitter</vt:lpstr>
      <vt:lpstr>EVENT DATA</vt:lpstr>
      <vt:lpstr>Data Validation</vt:lpstr>
      <vt:lpstr>How to use this spreadsheet</vt:lpstr>
      <vt:lpstr>Scouting Sheets</vt:lpstr>
      <vt:lpstr>Template Formulas</vt:lpstr>
      <vt:lpstr>assist</vt:lpstr>
      <vt:lpstr>assistThreshold</vt:lpstr>
      <vt:lpstr>auto</vt:lpstr>
      <vt:lpstr>autoThreshold</vt:lpstr>
      <vt:lpstr>cargo</vt:lpstr>
      <vt:lpstr>cCargo</vt:lpstr>
      <vt:lpstr>climb</vt:lpstr>
      <vt:lpstr>climbThreshold</vt:lpstr>
      <vt:lpstr>cNoAuto</vt:lpstr>
      <vt:lpstr>cNoAutoThreshold</vt:lpstr>
      <vt:lpstr>cPenalty</vt:lpstr>
      <vt:lpstr>cRocket23</vt:lpstr>
      <vt:lpstr>cSandstorm</vt:lpstr>
      <vt:lpstr>cTippedBroke</vt:lpstr>
      <vt:lpstr>doesNothing</vt:lpstr>
      <vt:lpstr>doesNothingThreshold</vt:lpstr>
      <vt:lpstr>dropHatch</vt:lpstr>
      <vt:lpstr>hatch</vt:lpstr>
      <vt:lpstr>hDropHatch</vt:lpstr>
      <vt:lpstr>hFloorHatch</vt:lpstr>
      <vt:lpstr>hFloorHatchThreshold</vt:lpstr>
      <vt:lpstr>hHatch</vt:lpstr>
      <vt:lpstr>hNoAuto</vt:lpstr>
      <vt:lpstr>hNoAutoThreshold</vt:lpstr>
      <vt:lpstr>hPenalty</vt:lpstr>
      <vt:lpstr>hRocket23</vt:lpstr>
      <vt:lpstr>hSandstorm</vt:lpstr>
      <vt:lpstr>hTippedBroke</vt:lpstr>
      <vt:lpstr>noAuto</vt:lpstr>
      <vt:lpstr>noAutoThreshold</vt:lpstr>
      <vt:lpstr>penalty</vt:lpstr>
      <vt:lpstr>rocket23</vt:lpstr>
      <vt:lpstr>rocket2and3</vt:lpstr>
      <vt:lpstr>sandstorm</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Riaz</cp:lastModifiedBy>
  <cp:lastPrinted>2019-03-09T20:22:27Z</cp:lastPrinted>
  <dcterms:created xsi:type="dcterms:W3CDTF">2019-02-05T20:52:46Z</dcterms:created>
  <dcterms:modified xsi:type="dcterms:W3CDTF">2019-03-17T01:48:18Z</dcterms:modified>
</cp:coreProperties>
</file>